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1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0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xm\Downloads\Yosafat(Folder Pribadi)\Portfolio\Sales Sport Store Data Analysis All Phases\Phase 3. Cleaning Data\"/>
    </mc:Choice>
  </mc:AlternateContent>
  <xr:revisionPtr revIDLastSave="0" documentId="13_ncr:1_{76F766B9-C8BA-4E55-A502-6EEED9BA3901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Outlier Visualization" sheetId="11" r:id="rId1"/>
    <sheet name="Distribution &amp; Skewness" sheetId="12" r:id="rId2"/>
    <sheet name="Product" sheetId="2" r:id="rId3"/>
    <sheet name="Vendor" sheetId="3" r:id="rId4"/>
    <sheet name="Patner Store" sheetId="4" r:id="rId5"/>
    <sheet name="Sales Team" sheetId="5" r:id="rId6"/>
    <sheet name="Sales Order" sheetId="6" r:id="rId7"/>
    <sheet name="Order Item" sheetId="7" r:id="rId8"/>
    <sheet name="Invoice" sheetId="8" r:id="rId9"/>
  </sheets>
  <definedNames>
    <definedName name="_xlnm._FilterDatabase" localSheetId="8" hidden="1">Invoice!$A$1:$I$1029</definedName>
    <definedName name="_xlnm._FilterDatabase" localSheetId="7" hidden="1">'Order Item'!$A$1:$G$3393</definedName>
    <definedName name="_xlnm._FilterDatabase" localSheetId="4" hidden="1">'Patner Store'!$A$1:$I$51</definedName>
    <definedName name="_xlnm._FilterDatabase" localSheetId="2" hidden="1">Product!$A$1:$L$21</definedName>
    <definedName name="_xlnm._FilterDatabase" localSheetId="6" hidden="1">'Sales Order'!$A$1:$J$1029</definedName>
    <definedName name="_xlchart.v1.0" hidden="1">'Order Item'!#REF!</definedName>
    <definedName name="_xlchart.v1.1" hidden="1">'Order Item'!#REF!</definedName>
    <definedName name="_xlchart.v1.10" hidden="1">'Order Item'!$F$2:$F$3393</definedName>
    <definedName name="_xlchart.v1.11" hidden="1">'Order Item'!$C$2:$C$3393</definedName>
    <definedName name="_xlchart.v1.12" hidden="1">'Order Item'!$E$1</definedName>
    <definedName name="_xlchart.v1.13" hidden="1">'Order Item'!$E$2:$E$3393</definedName>
    <definedName name="_xlchart.v1.14" hidden="1">Product!$A$2:$E$21</definedName>
    <definedName name="_xlchart.v1.15" hidden="1">Product!$F$2:$F$21</definedName>
    <definedName name="_xlchart.v1.16" hidden="1">Product!$D$2:$D$21</definedName>
    <definedName name="_xlchart.v1.17" hidden="1">Product!$K$2:$K$21</definedName>
    <definedName name="_xlchart.v1.18" hidden="1">Product!$D$2:$D$21</definedName>
    <definedName name="_xlchart.v1.19" hidden="1">Product!$G$2:$G$21</definedName>
    <definedName name="_xlchart.v1.2" hidden="1">'Order Item'!$C$2:$C$3393</definedName>
    <definedName name="_xlchart.v1.20" hidden="1">Invoice!$G$1</definedName>
    <definedName name="_xlchart.v1.21" hidden="1">Invoice!$G$2:$G$1029</definedName>
    <definedName name="_xlchart.v1.22" hidden="1">'Sales Team'!$B$2:$B$6</definedName>
    <definedName name="_xlchart.v1.23" hidden="1">'Sales Team'!$E$2:$E$21</definedName>
    <definedName name="_xlchart.v1.24" hidden="1">Product!$I$2:$I$21</definedName>
    <definedName name="_xlchart.v1.25" hidden="1">'Order Item'!#REF!</definedName>
    <definedName name="_xlchart.v1.26" hidden="1">'Order Item'!$C$2:$C$3393</definedName>
    <definedName name="_xlchart.v1.27" hidden="1">'Order Item'!$F$1</definedName>
    <definedName name="_xlchart.v1.28" hidden="1">'Order Item'!$F$2:$F$3393</definedName>
    <definedName name="_xlchart.v1.29" hidden="1">Product!$G$2:$G$21</definedName>
    <definedName name="_xlchart.v1.3" hidden="1">Invoice!$I$2:$I$1029</definedName>
    <definedName name="_xlchart.v1.30" hidden="1">'Order Item'!$E$2:$E$3393</definedName>
    <definedName name="_xlchart.v1.31" hidden="1">Invoice!$G$2:$G$1029</definedName>
    <definedName name="_xlchart.v1.32" hidden="1">Product!$F$2:$F$21</definedName>
    <definedName name="_xlchart.v1.33" hidden="1">'Sales Order'!$H$2:$H$1029</definedName>
    <definedName name="_xlchart.v1.34" hidden="1">Product!$K$2:$K$21</definedName>
    <definedName name="_xlchart.v1.35" hidden="1">Invoice!$I$2:$I$1029</definedName>
    <definedName name="_xlchart.v1.4" hidden="1">'Sales Order'!$H$1</definedName>
    <definedName name="_xlchart.v1.5" hidden="1">'Sales Order'!$H$2:$H$1029</definedName>
    <definedName name="_xlchart.v1.6" hidden="1">Product!$D$2:$D$21</definedName>
    <definedName name="_xlchart.v1.7" hidden="1">Product!$I$2:$I$21</definedName>
    <definedName name="_xlchart.v1.8" hidden="1">'Order Item'!$C$2:$C$3393</definedName>
    <definedName name="_xlchart.v1.9" hidden="1">'Order Item'!$F$1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cMLmk8UD2w1wcYxGpHKsAi4Q/G//tPXJ9f0SGQf81tE="/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2" i="8"/>
  <c r="I1030" i="8"/>
  <c r="F3395" i="7"/>
  <c r="H1031" i="6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J1030" i="8" l="1"/>
</calcChain>
</file>

<file path=xl/sharedStrings.xml><?xml version="1.0" encoding="utf-8"?>
<sst xmlns="http://schemas.openxmlformats.org/spreadsheetml/2006/main" count="20256" uniqueCount="5786">
  <si>
    <t>ProductID</t>
  </si>
  <si>
    <t>SalesOrderID</t>
  </si>
  <si>
    <t>PatnerStoreID</t>
  </si>
  <si>
    <t>ProductName</t>
  </si>
  <si>
    <t>PatnerStoreName</t>
  </si>
  <si>
    <t>Category</t>
  </si>
  <si>
    <t>Quantity</t>
  </si>
  <si>
    <t>OrderDate</t>
  </si>
  <si>
    <t>Province</t>
  </si>
  <si>
    <t>QuantityOrder</t>
  </si>
  <si>
    <t>UnitBuyPrice</t>
  </si>
  <si>
    <t>PatnerContactPhone</t>
  </si>
  <si>
    <t>Payment</t>
  </si>
  <si>
    <t>Product Description</t>
  </si>
  <si>
    <t>TotalOrderTransaction</t>
  </si>
  <si>
    <t>VendorID</t>
  </si>
  <si>
    <t>UnitSalesPrice</t>
  </si>
  <si>
    <t>UOM</t>
  </si>
  <si>
    <t>DiscountProduct</t>
  </si>
  <si>
    <t>PD0001</t>
  </si>
  <si>
    <t>VD0002</t>
  </si>
  <si>
    <t>1 Set Fishing Equipment</t>
  </si>
  <si>
    <t>Fishing Equipment</t>
  </si>
  <si>
    <t>Set</t>
  </si>
  <si>
    <t>Joran, Reel, Tas, Senar, Mata kail, Stoper, Starlet</t>
  </si>
  <si>
    <t>PD0002</t>
  </si>
  <si>
    <t>Fishing soft lure</t>
  </si>
  <si>
    <t>Unit</t>
  </si>
  <si>
    <t>PD0003</t>
  </si>
  <si>
    <t>VD0003</t>
  </si>
  <si>
    <t>Stick Billiard</t>
  </si>
  <si>
    <t>Billiard</t>
  </si>
  <si>
    <t>Tip Size : 11.75mm, dan Length : 148 cm</t>
  </si>
  <si>
    <t>PD0004</t>
  </si>
  <si>
    <t>Stick Billiard Bag</t>
  </si>
  <si>
    <t>PD0005</t>
  </si>
  <si>
    <t>VD0001</t>
  </si>
  <si>
    <t>Stick Golf Wedge</t>
  </si>
  <si>
    <t>Golf</t>
  </si>
  <si>
    <t>Degree : 52, 56, 60, 64</t>
  </si>
  <si>
    <t>PD0006</t>
  </si>
  <si>
    <t>1 set Golf Ball</t>
  </si>
  <si>
    <t>12 bola golf</t>
  </si>
  <si>
    <t>PD0007</t>
  </si>
  <si>
    <t>Stick Golf Bag</t>
  </si>
  <si>
    <t>PD0008</t>
  </si>
  <si>
    <t>Sunglasses</t>
  </si>
  <si>
    <t>Outdoors Sport</t>
  </si>
  <si>
    <t>PD0009</t>
  </si>
  <si>
    <t>Tracking Pole</t>
  </si>
  <si>
    <t>Hiking &amp; Camping</t>
  </si>
  <si>
    <t>Ukuran untuk  Anak - anak : 100 cm, dan Dewasa : 125 com</t>
  </si>
  <si>
    <t>PD0010</t>
  </si>
  <si>
    <t>Hiking Shoes</t>
  </si>
  <si>
    <t>Size tersedia : 40/25.5cm - 44/29.5cm</t>
  </si>
  <si>
    <t>PD0011</t>
  </si>
  <si>
    <t>Bicycle</t>
  </si>
  <si>
    <t>Warna : Hitam Merah, Grey Orange, Teal, Hitam biru</t>
  </si>
  <si>
    <t>PD0012</t>
  </si>
  <si>
    <t>Road Bike</t>
  </si>
  <si>
    <t>Tipe Sepeda balap Performance dan All - around</t>
  </si>
  <si>
    <t>PD0013</t>
  </si>
  <si>
    <t>1 Set Basketball</t>
  </si>
  <si>
    <t>Basketball</t>
  </si>
  <si>
    <t>5 Bola Basket</t>
  </si>
  <si>
    <t>PD0014</t>
  </si>
  <si>
    <t>1 Set Futsalball</t>
  </si>
  <si>
    <t>Futsal</t>
  </si>
  <si>
    <t>5 Bola Futsal</t>
  </si>
  <si>
    <t>PD0015</t>
  </si>
  <si>
    <t>Abs Roller</t>
  </si>
  <si>
    <t>Gym &amp; Fitness</t>
  </si>
  <si>
    <t>PD0016</t>
  </si>
  <si>
    <t>Pull Up Bar</t>
  </si>
  <si>
    <t>Size : 80-130 cm</t>
  </si>
  <si>
    <t>PD0017</t>
  </si>
  <si>
    <t>Bench Press</t>
  </si>
  <si>
    <t>Dimensi : 142 x 110 x 108 cm</t>
  </si>
  <si>
    <t>PD0018</t>
  </si>
  <si>
    <t>Dumbell Set</t>
  </si>
  <si>
    <t>2x 35cm (14") Stick Chrome, 1 pcs 152cm Stick, 6pcs Collar pengunci,  4pcs 1 kg  plates, 2pcs 2 kg, 2pcs kg</t>
  </si>
  <si>
    <t>PD0019</t>
  </si>
  <si>
    <t>Treadmill</t>
  </si>
  <si>
    <t>PD0020</t>
  </si>
  <si>
    <t>Heavy bag</t>
  </si>
  <si>
    <t>VendorName</t>
  </si>
  <si>
    <t>Address</t>
  </si>
  <si>
    <t>City</t>
  </si>
  <si>
    <t>Email</t>
  </si>
  <si>
    <t>Phone</t>
  </si>
  <si>
    <t>PT.Aneka Olahraga</t>
  </si>
  <si>
    <t>Jl. Tanjong Priok No.23</t>
  </si>
  <si>
    <t>North Jakarta</t>
  </si>
  <si>
    <t>Anekasport@net.id</t>
  </si>
  <si>
    <t>Sportspirit Inc</t>
  </si>
  <si>
    <t>Ubi Ave Street No.3</t>
  </si>
  <si>
    <t>Singapore City</t>
  </si>
  <si>
    <t>Singapore</t>
  </si>
  <si>
    <t>sportspirit.co.id</t>
  </si>
  <si>
    <t>PT.Fortune Sport</t>
  </si>
  <si>
    <t>Jl. Gajah Mada No.78</t>
  </si>
  <si>
    <t>Central Jakarta</t>
  </si>
  <si>
    <t>fortunesport.com</t>
  </si>
  <si>
    <t>PatnerType</t>
  </si>
  <si>
    <t>Region</t>
  </si>
  <si>
    <t>PS0001</t>
  </si>
  <si>
    <t>Sport Nation</t>
  </si>
  <si>
    <t>Distributor</t>
  </si>
  <si>
    <t>Bali</t>
  </si>
  <si>
    <t>PS0002</t>
  </si>
  <si>
    <t>TokoSport</t>
  </si>
  <si>
    <t>Retail</t>
  </si>
  <si>
    <t>Java</t>
  </si>
  <si>
    <t>PS0003</t>
  </si>
  <si>
    <t>Toko Gelora Sport</t>
  </si>
  <si>
    <t>Kalimantan</t>
  </si>
  <si>
    <t>PS0004</t>
  </si>
  <si>
    <t>Sport Line Indonesia</t>
  </si>
  <si>
    <t>Jakarta</t>
  </si>
  <si>
    <t>PS0005</t>
  </si>
  <si>
    <t>Sportworld</t>
  </si>
  <si>
    <t>Sulawesi</t>
  </si>
  <si>
    <t>PS0006</t>
  </si>
  <si>
    <t>Arena Sport Shop</t>
  </si>
  <si>
    <t>PS0007</t>
  </si>
  <si>
    <t>Twinsport.com</t>
  </si>
  <si>
    <t>PS0008</t>
  </si>
  <si>
    <t>Amanah Sport</t>
  </si>
  <si>
    <t>PS0009</t>
  </si>
  <si>
    <t>Olahraga Mall</t>
  </si>
  <si>
    <t>Sumatera</t>
  </si>
  <si>
    <t>PS0010</t>
  </si>
  <si>
    <t>WorldSport.com</t>
  </si>
  <si>
    <t>PS0011</t>
  </si>
  <si>
    <t>Atlethic Shop</t>
  </si>
  <si>
    <t>PS0012</t>
  </si>
  <si>
    <t>Adi Shop</t>
  </si>
  <si>
    <t>PS0013</t>
  </si>
  <si>
    <t>Playing Outdoor</t>
  </si>
  <si>
    <t>PS0014</t>
  </si>
  <si>
    <t>Sport Hub Medan</t>
  </si>
  <si>
    <t>PS0015</t>
  </si>
  <si>
    <t>Toko Olahraga Satu</t>
  </si>
  <si>
    <t>North Maluku</t>
  </si>
  <si>
    <t>PS0016</t>
  </si>
  <si>
    <t>Kartika Sport Center</t>
  </si>
  <si>
    <t>PS0017</t>
  </si>
  <si>
    <t>Bebasport.com</t>
  </si>
  <si>
    <t>PS0018</t>
  </si>
  <si>
    <t>Sport Jogja City</t>
  </si>
  <si>
    <t>Jogjakarta</t>
  </si>
  <si>
    <t>PS0019</t>
  </si>
  <si>
    <t>Toko olahraga Pantai</t>
  </si>
  <si>
    <t>Nusa Tenggara</t>
  </si>
  <si>
    <t>PS0020</t>
  </si>
  <si>
    <t>Barokah Olahraga Shop</t>
  </si>
  <si>
    <t>PS0021</t>
  </si>
  <si>
    <t>SportArt88</t>
  </si>
  <si>
    <t>PS0022</t>
  </si>
  <si>
    <t>Sport Kita Store</t>
  </si>
  <si>
    <t>PS0023</t>
  </si>
  <si>
    <t>Gudang Sport Center</t>
  </si>
  <si>
    <t>PS0024</t>
  </si>
  <si>
    <t>SportChampion10</t>
  </si>
  <si>
    <t>PS0025</t>
  </si>
  <si>
    <t>Toko Olahraga Unggul</t>
  </si>
  <si>
    <t>PS0026</t>
  </si>
  <si>
    <t>Wakaka Sport</t>
  </si>
  <si>
    <t>PS0027</t>
  </si>
  <si>
    <t>Destination Sport Store</t>
  </si>
  <si>
    <t>Maluku</t>
  </si>
  <si>
    <t>PS0028</t>
  </si>
  <si>
    <t>Toko SportNesia</t>
  </si>
  <si>
    <t>PS0029</t>
  </si>
  <si>
    <t>Mama Sport</t>
  </si>
  <si>
    <t>PS0030</t>
  </si>
  <si>
    <t>KakaSport</t>
  </si>
  <si>
    <t>PS0031</t>
  </si>
  <si>
    <t>Toko Hidup Sehat</t>
  </si>
  <si>
    <t>PS0032</t>
  </si>
  <si>
    <t>Toko Idola Olahraga</t>
  </si>
  <si>
    <t>PS0033</t>
  </si>
  <si>
    <t>Toko Olahraga NTT</t>
  </si>
  <si>
    <t>PS0034</t>
  </si>
  <si>
    <t>Active Sport</t>
  </si>
  <si>
    <t>PS0035</t>
  </si>
  <si>
    <t>Toko Olahraga Lengkap</t>
  </si>
  <si>
    <t>PS0036</t>
  </si>
  <si>
    <t>Nusantara Sport</t>
  </si>
  <si>
    <t>PS0037</t>
  </si>
  <si>
    <t>Toko Joko Sport</t>
  </si>
  <si>
    <t>PS0038</t>
  </si>
  <si>
    <t>Salam Olahraga</t>
  </si>
  <si>
    <t>PS0039</t>
  </si>
  <si>
    <t>Surya Sport</t>
  </si>
  <si>
    <t>PS0040</t>
  </si>
  <si>
    <t>Olahraga Gemilang</t>
  </si>
  <si>
    <t>PS0041</t>
  </si>
  <si>
    <t>GilaSport.id</t>
  </si>
  <si>
    <t>PS0042</t>
  </si>
  <si>
    <t>SportXpress</t>
  </si>
  <si>
    <t>PS0043</t>
  </si>
  <si>
    <t>SportMania Store</t>
  </si>
  <si>
    <t>PS0044</t>
  </si>
  <si>
    <t>Toko Rezeki Olahraga</t>
  </si>
  <si>
    <t>PS0045</t>
  </si>
  <si>
    <t>Toko Olahraga NTB</t>
  </si>
  <si>
    <t>PS0046</t>
  </si>
  <si>
    <t>Markas Olahraga</t>
  </si>
  <si>
    <t>PS0047</t>
  </si>
  <si>
    <t>Power Play</t>
  </si>
  <si>
    <t>PS0048</t>
  </si>
  <si>
    <t>Toko Olahraga Mandiri</t>
  </si>
  <si>
    <t>PS0049</t>
  </si>
  <si>
    <t>Toko Olahraga Bersama</t>
  </si>
  <si>
    <t>PS0050</t>
  </si>
  <si>
    <t>Toko Peralatan Olahraga</t>
  </si>
  <si>
    <t>SalesTeamID</t>
  </si>
  <si>
    <t>SalesTeamName</t>
  </si>
  <si>
    <t>SalesTeamRegion</t>
  </si>
  <si>
    <t>SalesPromotionMethods</t>
  </si>
  <si>
    <t>TotalProspect</t>
  </si>
  <si>
    <t>ST0001</t>
  </si>
  <si>
    <t>Online Sales Team</t>
  </si>
  <si>
    <t>OnlineMarketing</t>
  </si>
  <si>
    <t>ST0002</t>
  </si>
  <si>
    <t>OnlineMarketing/Corporate Negotiate/Patnership Contract</t>
  </si>
  <si>
    <t>ST0003</t>
  </si>
  <si>
    <t>Sumatera &amp; Kalimantan</t>
  </si>
  <si>
    <t>ST0004</t>
  </si>
  <si>
    <t>Corporate Negotiate/Patnership Contract</t>
  </si>
  <si>
    <t>ST0005</t>
  </si>
  <si>
    <t>Note</t>
  </si>
  <si>
    <t>SO0001</t>
  </si>
  <si>
    <t>CASH</t>
  </si>
  <si>
    <t>SO0002</t>
  </si>
  <si>
    <t>SO0003</t>
  </si>
  <si>
    <t>CREDIT</t>
  </si>
  <si>
    <t>transaction as agreed with the vendor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</si>
  <si>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</si>
  <si>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</si>
  <si>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</si>
  <si>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</si>
  <si>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</si>
  <si>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</si>
  <si>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</si>
  <si>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</si>
  <si>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The transaction agreement has undergone changes</t>
  </si>
  <si>
    <t>SO0012</t>
  </si>
  <si>
    <t>SO0013</t>
  </si>
  <si>
    <t>SO0014</t>
  </si>
  <si>
    <t>SO0015</t>
  </si>
  <si>
    <t>SO0016</t>
  </si>
  <si>
    <t>Partner Store canceled the order</t>
  </si>
  <si>
    <t>SO0017</t>
  </si>
  <si>
    <t>SO0018</t>
  </si>
  <si>
    <t>SO0019</t>
  </si>
  <si>
    <t>SO0020</t>
  </si>
  <si>
    <t>SO0021</t>
  </si>
  <si>
    <t>SO0022</t>
  </si>
  <si>
    <t>The product is unavailable from the vendor or there has been a product replacement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</si>
  <si>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</si>
  <si>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</si>
  <si>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</si>
  <si>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</si>
  <si>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</si>
  <si>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</si>
  <si>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</si>
  <si>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</si>
  <si>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</si>
  <si>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</si>
  <si>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</si>
  <si>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</si>
  <si>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</si>
  <si>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</si>
  <si>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</si>
  <si>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</si>
  <si>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</si>
  <si>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</si>
  <si>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</si>
  <si>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</si>
  <si>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</si>
  <si>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</si>
  <si>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</si>
  <si>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</si>
  <si>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</si>
  <si>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</si>
  <si>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</si>
  <si>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</si>
  <si>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</si>
  <si>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</si>
  <si>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</si>
  <si>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</si>
  <si>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</si>
  <si>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</si>
  <si>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</si>
  <si>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</si>
  <si>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</si>
  <si>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</si>
  <si>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</si>
  <si>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</si>
  <si>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</si>
  <si>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</si>
  <si>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</si>
  <si>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</si>
  <si>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</si>
  <si>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</si>
  <si>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</si>
  <si>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</si>
  <si>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</si>
  <si>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</si>
  <si>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</si>
  <si>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</si>
  <si>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</si>
  <si>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</si>
  <si>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</si>
  <si>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</si>
  <si>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</si>
  <si>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</si>
  <si>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</si>
  <si>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</si>
  <si>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</si>
  <si>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</si>
  <si>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</si>
  <si>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</si>
  <si>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</si>
  <si>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</si>
  <si>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</si>
  <si>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</si>
  <si>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</si>
  <si>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</si>
  <si>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</si>
  <si>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</si>
  <si>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</si>
  <si>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</si>
  <si>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</si>
  <si>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</si>
  <si>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</si>
  <si>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</si>
  <si>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</si>
  <si>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</si>
  <si>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</si>
  <si>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</si>
  <si>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</si>
  <si>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</si>
  <si>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</si>
  <si>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</si>
  <si>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</si>
  <si>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</si>
  <si>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</si>
  <si>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</si>
  <si>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</si>
  <si>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</si>
  <si>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</si>
  <si>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</si>
  <si>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</si>
  <si>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</si>
  <si>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</si>
  <si>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</si>
  <si>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</si>
  <si>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</si>
  <si>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</si>
  <si>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</si>
  <si>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</si>
  <si>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</si>
  <si>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SO0127</t>
  </si>
  <si>
    <t>SO0128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</si>
  <si>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</si>
  <si>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</si>
  <si>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</si>
  <si>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</si>
  <si>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</si>
  <si>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</si>
  <si>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</si>
  <si>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</si>
  <si>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</si>
  <si>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</si>
  <si>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</si>
  <si>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</si>
  <si>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</si>
  <si>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</si>
  <si>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</si>
  <si>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</si>
  <si>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</si>
  <si>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</si>
  <si>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</si>
  <si>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</si>
  <si>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</si>
  <si>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</si>
  <si>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</si>
  <si>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</si>
  <si>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</si>
  <si>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</si>
  <si>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SO0155</t>
  </si>
  <si>
    <t>SO0156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</si>
  <si>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</si>
  <si>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</si>
  <si>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</si>
  <si>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</si>
  <si>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</si>
  <si>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</si>
  <si>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</si>
  <si>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</si>
  <si>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</si>
  <si>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</si>
  <si>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</si>
  <si>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</si>
  <si>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</si>
  <si>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</si>
  <si>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</si>
  <si>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</si>
  <si>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</si>
  <si>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</si>
  <si>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</si>
  <si>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</si>
  <si>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</si>
  <si>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</si>
  <si>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</si>
  <si>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</si>
  <si>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</si>
  <si>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</si>
  <si>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</si>
  <si>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</si>
  <si>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</si>
  <si>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</si>
  <si>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</si>
  <si>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</si>
  <si>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</si>
  <si>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</si>
  <si>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</si>
  <si>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</si>
  <si>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</si>
  <si>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</si>
  <si>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</si>
  <si>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</si>
  <si>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</si>
  <si>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</si>
  <si>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</si>
  <si>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</si>
  <si>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</si>
  <si>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</si>
  <si>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</si>
  <si>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</si>
  <si>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</si>
  <si>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</si>
  <si>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</si>
  <si>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</si>
  <si>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</si>
  <si>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</si>
  <si>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</si>
  <si>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</si>
  <si>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</si>
  <si>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</si>
  <si>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</si>
  <si>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</si>
  <si>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</si>
  <si>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</si>
  <si>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</si>
  <si>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</si>
  <si>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</si>
  <si>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</si>
  <si>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</si>
  <si>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</si>
  <si>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</si>
  <si>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</si>
  <si>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</si>
  <si>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</si>
  <si>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</si>
  <si>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</si>
  <si>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</si>
  <si>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</si>
  <si>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</si>
  <si>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</si>
  <si>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</si>
  <si>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</si>
  <si>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</si>
  <si>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</si>
  <si>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</si>
  <si>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</si>
  <si>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</si>
  <si>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</si>
  <si>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</si>
  <si>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</si>
  <si>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</si>
  <si>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</si>
  <si>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</si>
  <si>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</si>
  <si>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</si>
  <si>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</si>
  <si>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</si>
  <si>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</si>
  <si>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</si>
  <si>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</si>
  <si>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</si>
  <si>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</si>
  <si>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</si>
  <si>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</si>
  <si>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</si>
  <si>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</si>
  <si>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</si>
  <si>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</si>
  <si>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</si>
  <si>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</si>
  <si>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</si>
  <si>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</si>
  <si>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</si>
  <si>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</si>
  <si>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</si>
  <si>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</si>
  <si>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</si>
  <si>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</si>
  <si>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</si>
  <si>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</si>
  <si>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</si>
  <si>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</si>
  <si>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</si>
  <si>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</si>
  <si>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</si>
  <si>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</si>
  <si>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</si>
  <si>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</si>
  <si>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</si>
  <si>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</si>
  <si>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</si>
  <si>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</si>
  <si>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</si>
  <si>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</si>
  <si>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</si>
  <si>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</si>
  <si>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</si>
  <si>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</si>
  <si>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</si>
  <si>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</si>
  <si>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</si>
  <si>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</si>
  <si>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</si>
  <si>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</si>
  <si>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</si>
  <si>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</si>
  <si>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</si>
  <si>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</si>
  <si>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</si>
  <si>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</si>
  <si>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</si>
  <si>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</si>
  <si>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</si>
  <si>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</si>
  <si>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</si>
  <si>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</si>
  <si>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</si>
  <si>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</si>
  <si>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</si>
  <si>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</si>
  <si>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</si>
  <si>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</si>
  <si>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</si>
  <si>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</si>
  <si>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</si>
  <si>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</si>
  <si>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</si>
  <si>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</si>
  <si>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</si>
  <si>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</si>
  <si>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</si>
  <si>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</si>
  <si>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</si>
  <si>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</si>
  <si>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</si>
  <si>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</si>
  <si>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</si>
  <si>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</si>
  <si>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</si>
  <si>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</si>
  <si>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</si>
  <si>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</si>
  <si>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</si>
  <si>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</si>
  <si>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</si>
  <si>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</si>
  <si>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</si>
  <si>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</si>
  <si>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</si>
  <si>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</si>
  <si>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</si>
  <si>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</si>
  <si>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</si>
  <si>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</si>
  <si>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</si>
  <si>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</si>
  <si>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</si>
  <si>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</si>
  <si>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</si>
  <si>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</si>
  <si>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</si>
  <si>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</si>
  <si>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</si>
  <si>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</si>
  <si>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</si>
  <si>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</si>
  <si>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</si>
  <si>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</si>
  <si>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</si>
  <si>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</si>
  <si>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</si>
  <si>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</si>
  <si>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</si>
  <si>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</si>
  <si>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</si>
  <si>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</si>
  <si>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</si>
  <si>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</si>
  <si>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</si>
  <si>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</si>
  <si>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</si>
  <si>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</si>
  <si>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</si>
  <si>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</si>
  <si>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</si>
  <si>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</si>
  <si>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</si>
  <si>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</si>
  <si>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</si>
  <si>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</si>
  <si>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</si>
  <si>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</si>
  <si>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</si>
  <si>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</si>
  <si>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</si>
  <si>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</si>
  <si>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</si>
  <si>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</si>
  <si>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</si>
  <si>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</si>
  <si>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</si>
  <si>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</si>
  <si>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</si>
  <si>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</si>
  <si>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</si>
  <si>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</si>
  <si>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</si>
  <si>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</si>
  <si>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</si>
  <si>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</si>
  <si>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</si>
  <si>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</si>
  <si>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</si>
  <si>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</si>
  <si>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</si>
  <si>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</si>
  <si>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</si>
  <si>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</si>
  <si>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</si>
  <si>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</si>
  <si>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</si>
  <si>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</si>
  <si>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</si>
  <si>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</si>
  <si>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</si>
  <si>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</si>
  <si>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</si>
  <si>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</si>
  <si>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</si>
  <si>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</si>
  <si>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</si>
  <si>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</si>
  <si>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</si>
  <si>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</si>
  <si>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</si>
  <si>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</si>
  <si>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</si>
  <si>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</si>
  <si>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</si>
  <si>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</si>
  <si>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</si>
  <si>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</si>
  <si>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</si>
  <si>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</si>
  <si>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</si>
  <si>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</si>
  <si>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</si>
  <si>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</si>
  <si>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</si>
  <si>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</si>
  <si>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</si>
  <si>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</si>
  <si>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</si>
  <si>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</si>
  <si>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</si>
  <si>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</si>
  <si>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</si>
  <si>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</si>
  <si>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</si>
  <si>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</si>
  <si>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</si>
  <si>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</si>
  <si>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</si>
  <si>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</si>
  <si>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</si>
  <si>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</si>
  <si>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</si>
  <si>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</si>
  <si>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</si>
  <si>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</si>
  <si>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</si>
  <si>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</si>
  <si>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</si>
  <si>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</si>
  <si>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</si>
  <si>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</si>
  <si>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</si>
  <si>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</si>
  <si>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</si>
  <si>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</si>
  <si>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</si>
  <si>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</si>
  <si>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</si>
  <si>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</si>
  <si>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</si>
  <si>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</si>
  <si>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</si>
  <si>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</si>
  <si>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</si>
  <si>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</si>
  <si>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</si>
  <si>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</si>
  <si>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</si>
  <si>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</si>
  <si>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</si>
  <si>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</si>
  <si>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</si>
  <si>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</si>
  <si>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</si>
  <si>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</si>
  <si>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</si>
  <si>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</si>
  <si>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</si>
  <si>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</si>
  <si>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</si>
  <si>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</si>
  <si>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</si>
  <si>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</si>
  <si>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</si>
  <si>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</si>
  <si>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</si>
  <si>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</si>
  <si>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</si>
  <si>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</si>
  <si>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</si>
  <si>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</si>
  <si>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</si>
  <si>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</si>
  <si>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</si>
  <si>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</si>
  <si>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</si>
  <si>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</si>
  <si>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</si>
  <si>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</si>
  <si>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</si>
  <si>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</si>
  <si>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</si>
  <si>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</si>
  <si>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</si>
  <si>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</si>
  <si>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</si>
  <si>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</si>
  <si>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</si>
  <si>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</si>
  <si>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</si>
  <si>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</si>
  <si>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</si>
  <si>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</si>
  <si>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</si>
  <si>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</si>
  <si>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</si>
  <si>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</si>
  <si>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</si>
  <si>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</si>
  <si>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</si>
  <si>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</si>
  <si>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</si>
  <si>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</si>
  <si>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</si>
  <si>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</si>
  <si>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</si>
  <si>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</si>
  <si>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</si>
  <si>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</si>
  <si>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</si>
  <si>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</si>
  <si>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</si>
  <si>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</si>
  <si>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</si>
  <si>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</si>
  <si>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</si>
  <si>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</si>
  <si>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</si>
  <si>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</si>
  <si>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</si>
  <si>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</si>
  <si>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</si>
  <si>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</si>
  <si>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</si>
  <si>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</si>
  <si>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</si>
  <si>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</si>
  <si>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</si>
  <si>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</si>
  <si>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</si>
  <si>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</si>
  <si>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</si>
  <si>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</si>
  <si>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</si>
  <si>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</si>
  <si>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</si>
  <si>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</si>
  <si>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</si>
  <si>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</si>
  <si>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</si>
  <si>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</si>
  <si>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</si>
  <si>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</si>
  <si>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</si>
  <si>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</si>
  <si>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</si>
  <si>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</si>
  <si>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</si>
  <si>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</si>
  <si>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</si>
  <si>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</si>
  <si>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</si>
  <si>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</si>
  <si>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</si>
  <si>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</si>
  <si>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</si>
  <si>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</si>
  <si>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</si>
  <si>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</si>
  <si>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</si>
  <si>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</si>
  <si>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</si>
  <si>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</si>
  <si>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</si>
  <si>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</si>
  <si>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</si>
  <si>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</si>
  <si>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</si>
  <si>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</si>
  <si>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</si>
  <si>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</si>
  <si>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</si>
  <si>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</si>
  <si>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</si>
  <si>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</si>
  <si>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</si>
  <si>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</si>
  <si>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</si>
  <si>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</si>
  <si>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</si>
  <si>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</si>
  <si>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</si>
  <si>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</si>
  <si>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</si>
  <si>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</si>
  <si>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</si>
  <si>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</si>
  <si>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</si>
  <si>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</si>
  <si>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</si>
  <si>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</si>
  <si>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</si>
  <si>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</si>
  <si>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</si>
  <si>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</si>
  <si>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</si>
  <si>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</si>
  <si>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</si>
  <si>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</si>
  <si>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</si>
  <si>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</si>
  <si>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</si>
  <si>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</si>
  <si>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</si>
  <si>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</si>
  <si>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</si>
  <si>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</si>
  <si>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</si>
  <si>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</si>
  <si>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</si>
  <si>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</si>
  <si>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</si>
  <si>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</si>
  <si>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</si>
  <si>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</si>
  <si>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</si>
  <si>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</si>
  <si>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</si>
  <si>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</si>
  <si>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</si>
  <si>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</si>
  <si>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</si>
  <si>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</si>
  <si>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</si>
  <si>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</si>
  <si>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</si>
  <si>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</si>
  <si>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</si>
  <si>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</si>
  <si>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</si>
  <si>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</si>
  <si>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</si>
  <si>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</si>
  <si>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</si>
  <si>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</si>
  <si>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</si>
  <si>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</si>
  <si>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</si>
  <si>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</si>
  <si>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</si>
  <si>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</si>
  <si>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</si>
  <si>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</si>
  <si>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</si>
  <si>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</si>
  <si>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</si>
  <si>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</si>
  <si>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</si>
  <si>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</si>
  <si>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</si>
  <si>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</si>
  <si>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</si>
  <si>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</si>
  <si>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</si>
  <si>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</si>
  <si>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</si>
  <si>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</si>
  <si>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</si>
  <si>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</si>
  <si>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</si>
  <si>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</si>
  <si>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</si>
  <si>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</si>
  <si>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</si>
  <si>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</si>
  <si>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</si>
  <si>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</si>
  <si>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</si>
  <si>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</si>
  <si>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</si>
  <si>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</si>
  <si>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</si>
  <si>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</si>
  <si>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</si>
  <si>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</si>
  <si>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</si>
  <si>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</si>
  <si>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</si>
  <si>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</si>
  <si>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</si>
  <si>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</si>
  <si>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</si>
  <si>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</si>
  <si>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</si>
  <si>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</si>
  <si>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</si>
  <si>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</si>
  <si>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</si>
  <si>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</si>
  <si>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</si>
  <si>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</si>
  <si>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</si>
  <si>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</si>
  <si>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</si>
  <si>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</si>
  <si>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</si>
  <si>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</si>
  <si>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</si>
  <si>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</si>
  <si>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</si>
  <si>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</si>
  <si>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</si>
  <si>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</si>
  <si>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</si>
  <si>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</si>
  <si>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</si>
  <si>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</si>
  <si>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</si>
  <si>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</si>
  <si>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</si>
  <si>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</si>
  <si>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</si>
  <si>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</si>
  <si>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</si>
  <si>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</si>
  <si>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</si>
  <si>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</si>
  <si>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</si>
  <si>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</si>
  <si>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</si>
  <si>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</si>
  <si>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</si>
  <si>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</si>
  <si>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</si>
  <si>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</si>
  <si>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</si>
  <si>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</si>
  <si>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</si>
  <si>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</si>
  <si>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</si>
  <si>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</si>
  <si>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</si>
  <si>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</si>
  <si>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</si>
  <si>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</si>
  <si>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</si>
  <si>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</si>
  <si>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</si>
  <si>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</si>
  <si>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</si>
  <si>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</si>
  <si>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</si>
  <si>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</si>
  <si>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</si>
  <si>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</si>
  <si>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</si>
  <si>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</si>
  <si>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</si>
  <si>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</si>
  <si>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</si>
  <si>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</si>
  <si>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</si>
  <si>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</si>
  <si>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</si>
  <si>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</si>
  <si>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</si>
  <si>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</si>
  <si>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</si>
  <si>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</si>
  <si>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</si>
  <si>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</si>
  <si>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</si>
  <si>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</si>
  <si>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</si>
  <si>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</si>
  <si>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</si>
  <si>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</si>
  <si>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</si>
  <si>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</si>
  <si>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</si>
  <si>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</si>
  <si>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</si>
  <si>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</si>
  <si>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</si>
  <si>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</si>
  <si>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</si>
  <si>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</si>
  <si>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</si>
  <si>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</si>
  <si>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</si>
  <si>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</si>
  <si>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</si>
  <si>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</si>
  <si>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</si>
  <si>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</si>
  <si>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</si>
  <si>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</si>
  <si>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</si>
  <si>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</si>
  <si>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</si>
  <si>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</si>
  <si>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</si>
  <si>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</si>
  <si>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</si>
  <si>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</si>
  <si>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</si>
  <si>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</si>
  <si>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</si>
  <si>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</si>
  <si>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</si>
  <si>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</si>
  <si>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</si>
  <si>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</si>
  <si>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</si>
  <si>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</si>
  <si>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</si>
  <si>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</si>
  <si>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</si>
  <si>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</si>
  <si>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</si>
  <si>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</si>
  <si>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</si>
  <si>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</si>
  <si>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</si>
  <si>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</si>
  <si>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</si>
  <si>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</si>
  <si>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</si>
  <si>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</si>
  <si>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</si>
  <si>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</si>
  <si>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</si>
  <si>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</si>
  <si>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</si>
  <si>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</si>
  <si>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</si>
  <si>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</si>
  <si>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</si>
  <si>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</si>
  <si>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</si>
  <si>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</si>
  <si>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</si>
  <si>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</si>
  <si>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</si>
  <si>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</si>
  <si>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</si>
  <si>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</si>
  <si>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</si>
  <si>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</si>
  <si>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</si>
  <si>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</si>
  <si>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</si>
  <si>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</si>
  <si>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</si>
  <si>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</si>
  <si>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</si>
  <si>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</si>
  <si>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</si>
  <si>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</si>
  <si>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</si>
  <si>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</si>
  <si>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</si>
  <si>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</si>
  <si>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</si>
  <si>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</si>
  <si>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</si>
  <si>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</si>
  <si>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</si>
  <si>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</si>
  <si>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</si>
  <si>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</si>
  <si>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</si>
  <si>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</si>
  <si>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</si>
  <si>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</si>
  <si>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</si>
  <si>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</si>
  <si>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</si>
  <si>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</si>
  <si>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</si>
  <si>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</si>
  <si>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</si>
  <si>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</si>
  <si>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</si>
  <si>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</si>
  <si>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</si>
  <si>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</si>
  <si>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</si>
  <si>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</si>
  <si>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</si>
  <si>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</si>
  <si>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</si>
  <si>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</si>
  <si>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</si>
  <si>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</si>
  <si>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</si>
  <si>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</si>
  <si>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</si>
  <si>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</si>
  <si>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</si>
  <si>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</si>
  <si>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</si>
  <si>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</si>
  <si>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</si>
  <si>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</si>
  <si>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</si>
  <si>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</si>
  <si>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</si>
  <si>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</si>
  <si>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</si>
  <si>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</si>
  <si>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</si>
  <si>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</si>
  <si>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</si>
  <si>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</si>
  <si>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</si>
  <si>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</si>
  <si>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</si>
  <si>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</si>
  <si>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</si>
  <si>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</si>
  <si>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</si>
  <si>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</si>
  <si>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</si>
  <si>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</si>
  <si>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</si>
  <si>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</si>
  <si>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</si>
  <si>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</si>
  <si>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</si>
  <si>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</si>
  <si>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</si>
  <si>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</si>
  <si>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</si>
  <si>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</si>
  <si>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</si>
  <si>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</si>
  <si>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</si>
  <si>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</si>
  <si>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</si>
  <si>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</si>
  <si>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</si>
  <si>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</si>
  <si>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</si>
  <si>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</si>
  <si>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</si>
  <si>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</si>
  <si>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</si>
  <si>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</si>
  <si>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</si>
  <si>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</si>
  <si>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</si>
  <si>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</si>
  <si>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</si>
  <si>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</si>
  <si>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</si>
  <si>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</si>
  <si>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</si>
  <si>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</si>
  <si>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</si>
  <si>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</si>
  <si>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</si>
  <si>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</si>
  <si>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</si>
  <si>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</si>
  <si>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</si>
  <si>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</si>
  <si>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</si>
  <si>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</si>
  <si>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</si>
  <si>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</si>
  <si>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</si>
  <si>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</si>
  <si>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</si>
  <si>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</si>
  <si>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</si>
  <si>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</si>
  <si>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</si>
  <si>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</si>
  <si>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</si>
  <si>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</si>
  <si>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</si>
  <si>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</si>
  <si>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</si>
  <si>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</si>
  <si>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</si>
  <si>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</si>
  <si>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</si>
  <si>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</si>
  <si>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</si>
  <si>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</si>
  <si>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</si>
  <si>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</si>
  <si>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</si>
  <si>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</si>
  <si>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</si>
  <si>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</si>
  <si>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</si>
  <si>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</si>
  <si>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ItemTotal</t>
  </si>
  <si>
    <t>InvoiceID</t>
  </si>
  <si>
    <t>ShipmentType</t>
  </si>
  <si>
    <t>WarehouseLocation</t>
  </si>
  <si>
    <t>TermsofPayment</t>
  </si>
  <si>
    <t>ShippingCost</t>
  </si>
  <si>
    <t>Taxes</t>
  </si>
  <si>
    <t>IV0001</t>
  </si>
  <si>
    <t>Cargo</t>
  </si>
  <si>
    <t>COD</t>
  </si>
  <si>
    <t>IV0002</t>
  </si>
  <si>
    <t>IV0003</t>
  </si>
  <si>
    <t>Reguler</t>
  </si>
  <si>
    <t>NET60</t>
  </si>
  <si>
    <t>IV0004</t>
  </si>
  <si>
    <t>IV0005</t>
  </si>
  <si>
    <t>IV0006</t>
  </si>
  <si>
    <t>IV0007</t>
  </si>
  <si>
    <t>NET90</t>
  </si>
  <si>
    <t>IV0008</t>
  </si>
  <si>
    <t>IV0009</t>
  </si>
  <si>
    <t>CBD</t>
  </si>
  <si>
    <t>IV0010</t>
  </si>
  <si>
    <t>IV0011</t>
  </si>
  <si>
    <t>IV0012</t>
  </si>
  <si>
    <t>IV0013</t>
  </si>
  <si>
    <t>IV0014</t>
  </si>
  <si>
    <t>IV0015</t>
  </si>
  <si>
    <t>EOM</t>
  </si>
  <si>
    <t>IV0016</t>
  </si>
  <si>
    <t>IV0017</t>
  </si>
  <si>
    <t>IV0018</t>
  </si>
  <si>
    <t>IV0019</t>
  </si>
  <si>
    <t>IV0020</t>
  </si>
  <si>
    <t>IV0021</t>
  </si>
  <si>
    <t>IV0022</t>
  </si>
  <si>
    <t>IV0023</t>
  </si>
  <si>
    <t>IV0024</t>
  </si>
  <si>
    <t>IV0025</t>
  </si>
  <si>
    <t>IV0026</t>
  </si>
  <si>
    <t>IV0027</t>
  </si>
  <si>
    <t>IV0028</t>
  </si>
  <si>
    <t>IV0029</t>
  </si>
  <si>
    <t>IV0030</t>
  </si>
  <si>
    <t>IV0031</t>
  </si>
  <si>
    <t>IV0032</t>
  </si>
  <si>
    <t>IV0033</t>
  </si>
  <si>
    <t>IV0034</t>
  </si>
  <si>
    <t>IV0035</t>
  </si>
  <si>
    <t>IV0036</t>
  </si>
  <si>
    <t>IV0037</t>
  </si>
  <si>
    <t>IV0038</t>
  </si>
  <si>
    <t>IV0039</t>
  </si>
  <si>
    <t>IV0040</t>
  </si>
  <si>
    <t>IV0041</t>
  </si>
  <si>
    <t>IV0042</t>
  </si>
  <si>
    <t>IV0043</t>
  </si>
  <si>
    <t>IV0044</t>
  </si>
  <si>
    <t>IV0045</t>
  </si>
  <si>
    <t>IV0046</t>
  </si>
  <si>
    <t>IV0047</t>
  </si>
  <si>
    <t>IV0048</t>
  </si>
  <si>
    <t>IV0049</t>
  </si>
  <si>
    <t>IV0050</t>
  </si>
  <si>
    <t>IV0051</t>
  </si>
  <si>
    <t>IV0052</t>
  </si>
  <si>
    <t>IV0053</t>
  </si>
  <si>
    <t>IV0054</t>
  </si>
  <si>
    <t>IV0055</t>
  </si>
  <si>
    <t>IV0056</t>
  </si>
  <si>
    <t>IV0057</t>
  </si>
  <si>
    <t>IV0058</t>
  </si>
  <si>
    <t>IV0059</t>
  </si>
  <si>
    <t>IV0060</t>
  </si>
  <si>
    <t>IV0061</t>
  </si>
  <si>
    <t>IV0062</t>
  </si>
  <si>
    <t>IV0063</t>
  </si>
  <si>
    <t>IV0064</t>
  </si>
  <si>
    <t>IV0065</t>
  </si>
  <si>
    <t>IV0066</t>
  </si>
  <si>
    <t>IV0067</t>
  </si>
  <si>
    <t>IV0068</t>
  </si>
  <si>
    <t>IV0069</t>
  </si>
  <si>
    <t>IV0070</t>
  </si>
  <si>
    <t>IV0071</t>
  </si>
  <si>
    <t>IV0072</t>
  </si>
  <si>
    <t>IV0073</t>
  </si>
  <si>
    <t>IV0074</t>
  </si>
  <si>
    <t>IV0075</t>
  </si>
  <si>
    <t>IV0076</t>
  </si>
  <si>
    <t>IV0077</t>
  </si>
  <si>
    <t>IV0078</t>
  </si>
  <si>
    <t>IV0079</t>
  </si>
  <si>
    <t>IV0080</t>
  </si>
  <si>
    <t>IV0081</t>
  </si>
  <si>
    <t>IV0082</t>
  </si>
  <si>
    <t>IV0083</t>
  </si>
  <si>
    <t>IV0084</t>
  </si>
  <si>
    <t>IV0085</t>
  </si>
  <si>
    <t>IV0086</t>
  </si>
  <si>
    <t>IV0087</t>
  </si>
  <si>
    <t>IV0088</t>
  </si>
  <si>
    <t>IV0089</t>
  </si>
  <si>
    <t>IV0090</t>
  </si>
  <si>
    <t>IV0091</t>
  </si>
  <si>
    <t>IV0092</t>
  </si>
  <si>
    <t>IV0093</t>
  </si>
  <si>
    <t>IV0094</t>
  </si>
  <si>
    <t>IV0095</t>
  </si>
  <si>
    <t>IV0096</t>
  </si>
  <si>
    <t>IV0097</t>
  </si>
  <si>
    <t>IV0098</t>
  </si>
  <si>
    <t>IV0099</t>
  </si>
  <si>
    <t>IV0100</t>
  </si>
  <si>
    <t>IV0101</t>
  </si>
  <si>
    <t>IV0102</t>
  </si>
  <si>
    <t>IV0103</t>
  </si>
  <si>
    <t>IV0104</t>
  </si>
  <si>
    <t>IV0105</t>
  </si>
  <si>
    <t>IV0106</t>
  </si>
  <si>
    <t>IV0107</t>
  </si>
  <si>
    <t>IV0108</t>
  </si>
  <si>
    <t>IV0109</t>
  </si>
  <si>
    <t>IV0110</t>
  </si>
  <si>
    <t>IV0111</t>
  </si>
  <si>
    <t>IV0112</t>
  </si>
  <si>
    <t>IV0113</t>
  </si>
  <si>
    <t>IV0114</t>
  </si>
  <si>
    <t>IV0115</t>
  </si>
  <si>
    <t>IV0116</t>
  </si>
  <si>
    <t>IV0117</t>
  </si>
  <si>
    <t>IV0118</t>
  </si>
  <si>
    <t>IV0119</t>
  </si>
  <si>
    <t>IV0120</t>
  </si>
  <si>
    <t>IV0121</t>
  </si>
  <si>
    <t>IV0122</t>
  </si>
  <si>
    <t>IV0123</t>
  </si>
  <si>
    <t>IV0124</t>
  </si>
  <si>
    <t>IV0125</t>
  </si>
  <si>
    <t>IV0126</t>
  </si>
  <si>
    <t>IV0127</t>
  </si>
  <si>
    <t>IV0128</t>
  </si>
  <si>
    <t>IV0129</t>
  </si>
  <si>
    <t>IV0130</t>
  </si>
  <si>
    <t>IV0131</t>
  </si>
  <si>
    <t>IV0132</t>
  </si>
  <si>
    <t>IV0133</t>
  </si>
  <si>
    <t>IV0134</t>
  </si>
  <si>
    <t>IV0135</t>
  </si>
  <si>
    <t>IV0136</t>
  </si>
  <si>
    <t>IV0137</t>
  </si>
  <si>
    <t>IV0138</t>
  </si>
  <si>
    <t>IV0139</t>
  </si>
  <si>
    <t>IV0140</t>
  </si>
  <si>
    <t>IV0141</t>
  </si>
  <si>
    <t>IV0142</t>
  </si>
  <si>
    <t>IV0143</t>
  </si>
  <si>
    <t>IV0144</t>
  </si>
  <si>
    <t>IV0145</t>
  </si>
  <si>
    <t>IV0146</t>
  </si>
  <si>
    <t>IV0147</t>
  </si>
  <si>
    <t>IV0148</t>
  </si>
  <si>
    <t>IV0149</t>
  </si>
  <si>
    <t>IV0150</t>
  </si>
  <si>
    <t>IV0151</t>
  </si>
  <si>
    <t>IV0152</t>
  </si>
  <si>
    <t>IV0153</t>
  </si>
  <si>
    <t>IV0154</t>
  </si>
  <si>
    <t>IV0155</t>
  </si>
  <si>
    <t>IV0156</t>
  </si>
  <si>
    <t>IV0157</t>
  </si>
  <si>
    <t>IV0158</t>
  </si>
  <si>
    <t>IV0159</t>
  </si>
  <si>
    <t>IV0160</t>
  </si>
  <si>
    <t>IV0161</t>
  </si>
  <si>
    <t>IV0162</t>
  </si>
  <si>
    <t>IV0163</t>
  </si>
  <si>
    <t>IV0164</t>
  </si>
  <si>
    <t>IV0165</t>
  </si>
  <si>
    <t>IV0166</t>
  </si>
  <si>
    <t>IV0167</t>
  </si>
  <si>
    <t>IV0168</t>
  </si>
  <si>
    <t>IV0169</t>
  </si>
  <si>
    <t>IV0170</t>
  </si>
  <si>
    <t>IV0171</t>
  </si>
  <si>
    <t>IV0172</t>
  </si>
  <si>
    <t>IV0173</t>
  </si>
  <si>
    <t>IV0174</t>
  </si>
  <si>
    <t>IV0175</t>
  </si>
  <si>
    <t>IV0176</t>
  </si>
  <si>
    <t>IV0177</t>
  </si>
  <si>
    <t>IV0178</t>
  </si>
  <si>
    <t>IV0179</t>
  </si>
  <si>
    <t>IV0180</t>
  </si>
  <si>
    <t>IV0181</t>
  </si>
  <si>
    <t>IV0182</t>
  </si>
  <si>
    <t>IV0183</t>
  </si>
  <si>
    <t>IV0184</t>
  </si>
  <si>
    <t>IV0185</t>
  </si>
  <si>
    <t>IV0186</t>
  </si>
  <si>
    <t>IV0187</t>
  </si>
  <si>
    <t>IV0188</t>
  </si>
  <si>
    <t>IV0189</t>
  </si>
  <si>
    <t>IV0190</t>
  </si>
  <si>
    <t>IV0191</t>
  </si>
  <si>
    <t>IV0192</t>
  </si>
  <si>
    <t>IV0193</t>
  </si>
  <si>
    <t>IV0194</t>
  </si>
  <si>
    <t>IV0195</t>
  </si>
  <si>
    <t>IV0196</t>
  </si>
  <si>
    <t>IV0197</t>
  </si>
  <si>
    <t>IV0198</t>
  </si>
  <si>
    <t>IV0199</t>
  </si>
  <si>
    <t>IV0200</t>
  </si>
  <si>
    <t>IV0201</t>
  </si>
  <si>
    <t>IV0202</t>
  </si>
  <si>
    <t>IV0203</t>
  </si>
  <si>
    <t>IV0204</t>
  </si>
  <si>
    <t>IV0205</t>
  </si>
  <si>
    <t>IV0206</t>
  </si>
  <si>
    <t>IV0207</t>
  </si>
  <si>
    <t>IV0208</t>
  </si>
  <si>
    <t>IV0209</t>
  </si>
  <si>
    <t>IV0210</t>
  </si>
  <si>
    <t>IV0211</t>
  </si>
  <si>
    <t>IV0212</t>
  </si>
  <si>
    <t>IV0213</t>
  </si>
  <si>
    <t>IV0214</t>
  </si>
  <si>
    <t>IV0215</t>
  </si>
  <si>
    <t>IV0216</t>
  </si>
  <si>
    <t>IV0217</t>
  </si>
  <si>
    <t>IV0218</t>
  </si>
  <si>
    <t>IV0219</t>
  </si>
  <si>
    <t>IV0220</t>
  </si>
  <si>
    <t>IV0221</t>
  </si>
  <si>
    <t>IV0222</t>
  </si>
  <si>
    <t>IV0223</t>
  </si>
  <si>
    <t>IV0224</t>
  </si>
  <si>
    <t>IV0225</t>
  </si>
  <si>
    <t>IV0226</t>
  </si>
  <si>
    <t>IV0227</t>
  </si>
  <si>
    <t>IV0228</t>
  </si>
  <si>
    <t>IV0229</t>
  </si>
  <si>
    <t>IV0230</t>
  </si>
  <si>
    <t>IV0231</t>
  </si>
  <si>
    <t>IV0232</t>
  </si>
  <si>
    <t>IV0233</t>
  </si>
  <si>
    <t>IV0234</t>
  </si>
  <si>
    <t>IV0235</t>
  </si>
  <si>
    <t>IV0236</t>
  </si>
  <si>
    <t>IV0237</t>
  </si>
  <si>
    <t>IV0238</t>
  </si>
  <si>
    <t>IV0239</t>
  </si>
  <si>
    <t>IV0240</t>
  </si>
  <si>
    <t>IV0241</t>
  </si>
  <si>
    <t>IV0242</t>
  </si>
  <si>
    <t>IV0243</t>
  </si>
  <si>
    <t>IV0244</t>
  </si>
  <si>
    <t>IV0245</t>
  </si>
  <si>
    <t>IV0246</t>
  </si>
  <si>
    <t>IV0247</t>
  </si>
  <si>
    <t>IV0248</t>
  </si>
  <si>
    <t>IV0249</t>
  </si>
  <si>
    <t>IV0250</t>
  </si>
  <si>
    <t>IV0251</t>
  </si>
  <si>
    <t>IV0252</t>
  </si>
  <si>
    <t>IV0253</t>
  </si>
  <si>
    <t>IV0254</t>
  </si>
  <si>
    <t>IV0255</t>
  </si>
  <si>
    <t>IV0256</t>
  </si>
  <si>
    <t>IV0257</t>
  </si>
  <si>
    <t>IV0258</t>
  </si>
  <si>
    <t>IV0259</t>
  </si>
  <si>
    <t>IV0260</t>
  </si>
  <si>
    <t>IV0261</t>
  </si>
  <si>
    <t>IV0262</t>
  </si>
  <si>
    <t>IV0263</t>
  </si>
  <si>
    <t>IV0264</t>
  </si>
  <si>
    <t>IV0265</t>
  </si>
  <si>
    <t>IV0266</t>
  </si>
  <si>
    <t>IV0267</t>
  </si>
  <si>
    <t>IV0268</t>
  </si>
  <si>
    <t>IV0269</t>
  </si>
  <si>
    <t>IV0270</t>
  </si>
  <si>
    <t>IV0271</t>
  </si>
  <si>
    <t>IV0272</t>
  </si>
  <si>
    <t>IV0273</t>
  </si>
  <si>
    <t>IV0274</t>
  </si>
  <si>
    <t>IV0275</t>
  </si>
  <si>
    <t>IV0276</t>
  </si>
  <si>
    <t>IV0277</t>
  </si>
  <si>
    <t>IV0278</t>
  </si>
  <si>
    <t>IV0279</t>
  </si>
  <si>
    <t>IV0280</t>
  </si>
  <si>
    <t>IV0281</t>
  </si>
  <si>
    <t>IV0282</t>
  </si>
  <si>
    <t>IV0283</t>
  </si>
  <si>
    <t>IV0284</t>
  </si>
  <si>
    <t>IV0285</t>
  </si>
  <si>
    <t>IV0286</t>
  </si>
  <si>
    <t>IV0287</t>
  </si>
  <si>
    <t>IV0288</t>
  </si>
  <si>
    <t>IV0289</t>
  </si>
  <si>
    <t>IV0290</t>
  </si>
  <si>
    <t>IV0291</t>
  </si>
  <si>
    <t>IV0292</t>
  </si>
  <si>
    <t>IV0293</t>
  </si>
  <si>
    <t>IV0294</t>
  </si>
  <si>
    <t>IV0295</t>
  </si>
  <si>
    <t>IV0296</t>
  </si>
  <si>
    <t>IV0297</t>
  </si>
  <si>
    <t>IV0298</t>
  </si>
  <si>
    <t>IV0299</t>
  </si>
  <si>
    <t>IV0300</t>
  </si>
  <si>
    <t>IV0301</t>
  </si>
  <si>
    <t>IV0302</t>
  </si>
  <si>
    <t>IV0303</t>
  </si>
  <si>
    <t>IV0304</t>
  </si>
  <si>
    <t>IV0305</t>
  </si>
  <si>
    <t>IV0306</t>
  </si>
  <si>
    <t>IV0307</t>
  </si>
  <si>
    <t>IV0308</t>
  </si>
  <si>
    <t>IV0309</t>
  </si>
  <si>
    <t>IV0310</t>
  </si>
  <si>
    <t>IV0311</t>
  </si>
  <si>
    <t>IV0312</t>
  </si>
  <si>
    <t>IV0313</t>
  </si>
  <si>
    <t>IV0314</t>
  </si>
  <si>
    <t>IV0315</t>
  </si>
  <si>
    <t>IV0316</t>
  </si>
  <si>
    <t>IV0317</t>
  </si>
  <si>
    <t>IV0318</t>
  </si>
  <si>
    <t>IV0319</t>
  </si>
  <si>
    <t>IV0320</t>
  </si>
  <si>
    <t>IV0321</t>
  </si>
  <si>
    <t>IV0322</t>
  </si>
  <si>
    <t>IV0323</t>
  </si>
  <si>
    <t>IV0324</t>
  </si>
  <si>
    <t>IV0325</t>
  </si>
  <si>
    <t>IV0326</t>
  </si>
  <si>
    <t>IV0327</t>
  </si>
  <si>
    <t>IV0328</t>
  </si>
  <si>
    <t>IV0329</t>
  </si>
  <si>
    <t>IV0330</t>
  </si>
  <si>
    <t>IV0331</t>
  </si>
  <si>
    <t>IV0332</t>
  </si>
  <si>
    <t>IV0333</t>
  </si>
  <si>
    <t>IV0334</t>
  </si>
  <si>
    <t>IV0335</t>
  </si>
  <si>
    <t>IV0336</t>
  </si>
  <si>
    <t>IV0337</t>
  </si>
  <si>
    <t>IV0338</t>
  </si>
  <si>
    <t>IV0339</t>
  </si>
  <si>
    <t>IV0340</t>
  </si>
  <si>
    <t>IV0341</t>
  </si>
  <si>
    <t>IV0342</t>
  </si>
  <si>
    <t>IV0343</t>
  </si>
  <si>
    <t>IV0344</t>
  </si>
  <si>
    <t>IV0345</t>
  </si>
  <si>
    <t>IV0346</t>
  </si>
  <si>
    <t>IV0347</t>
  </si>
  <si>
    <t>IV0348</t>
  </si>
  <si>
    <t>IV0349</t>
  </si>
  <si>
    <t>IV0350</t>
  </si>
  <si>
    <t>IV0351</t>
  </si>
  <si>
    <t>IV0352</t>
  </si>
  <si>
    <t>IV0353</t>
  </si>
  <si>
    <t>IV0354</t>
  </si>
  <si>
    <t>IV0355</t>
  </si>
  <si>
    <t>IV0356</t>
  </si>
  <si>
    <t>IV0357</t>
  </si>
  <si>
    <t>IV0358</t>
  </si>
  <si>
    <t>IV0359</t>
  </si>
  <si>
    <t>IV0360</t>
  </si>
  <si>
    <t>IV0361</t>
  </si>
  <si>
    <t>IV0362</t>
  </si>
  <si>
    <t>IV0363</t>
  </si>
  <si>
    <t>IV0364</t>
  </si>
  <si>
    <t>IV0365</t>
  </si>
  <si>
    <t>IV0366</t>
  </si>
  <si>
    <t>IV0367</t>
  </si>
  <si>
    <t>IV0368</t>
  </si>
  <si>
    <t>IV0369</t>
  </si>
  <si>
    <t>IV0370</t>
  </si>
  <si>
    <t>IV0371</t>
  </si>
  <si>
    <t>IV0372</t>
  </si>
  <si>
    <t>IV0373</t>
  </si>
  <si>
    <t>IV0374</t>
  </si>
  <si>
    <t>IV0375</t>
  </si>
  <si>
    <t>IV0376</t>
  </si>
  <si>
    <t>IV0377</t>
  </si>
  <si>
    <t>IV0378</t>
  </si>
  <si>
    <t>IV0379</t>
  </si>
  <si>
    <t>IV0380</t>
  </si>
  <si>
    <t>IV0381</t>
  </si>
  <si>
    <t>IV0382</t>
  </si>
  <si>
    <t>IV0383</t>
  </si>
  <si>
    <t>IV0384</t>
  </si>
  <si>
    <t>IV0385</t>
  </si>
  <si>
    <t>IV0386</t>
  </si>
  <si>
    <t>IV0387</t>
  </si>
  <si>
    <t>IV0388</t>
  </si>
  <si>
    <t>IV0389</t>
  </si>
  <si>
    <t>IV0390</t>
  </si>
  <si>
    <t>IV0391</t>
  </si>
  <si>
    <t>IV0392</t>
  </si>
  <si>
    <t>IV0393</t>
  </si>
  <si>
    <t>IV0394</t>
  </si>
  <si>
    <t>IV0395</t>
  </si>
  <si>
    <t>IV0396</t>
  </si>
  <si>
    <t>IV0397</t>
  </si>
  <si>
    <t>IV0398</t>
  </si>
  <si>
    <t>IV0399</t>
  </si>
  <si>
    <t>IV0400</t>
  </si>
  <si>
    <t>IV0401</t>
  </si>
  <si>
    <t>IV0402</t>
  </si>
  <si>
    <t>IV0403</t>
  </si>
  <si>
    <t>IV0404</t>
  </si>
  <si>
    <t>IV0405</t>
  </si>
  <si>
    <t>IV0406</t>
  </si>
  <si>
    <t>IV0407</t>
  </si>
  <si>
    <t>IV0408</t>
  </si>
  <si>
    <t>IV0409</t>
  </si>
  <si>
    <t>IV0410</t>
  </si>
  <si>
    <t>IV0411</t>
  </si>
  <si>
    <t>IV0412</t>
  </si>
  <si>
    <t>IV0413</t>
  </si>
  <si>
    <t>IV0414</t>
  </si>
  <si>
    <t>IV0415</t>
  </si>
  <si>
    <t>IV0416</t>
  </si>
  <si>
    <t>IV0417</t>
  </si>
  <si>
    <t>IV0418</t>
  </si>
  <si>
    <t>IV0419</t>
  </si>
  <si>
    <t>IV0420</t>
  </si>
  <si>
    <t>IV0421</t>
  </si>
  <si>
    <t>IV0422</t>
  </si>
  <si>
    <t>IV0423</t>
  </si>
  <si>
    <t>IV0424</t>
  </si>
  <si>
    <t>IV0425</t>
  </si>
  <si>
    <t>IV0426</t>
  </si>
  <si>
    <t>IV0427</t>
  </si>
  <si>
    <t>IV0428</t>
  </si>
  <si>
    <t>IV0429</t>
  </si>
  <si>
    <t>IV0430</t>
  </si>
  <si>
    <t>IV0431</t>
  </si>
  <si>
    <t>IV0432</t>
  </si>
  <si>
    <t>IV0433</t>
  </si>
  <si>
    <t>IV0434</t>
  </si>
  <si>
    <t>IV0435</t>
  </si>
  <si>
    <t>IV0436</t>
  </si>
  <si>
    <t>IV0437</t>
  </si>
  <si>
    <t>IV0438</t>
  </si>
  <si>
    <t>IV0439</t>
  </si>
  <si>
    <t>IV0440</t>
  </si>
  <si>
    <t>IV0441</t>
  </si>
  <si>
    <t>IV0442</t>
  </si>
  <si>
    <t>IV0443</t>
  </si>
  <si>
    <t>IV0444</t>
  </si>
  <si>
    <t>IV0445</t>
  </si>
  <si>
    <t>IV0446</t>
  </si>
  <si>
    <t>IV0447</t>
  </si>
  <si>
    <t>IV0448</t>
  </si>
  <si>
    <t>IV0449</t>
  </si>
  <si>
    <t>IV0450</t>
  </si>
  <si>
    <t>IV0451</t>
  </si>
  <si>
    <t>IV0452</t>
  </si>
  <si>
    <t>IV0453</t>
  </si>
  <si>
    <t>IV0454</t>
  </si>
  <si>
    <t>IV0455</t>
  </si>
  <si>
    <t>IV0456</t>
  </si>
  <si>
    <t>IV0457</t>
  </si>
  <si>
    <t>IV0458</t>
  </si>
  <si>
    <t>IV0459</t>
  </si>
  <si>
    <t>IV0460</t>
  </si>
  <si>
    <t>IV0461</t>
  </si>
  <si>
    <t>IV0462</t>
  </si>
  <si>
    <t>IV0463</t>
  </si>
  <si>
    <t>IV0464</t>
  </si>
  <si>
    <t>IV0465</t>
  </si>
  <si>
    <t>IV0466</t>
  </si>
  <si>
    <t>IV0467</t>
  </si>
  <si>
    <t>IV0468</t>
  </si>
  <si>
    <t>IV0469</t>
  </si>
  <si>
    <t>IV0470</t>
  </si>
  <si>
    <t>IV0471</t>
  </si>
  <si>
    <t>IV0472</t>
  </si>
  <si>
    <t>IV0473</t>
  </si>
  <si>
    <t>IV0474</t>
  </si>
  <si>
    <t>IV0475</t>
  </si>
  <si>
    <t>IV0476</t>
  </si>
  <si>
    <t>IV0477</t>
  </si>
  <si>
    <t>IV0478</t>
  </si>
  <si>
    <t>IV0479</t>
  </si>
  <si>
    <t>IV0480</t>
  </si>
  <si>
    <t>IV0481</t>
  </si>
  <si>
    <t>IV0482</t>
  </si>
  <si>
    <t>IV0483</t>
  </si>
  <si>
    <t>IV0484</t>
  </si>
  <si>
    <t>IV0485</t>
  </si>
  <si>
    <t>IV0486</t>
  </si>
  <si>
    <t>IV0487</t>
  </si>
  <si>
    <t>IV0488</t>
  </si>
  <si>
    <t>IV0489</t>
  </si>
  <si>
    <t>IV0490</t>
  </si>
  <si>
    <t>IV0491</t>
  </si>
  <si>
    <t>IV0492</t>
  </si>
  <si>
    <t>IV0493</t>
  </si>
  <si>
    <t>IV0494</t>
  </si>
  <si>
    <t>IV0495</t>
  </si>
  <si>
    <t>IV0496</t>
  </si>
  <si>
    <t>IV0497</t>
  </si>
  <si>
    <t>IV0498</t>
  </si>
  <si>
    <t>IV0499</t>
  </si>
  <si>
    <t>IV0500</t>
  </si>
  <si>
    <t>IV0501</t>
  </si>
  <si>
    <t>IV0502</t>
  </si>
  <si>
    <t>IV0503</t>
  </si>
  <si>
    <t>IV0504</t>
  </si>
  <si>
    <t>IV0505</t>
  </si>
  <si>
    <t>IV0506</t>
  </si>
  <si>
    <t>IV0507</t>
  </si>
  <si>
    <t>IV0508</t>
  </si>
  <si>
    <t>IV0509</t>
  </si>
  <si>
    <t>IV0510</t>
  </si>
  <si>
    <t>IV0511</t>
  </si>
  <si>
    <t>IV0512</t>
  </si>
  <si>
    <t>IV0513</t>
  </si>
  <si>
    <t>IV0514</t>
  </si>
  <si>
    <t>IV0515</t>
  </si>
  <si>
    <t>IV0516</t>
  </si>
  <si>
    <t>IV0517</t>
  </si>
  <si>
    <t>IV0518</t>
  </si>
  <si>
    <t>IV0519</t>
  </si>
  <si>
    <t>IV0520</t>
  </si>
  <si>
    <t>IV0521</t>
  </si>
  <si>
    <t>IV0522</t>
  </si>
  <si>
    <t>IV0523</t>
  </si>
  <si>
    <t>IV0524</t>
  </si>
  <si>
    <t>IV0525</t>
  </si>
  <si>
    <t>IV0526</t>
  </si>
  <si>
    <t>IV0527</t>
  </si>
  <si>
    <t>IV0528</t>
  </si>
  <si>
    <t>IV0529</t>
  </si>
  <si>
    <t>IV0530</t>
  </si>
  <si>
    <t>IV0531</t>
  </si>
  <si>
    <t>IV0532</t>
  </si>
  <si>
    <t>IV0533</t>
  </si>
  <si>
    <t>IV0534</t>
  </si>
  <si>
    <t>IV0535</t>
  </si>
  <si>
    <t>IV0536</t>
  </si>
  <si>
    <t>IV0537</t>
  </si>
  <si>
    <t>IV0538</t>
  </si>
  <si>
    <t>IV0539</t>
  </si>
  <si>
    <t>IV0540</t>
  </si>
  <si>
    <t>IV0541</t>
  </si>
  <si>
    <t>IV0542</t>
  </si>
  <si>
    <t>IV0543</t>
  </si>
  <si>
    <t>IV0544</t>
  </si>
  <si>
    <t>IV0545</t>
  </si>
  <si>
    <t>IV0546</t>
  </si>
  <si>
    <t>IV0547</t>
  </si>
  <si>
    <t>IV0548</t>
  </si>
  <si>
    <t>IV0549</t>
  </si>
  <si>
    <t>IV0550</t>
  </si>
  <si>
    <t>IV0551</t>
  </si>
  <si>
    <t>IV0552</t>
  </si>
  <si>
    <t>IV0553</t>
  </si>
  <si>
    <t>IV0554</t>
  </si>
  <si>
    <t>IV0555</t>
  </si>
  <si>
    <t>IV0556</t>
  </si>
  <si>
    <t>IV0557</t>
  </si>
  <si>
    <t>IV0558</t>
  </si>
  <si>
    <t>IV0559</t>
  </si>
  <si>
    <t>IV0560</t>
  </si>
  <si>
    <t>IV0561</t>
  </si>
  <si>
    <t>IV0562</t>
  </si>
  <si>
    <t>IV0563</t>
  </si>
  <si>
    <t>IV0564</t>
  </si>
  <si>
    <t>IV0565</t>
  </si>
  <si>
    <t>IV0566</t>
  </si>
  <si>
    <t>IV0567</t>
  </si>
  <si>
    <t>IV0568</t>
  </si>
  <si>
    <t>IV0569</t>
  </si>
  <si>
    <t>IV0570</t>
  </si>
  <si>
    <t>IV0571</t>
  </si>
  <si>
    <t>IV0572</t>
  </si>
  <si>
    <t>IV0573</t>
  </si>
  <si>
    <t>IV0574</t>
  </si>
  <si>
    <t>IV0575</t>
  </si>
  <si>
    <t>IV0576</t>
  </si>
  <si>
    <t>IV0577</t>
  </si>
  <si>
    <t>IV0578</t>
  </si>
  <si>
    <t>IV0579</t>
  </si>
  <si>
    <t>IV0580</t>
  </si>
  <si>
    <t>IV0581</t>
  </si>
  <si>
    <t>IV0582</t>
  </si>
  <si>
    <t>IV0583</t>
  </si>
  <si>
    <t>IV0584</t>
  </si>
  <si>
    <t>IV0585</t>
  </si>
  <si>
    <t>IV0586</t>
  </si>
  <si>
    <t>IV0587</t>
  </si>
  <si>
    <t>IV0588</t>
  </si>
  <si>
    <t>IV0589</t>
  </si>
  <si>
    <t>IV0590</t>
  </si>
  <si>
    <t>IV0591</t>
  </si>
  <si>
    <t>IV0592</t>
  </si>
  <si>
    <t>IV0593</t>
  </si>
  <si>
    <t>IV0594</t>
  </si>
  <si>
    <t>IV0595</t>
  </si>
  <si>
    <t>IV0596</t>
  </si>
  <si>
    <t>IV0597</t>
  </si>
  <si>
    <t>IV0598</t>
  </si>
  <si>
    <t>IV0599</t>
  </si>
  <si>
    <t>IV0600</t>
  </si>
  <si>
    <t>IV0601</t>
  </si>
  <si>
    <t>IV0602</t>
  </si>
  <si>
    <t>IV0603</t>
  </si>
  <si>
    <t>IV0604</t>
  </si>
  <si>
    <t>IV0605</t>
  </si>
  <si>
    <t>IV0606</t>
  </si>
  <si>
    <t>IV0607</t>
  </si>
  <si>
    <t>IV0608</t>
  </si>
  <si>
    <t>IV0609</t>
  </si>
  <si>
    <t>IV0610</t>
  </si>
  <si>
    <t>IV0611</t>
  </si>
  <si>
    <t>IV0612</t>
  </si>
  <si>
    <t>IV0613</t>
  </si>
  <si>
    <t>IV0614</t>
  </si>
  <si>
    <t>IV0615</t>
  </si>
  <si>
    <t>IV0616</t>
  </si>
  <si>
    <t>IV0617</t>
  </si>
  <si>
    <t>IV0618</t>
  </si>
  <si>
    <t>IV0619</t>
  </si>
  <si>
    <t>IV0620</t>
  </si>
  <si>
    <t>IV0621</t>
  </si>
  <si>
    <t>IV0622</t>
  </si>
  <si>
    <t>IV0623</t>
  </si>
  <si>
    <t>IV0624</t>
  </si>
  <si>
    <t>IV0625</t>
  </si>
  <si>
    <t>IV0626</t>
  </si>
  <si>
    <t>IV0627</t>
  </si>
  <si>
    <t>IV0628</t>
  </si>
  <si>
    <t>IV0629</t>
  </si>
  <si>
    <t>IV0630</t>
  </si>
  <si>
    <t>IV0631</t>
  </si>
  <si>
    <t>IV0632</t>
  </si>
  <si>
    <t>IV0633</t>
  </si>
  <si>
    <t>IV0634</t>
  </si>
  <si>
    <t>IV0635</t>
  </si>
  <si>
    <t>IV0636</t>
  </si>
  <si>
    <t>IV0637</t>
  </si>
  <si>
    <t>IV0638</t>
  </si>
  <si>
    <t>IV0639</t>
  </si>
  <si>
    <t>IV0640</t>
  </si>
  <si>
    <t>IV0641</t>
  </si>
  <si>
    <t>IV0642</t>
  </si>
  <si>
    <t>IV0643</t>
  </si>
  <si>
    <t>IV0644</t>
  </si>
  <si>
    <t>IV0645</t>
  </si>
  <si>
    <t>IV0646</t>
  </si>
  <si>
    <t>IV0647</t>
  </si>
  <si>
    <t>IV0648</t>
  </si>
  <si>
    <t>IV0649</t>
  </si>
  <si>
    <t>IV0650</t>
  </si>
  <si>
    <t>IV0651</t>
  </si>
  <si>
    <t>IV0652</t>
  </si>
  <si>
    <t>IV0653</t>
  </si>
  <si>
    <t>IV0654</t>
  </si>
  <si>
    <t>IV0655</t>
  </si>
  <si>
    <t>IV0656</t>
  </si>
  <si>
    <t>IV0657</t>
  </si>
  <si>
    <t>IV0658</t>
  </si>
  <si>
    <t>IV0659</t>
  </si>
  <si>
    <t>IV0660</t>
  </si>
  <si>
    <t>IV0661</t>
  </si>
  <si>
    <t>IV0662</t>
  </si>
  <si>
    <t>IV0663</t>
  </si>
  <si>
    <t>IV0664</t>
  </si>
  <si>
    <t>IV0665</t>
  </si>
  <si>
    <t>IV0666</t>
  </si>
  <si>
    <t>IV0667</t>
  </si>
  <si>
    <t>IV0668</t>
  </si>
  <si>
    <t>IV0669</t>
  </si>
  <si>
    <t>IV0670</t>
  </si>
  <si>
    <t>IV0671</t>
  </si>
  <si>
    <t>IV0672</t>
  </si>
  <si>
    <t>IV0673</t>
  </si>
  <si>
    <t>IV0674</t>
  </si>
  <si>
    <t>IV0675</t>
  </si>
  <si>
    <t>IV0676</t>
  </si>
  <si>
    <t>IV0677</t>
  </si>
  <si>
    <t>IV0678</t>
  </si>
  <si>
    <t>IV0679</t>
  </si>
  <si>
    <t>IV0680</t>
  </si>
  <si>
    <t>IV0681</t>
  </si>
  <si>
    <t>IV0682</t>
  </si>
  <si>
    <t>IV0683</t>
  </si>
  <si>
    <t>IV0684</t>
  </si>
  <si>
    <t>IV0685</t>
  </si>
  <si>
    <t>IV0686</t>
  </si>
  <si>
    <t>IV0687</t>
  </si>
  <si>
    <t>IV0688</t>
  </si>
  <si>
    <t>IV0689</t>
  </si>
  <si>
    <t>IV0690</t>
  </si>
  <si>
    <t>IV0691</t>
  </si>
  <si>
    <t>IV0692</t>
  </si>
  <si>
    <t>IV0693</t>
  </si>
  <si>
    <t>IV0694</t>
  </si>
  <si>
    <t>IV0695</t>
  </si>
  <si>
    <t>IV0696</t>
  </si>
  <si>
    <t>IV0697</t>
  </si>
  <si>
    <t>IV0698</t>
  </si>
  <si>
    <t>IV0699</t>
  </si>
  <si>
    <t>IV0700</t>
  </si>
  <si>
    <t>IV0701</t>
  </si>
  <si>
    <t>IV0702</t>
  </si>
  <si>
    <t>IV0703</t>
  </si>
  <si>
    <t>IV0704</t>
  </si>
  <si>
    <t>IV0705</t>
  </si>
  <si>
    <t>IV0706</t>
  </si>
  <si>
    <t>IV0707</t>
  </si>
  <si>
    <t>IV0708</t>
  </si>
  <si>
    <t>IV0709</t>
  </si>
  <si>
    <t>IV0710</t>
  </si>
  <si>
    <t>IV0711</t>
  </si>
  <si>
    <t>IV0712</t>
  </si>
  <si>
    <t>IV0713</t>
  </si>
  <si>
    <t>IV0714</t>
  </si>
  <si>
    <t>IV0715</t>
  </si>
  <si>
    <t>IV0716</t>
  </si>
  <si>
    <t>IV0717</t>
  </si>
  <si>
    <t>IV0718</t>
  </si>
  <si>
    <t>IV0719</t>
  </si>
  <si>
    <t>IV0720</t>
  </si>
  <si>
    <t>IV0721</t>
  </si>
  <si>
    <t>IV0722</t>
  </si>
  <si>
    <t>IV0723</t>
  </si>
  <si>
    <t>IV0724</t>
  </si>
  <si>
    <t>IV0725</t>
  </si>
  <si>
    <t>IV0726</t>
  </si>
  <si>
    <t>IV0727</t>
  </si>
  <si>
    <t>IV0728</t>
  </si>
  <si>
    <t>IV0729</t>
  </si>
  <si>
    <t>IV0730</t>
  </si>
  <si>
    <t>IV0731</t>
  </si>
  <si>
    <t>IV0732</t>
  </si>
  <si>
    <t>IV0733</t>
  </si>
  <si>
    <t>IV0734</t>
  </si>
  <si>
    <t>IV0735</t>
  </si>
  <si>
    <t>IV0736</t>
  </si>
  <si>
    <t>IV0737</t>
  </si>
  <si>
    <t>IV0738</t>
  </si>
  <si>
    <t>IV0739</t>
  </si>
  <si>
    <t>IV0740</t>
  </si>
  <si>
    <t>IV0741</t>
  </si>
  <si>
    <t>IV0742</t>
  </si>
  <si>
    <t>IV0743</t>
  </si>
  <si>
    <t>IV0744</t>
  </si>
  <si>
    <t>IV0745</t>
  </si>
  <si>
    <t>IV0746</t>
  </si>
  <si>
    <t>IV0747</t>
  </si>
  <si>
    <t>IV0748</t>
  </si>
  <si>
    <t>IV0749</t>
  </si>
  <si>
    <t>IV0750</t>
  </si>
  <si>
    <t>IV0751</t>
  </si>
  <si>
    <t>IV0752</t>
  </si>
  <si>
    <t>IV0753</t>
  </si>
  <si>
    <t>IV0754</t>
  </si>
  <si>
    <t>IV0755</t>
  </si>
  <si>
    <t>IV0756</t>
  </si>
  <si>
    <t>IV0757</t>
  </si>
  <si>
    <t>IV0758</t>
  </si>
  <si>
    <t>IV0759</t>
  </si>
  <si>
    <t>IV0760</t>
  </si>
  <si>
    <t>IV0761</t>
  </si>
  <si>
    <t>IV0762</t>
  </si>
  <si>
    <t>IV0763</t>
  </si>
  <si>
    <t>IV0764</t>
  </si>
  <si>
    <t>IV0765</t>
  </si>
  <si>
    <t>IV0766</t>
  </si>
  <si>
    <t>IV0767</t>
  </si>
  <si>
    <t>IV0768</t>
  </si>
  <si>
    <t>IV0769</t>
  </si>
  <si>
    <t>IV0770</t>
  </si>
  <si>
    <t>IV0771</t>
  </si>
  <si>
    <t>IV0772</t>
  </si>
  <si>
    <t>IV0773</t>
  </si>
  <si>
    <t>IV0774</t>
  </si>
  <si>
    <t>IV0775</t>
  </si>
  <si>
    <t>IV0776</t>
  </si>
  <si>
    <t>IV0777</t>
  </si>
  <si>
    <t>IV0778</t>
  </si>
  <si>
    <t>IV0779</t>
  </si>
  <si>
    <t>IV0780</t>
  </si>
  <si>
    <t>IV0781</t>
  </si>
  <si>
    <t>IV0782</t>
  </si>
  <si>
    <t>IV0783</t>
  </si>
  <si>
    <t>IV0784</t>
  </si>
  <si>
    <t>IV0785</t>
  </si>
  <si>
    <t>IV0786</t>
  </si>
  <si>
    <t>IV0787</t>
  </si>
  <si>
    <t>IV0788</t>
  </si>
  <si>
    <t>IV0789</t>
  </si>
  <si>
    <t>IV0790</t>
  </si>
  <si>
    <t>IV0791</t>
  </si>
  <si>
    <t>IV0792</t>
  </si>
  <si>
    <t>IV0793</t>
  </si>
  <si>
    <t>IV0794</t>
  </si>
  <si>
    <t>IV0795</t>
  </si>
  <si>
    <t>IV0796</t>
  </si>
  <si>
    <t>IV0797</t>
  </si>
  <si>
    <t>IV0798</t>
  </si>
  <si>
    <t>IV0799</t>
  </si>
  <si>
    <t>IV0800</t>
  </si>
  <si>
    <t>IV0801</t>
  </si>
  <si>
    <t>IV0802</t>
  </si>
  <si>
    <t>IV0803</t>
  </si>
  <si>
    <t>IV0804</t>
  </si>
  <si>
    <t>IV0805</t>
  </si>
  <si>
    <t>IV0806</t>
  </si>
  <si>
    <t>IV0807</t>
  </si>
  <si>
    <t>IV0808</t>
  </si>
  <si>
    <t>IV0809</t>
  </si>
  <si>
    <t>IV0810</t>
  </si>
  <si>
    <t>IV0811</t>
  </si>
  <si>
    <t>IV0812</t>
  </si>
  <si>
    <t>IV0813</t>
  </si>
  <si>
    <t>IV0814</t>
  </si>
  <si>
    <t>IV0815</t>
  </si>
  <si>
    <t>IV0816</t>
  </si>
  <si>
    <t>IV0817</t>
  </si>
  <si>
    <t>IV0818</t>
  </si>
  <si>
    <t>IV0819</t>
  </si>
  <si>
    <t>IV0820</t>
  </si>
  <si>
    <t>IV0821</t>
  </si>
  <si>
    <t>IV0822</t>
  </si>
  <si>
    <t>IV0823</t>
  </si>
  <si>
    <t>IV0824</t>
  </si>
  <si>
    <t>IV0825</t>
  </si>
  <si>
    <t>IV0826</t>
  </si>
  <si>
    <t>IV0827</t>
  </si>
  <si>
    <t>IV0828</t>
  </si>
  <si>
    <t>IV0829</t>
  </si>
  <si>
    <t>IV0830</t>
  </si>
  <si>
    <t>IV0831</t>
  </si>
  <si>
    <t>IV0832</t>
  </si>
  <si>
    <t>IV0833</t>
  </si>
  <si>
    <t>IV0834</t>
  </si>
  <si>
    <t>IV0835</t>
  </si>
  <si>
    <t>IV0836</t>
  </si>
  <si>
    <t>IV0837</t>
  </si>
  <si>
    <t>IV0838</t>
  </si>
  <si>
    <t>IV0839</t>
  </si>
  <si>
    <t>IV0840</t>
  </si>
  <si>
    <t>IV0841</t>
  </si>
  <si>
    <t>IV0842</t>
  </si>
  <si>
    <t>IV0843</t>
  </si>
  <si>
    <t>IV0844</t>
  </si>
  <si>
    <t>IV0845</t>
  </si>
  <si>
    <t>IV0846</t>
  </si>
  <si>
    <t>IV0847</t>
  </si>
  <si>
    <t>IV0848</t>
  </si>
  <si>
    <t>IV0849</t>
  </si>
  <si>
    <t>IV0850</t>
  </si>
  <si>
    <t>IV0851</t>
  </si>
  <si>
    <t>IV0852</t>
  </si>
  <si>
    <t>IV0853</t>
  </si>
  <si>
    <t>IV0854</t>
  </si>
  <si>
    <t>IV0855</t>
  </si>
  <si>
    <t>IV0856</t>
  </si>
  <si>
    <t>IV0857</t>
  </si>
  <si>
    <t>IV0858</t>
  </si>
  <si>
    <t>IV0859</t>
  </si>
  <si>
    <t>IV0860</t>
  </si>
  <si>
    <t>IV0861</t>
  </si>
  <si>
    <t>IV0862</t>
  </si>
  <si>
    <t>IV0863</t>
  </si>
  <si>
    <t>IV0864</t>
  </si>
  <si>
    <t>IV0865</t>
  </si>
  <si>
    <t>IV0866</t>
  </si>
  <si>
    <t>IV0867</t>
  </si>
  <si>
    <t>IV0868</t>
  </si>
  <si>
    <t>IV0869</t>
  </si>
  <si>
    <t>IV0870</t>
  </si>
  <si>
    <t>IV0871</t>
  </si>
  <si>
    <t>IV0872</t>
  </si>
  <si>
    <t>IV0873</t>
  </si>
  <si>
    <t>IV0874</t>
  </si>
  <si>
    <t>IV0875</t>
  </si>
  <si>
    <t>IV0876</t>
  </si>
  <si>
    <t>IV0877</t>
  </si>
  <si>
    <t>IV0878</t>
  </si>
  <si>
    <t>IV0879</t>
  </si>
  <si>
    <t>IV0880</t>
  </si>
  <si>
    <t>IV0881</t>
  </si>
  <si>
    <t>IV0882</t>
  </si>
  <si>
    <t>IV0883</t>
  </si>
  <si>
    <t>IV0884</t>
  </si>
  <si>
    <t>IV0885</t>
  </si>
  <si>
    <t>IV0886</t>
  </si>
  <si>
    <t>IV0887</t>
  </si>
  <si>
    <t>IV0888</t>
  </si>
  <si>
    <t>IV0889</t>
  </si>
  <si>
    <t>IV0890</t>
  </si>
  <si>
    <t>IV0891</t>
  </si>
  <si>
    <t>IV0892</t>
  </si>
  <si>
    <t>IV0893</t>
  </si>
  <si>
    <t>IV0894</t>
  </si>
  <si>
    <t>IV0895</t>
  </si>
  <si>
    <t>IV0896</t>
  </si>
  <si>
    <t>IV0897</t>
  </si>
  <si>
    <t>IV0898</t>
  </si>
  <si>
    <t>IV0899</t>
  </si>
  <si>
    <t>IV0900</t>
  </si>
  <si>
    <t>IV0901</t>
  </si>
  <si>
    <t>IV0902</t>
  </si>
  <si>
    <t>IV0903</t>
  </si>
  <si>
    <t>IV0904</t>
  </si>
  <si>
    <t>IV0905</t>
  </si>
  <si>
    <t>IV0906</t>
  </si>
  <si>
    <t>IV0907</t>
  </si>
  <si>
    <t>IV0908</t>
  </si>
  <si>
    <t>IV0909</t>
  </si>
  <si>
    <t>IV0910</t>
  </si>
  <si>
    <t>IV0911</t>
  </si>
  <si>
    <t>IV0912</t>
  </si>
  <si>
    <t>IV0913</t>
  </si>
  <si>
    <t>IV0914</t>
  </si>
  <si>
    <t>IV0915</t>
  </si>
  <si>
    <t>IV0916</t>
  </si>
  <si>
    <t>IV0917</t>
  </si>
  <si>
    <t>IV0918</t>
  </si>
  <si>
    <t>IV0919</t>
  </si>
  <si>
    <t>IV0920</t>
  </si>
  <si>
    <t>IV0921</t>
  </si>
  <si>
    <t>IV0922</t>
  </si>
  <si>
    <t>IV0923</t>
  </si>
  <si>
    <t>IV0924</t>
  </si>
  <si>
    <t>IV0925</t>
  </si>
  <si>
    <t>IV0926</t>
  </si>
  <si>
    <t>IV0927</t>
  </si>
  <si>
    <t>IV0928</t>
  </si>
  <si>
    <t>IV0929</t>
  </si>
  <si>
    <t>IV0930</t>
  </si>
  <si>
    <t>IV0931</t>
  </si>
  <si>
    <t>IV0932</t>
  </si>
  <si>
    <t>IV0933</t>
  </si>
  <si>
    <t>IV0934</t>
  </si>
  <si>
    <t>IV0935</t>
  </si>
  <si>
    <t>IV0936</t>
  </si>
  <si>
    <t>IV0937</t>
  </si>
  <si>
    <t>IV0938</t>
  </si>
  <si>
    <t>IV0939</t>
  </si>
  <si>
    <t>IV0940</t>
  </si>
  <si>
    <t>IV0941</t>
  </si>
  <si>
    <t>IV0942</t>
  </si>
  <si>
    <t>IV0943</t>
  </si>
  <si>
    <t>IV0944</t>
  </si>
  <si>
    <t>IV0945</t>
  </si>
  <si>
    <t>IV0946</t>
  </si>
  <si>
    <t>IV0947</t>
  </si>
  <si>
    <t>IV0948</t>
  </si>
  <si>
    <t>IV0949</t>
  </si>
  <si>
    <t>IV0950</t>
  </si>
  <si>
    <t>IV0951</t>
  </si>
  <si>
    <t>IV0952</t>
  </si>
  <si>
    <t>IV0953</t>
  </si>
  <si>
    <t>IV0954</t>
  </si>
  <si>
    <t>IV0955</t>
  </si>
  <si>
    <t>IV0956</t>
  </si>
  <si>
    <t>IV0957</t>
  </si>
  <si>
    <t>IV0958</t>
  </si>
  <si>
    <t>IV0959</t>
  </si>
  <si>
    <t>IV0960</t>
  </si>
  <si>
    <t>IV0961</t>
  </si>
  <si>
    <t>IV0962</t>
  </si>
  <si>
    <t>IV0963</t>
  </si>
  <si>
    <t>IV0964</t>
  </si>
  <si>
    <t>IV0965</t>
  </si>
  <si>
    <t>IV0966</t>
  </si>
  <si>
    <t>IV0967</t>
  </si>
  <si>
    <t>IV0968</t>
  </si>
  <si>
    <t>IV0969</t>
  </si>
  <si>
    <t>IV0970</t>
  </si>
  <si>
    <t>IV0971</t>
  </si>
  <si>
    <t>IV0972</t>
  </si>
  <si>
    <t>IV0973</t>
  </si>
  <si>
    <t>IV0974</t>
  </si>
  <si>
    <t>IV0975</t>
  </si>
  <si>
    <t>IV0976</t>
  </si>
  <si>
    <t>IV0977</t>
  </si>
  <si>
    <t>IV0978</t>
  </si>
  <si>
    <t>IV0979</t>
  </si>
  <si>
    <t>IV0980</t>
  </si>
  <si>
    <t>IV0981</t>
  </si>
  <si>
    <t>IV0982</t>
  </si>
  <si>
    <t>IV0983</t>
  </si>
  <si>
    <t>IV0984</t>
  </si>
  <si>
    <t>IV0985</t>
  </si>
  <si>
    <t>IV0986</t>
  </si>
  <si>
    <t>IV0987</t>
  </si>
  <si>
    <t>IV0988</t>
  </si>
  <si>
    <t>IV0989</t>
  </si>
  <si>
    <t>IV0990</t>
  </si>
  <si>
    <t>IV0991</t>
  </si>
  <si>
    <t>IV0992</t>
  </si>
  <si>
    <t>IV0993</t>
  </si>
  <si>
    <t>IV0994</t>
  </si>
  <si>
    <t>IV0995</t>
  </si>
  <si>
    <t>IV0996</t>
  </si>
  <si>
    <t>IV0997</t>
  </si>
  <si>
    <t>IV0998</t>
  </si>
  <si>
    <t>IV0999</t>
  </si>
  <si>
    <t>IV1000</t>
  </si>
  <si>
    <t>IV1001</t>
  </si>
  <si>
    <t>IV1002</t>
  </si>
  <si>
    <t>IV1003</t>
  </si>
  <si>
    <t>IV1004</t>
  </si>
  <si>
    <t>IV1005</t>
  </si>
  <si>
    <t>IV1006</t>
  </si>
  <si>
    <t>IV1007</t>
  </si>
  <si>
    <t>IV1008</t>
  </si>
  <si>
    <t>IV1009</t>
  </si>
  <si>
    <t>IV1010</t>
  </si>
  <si>
    <t>IV1011</t>
  </si>
  <si>
    <t>IV1012</t>
  </si>
  <si>
    <t>IV1013</t>
  </si>
  <si>
    <t>IV1014</t>
  </si>
  <si>
    <t>IV1015</t>
  </si>
  <si>
    <t>IV1016</t>
  </si>
  <si>
    <t>IV1017</t>
  </si>
  <si>
    <t>IV1018</t>
  </si>
  <si>
    <t>IV1019</t>
  </si>
  <si>
    <t>IV1020</t>
  </si>
  <si>
    <t>IV1021</t>
  </si>
  <si>
    <t>IV1022</t>
  </si>
  <si>
    <t>IV1023</t>
  </si>
  <si>
    <t>IV1024</t>
  </si>
  <si>
    <t>IV1025</t>
  </si>
  <si>
    <t>IV1026</t>
  </si>
  <si>
    <t>IV1027</t>
  </si>
  <si>
    <t>IV1028</t>
  </si>
  <si>
    <t>+62 87 1651 6391</t>
  </si>
  <si>
    <t>+65 8249 7112</t>
  </si>
  <si>
    <t>+62 82 2497 3691</t>
  </si>
  <si>
    <t>East Java</t>
  </si>
  <si>
    <t>South Kalimantan</t>
  </si>
  <si>
    <t>Central Kalimantan</t>
  </si>
  <si>
    <t>West Nusa Tenggara</t>
  </si>
  <si>
    <t>East Nusa Tenggara</t>
  </si>
  <si>
    <t>South Sulawesi</t>
  </si>
  <si>
    <t>North Sulawesi</t>
  </si>
  <si>
    <t>South Sumatera</t>
  </si>
  <si>
    <t>North Sumatera</t>
  </si>
  <si>
    <t>+62 837 3881 3393</t>
  </si>
  <si>
    <t>+62 843 0014 8341</t>
  </si>
  <si>
    <t>+62 856 3951 0850</t>
  </si>
  <si>
    <t>+62 844 6558 9313</t>
  </si>
  <si>
    <t>+62 834 8087 5084</t>
  </si>
  <si>
    <t>+62 897 3528 4125</t>
  </si>
  <si>
    <t>+62 809 1899 6494</t>
  </si>
  <si>
    <t>+62 854 5164 5861</t>
  </si>
  <si>
    <t>+62 888 2771 3218</t>
  </si>
  <si>
    <t>+62 824 4696 3312</t>
  </si>
  <si>
    <t>+62 878 0243 7778</t>
  </si>
  <si>
    <t>+62 839 9954 6934</t>
  </si>
  <si>
    <t>+62 807 6414 1929</t>
  </si>
  <si>
    <t>+62 802 1677 5011</t>
  </si>
  <si>
    <t>+62 858 8720 6503</t>
  </si>
  <si>
    <t>+62 842 0105 1271</t>
  </si>
  <si>
    <t>+62 853 1403 5785</t>
  </si>
  <si>
    <t>+62 885 9380 4866</t>
  </si>
  <si>
    <t>+62 866 3194 6081</t>
  </si>
  <si>
    <t>+62 843 6465 4131</t>
  </si>
  <si>
    <t>+62 888 2536 7313</t>
  </si>
  <si>
    <t>+62 884 8053 6371</t>
  </si>
  <si>
    <t>+62 815 4521 8357</t>
  </si>
  <si>
    <t>+62 813 4298 9261</t>
  </si>
  <si>
    <t>+62 843 5957 8935</t>
  </si>
  <si>
    <t>+62 807 9278 1943</t>
  </si>
  <si>
    <t>+62 879 1758 5410</t>
  </si>
  <si>
    <t>+62 803 3715 7687</t>
  </si>
  <si>
    <t>+62 879 9458 0901</t>
  </si>
  <si>
    <t>+62 838 4109 8686</t>
  </si>
  <si>
    <t>+62 862 7854 2861</t>
  </si>
  <si>
    <t>+62 880 6050 7594</t>
  </si>
  <si>
    <t>+62 805 2680 4346</t>
  </si>
  <si>
    <t>+62 866 3560 5212</t>
  </si>
  <si>
    <t>+62 851 6785 7382</t>
  </si>
  <si>
    <t>+62 841 4761 7248</t>
  </si>
  <si>
    <t>+62 803 7195 0433</t>
  </si>
  <si>
    <t>+62 818 2659 8312</t>
  </si>
  <si>
    <t>+62 896 0242 2937</t>
  </si>
  <si>
    <t>+62 895 9141 7906</t>
  </si>
  <si>
    <t>+62 893 5450 5656</t>
  </si>
  <si>
    <t>+62 885 2402 8537</t>
  </si>
  <si>
    <t>+62 868 7122 2897</t>
  </si>
  <si>
    <t>+62 887 4399 4270</t>
  </si>
  <si>
    <t>+62 849 2104 4333</t>
  </si>
  <si>
    <t>+62 846 3217 2014</t>
  </si>
  <si>
    <t>+62 877 2993 4377</t>
  </si>
  <si>
    <t>+62 856 3645 6605</t>
  </si>
  <si>
    <t>+62 888 6721 1999</t>
  </si>
  <si>
    <t>+62 888 9236 8417</t>
  </si>
  <si>
    <t>Sales Sumatera -Kalimantan Region Team</t>
  </si>
  <si>
    <t>Sales Region Bali - Nusa Tenggara Team</t>
  </si>
  <si>
    <t>Sales Region Sulawesi - Maluku Team</t>
  </si>
  <si>
    <t>OrderItemID</t>
  </si>
  <si>
    <t xml:space="preserve">   </t>
  </si>
  <si>
    <t>SO0001-PD0002</t>
  </si>
  <si>
    <t>SO0001-PD0015</t>
  </si>
  <si>
    <t>SO0001-PD0011</t>
  </si>
  <si>
    <t>SO0001-PD0008</t>
  </si>
  <si>
    <t>SO0002-PD0014</t>
  </si>
  <si>
    <t>SO0002-PD0010</t>
  </si>
  <si>
    <t>SO0003-PD0011</t>
  </si>
  <si>
    <t>SO0003-PD0018</t>
  </si>
  <si>
    <t>SO0003-PD0010</t>
  </si>
  <si>
    <t>SO0003-PD0008</t>
  </si>
  <si>
    <t>SO0003-PD0012</t>
  </si>
  <si>
    <t>SO0003-PD0020</t>
  </si>
  <si>
    <t>SO0004-PD0015</t>
  </si>
  <si>
    <t>SO0005-PD0007</t>
  </si>
  <si>
    <t>SO0006-PD0009</t>
  </si>
  <si>
    <t>SO0007-PD0019</t>
  </si>
  <si>
    <t>SO0007-PD0014</t>
  </si>
  <si>
    <t>SO0007-PD0020</t>
  </si>
  <si>
    <t>SO0007-PD0009</t>
  </si>
  <si>
    <t>SO0007-PD0008</t>
  </si>
  <si>
    <t>SO0007-PD0011</t>
  </si>
  <si>
    <t>SO0008-PD0001</t>
  </si>
  <si>
    <t>SO0008-PD0006</t>
  </si>
  <si>
    <t>SO0008-PD0012</t>
  </si>
  <si>
    <t>SO0008-PD0015</t>
  </si>
  <si>
    <t>SO0009-PD0006</t>
  </si>
  <si>
    <t>SO0009-PD0012</t>
  </si>
  <si>
    <t>SO0010-PD0015</t>
  </si>
  <si>
    <t>SO0010-PD0007</t>
  </si>
  <si>
    <t>SO0010-PD0003</t>
  </si>
  <si>
    <t>SO0010-PD0008</t>
  </si>
  <si>
    <t>SO0011-PD0006</t>
  </si>
  <si>
    <t>SO0011-PD0004</t>
  </si>
  <si>
    <t>SO0011-PD0014</t>
  </si>
  <si>
    <t>SO0011-PD0008</t>
  </si>
  <si>
    <t>SO0012-PD0013</t>
  </si>
  <si>
    <t>SO0012-PD0014</t>
  </si>
  <si>
    <t>SO0012-PD0010</t>
  </si>
  <si>
    <t>SO0012-PD0006</t>
  </si>
  <si>
    <t>SO0013-PD0017</t>
  </si>
  <si>
    <t>SO0013-PD0009</t>
  </si>
  <si>
    <t>SO0013-PD0013</t>
  </si>
  <si>
    <t>SO0013-PD0016</t>
  </si>
  <si>
    <t>SO0013-PD0007</t>
  </si>
  <si>
    <t>SO0014-PD0012</t>
  </si>
  <si>
    <t>SO0014-PD0002</t>
  </si>
  <si>
    <t>SO0015-PD0012</t>
  </si>
  <si>
    <t>SO0015-PD0020</t>
  </si>
  <si>
    <t>SO0015-PD0004</t>
  </si>
  <si>
    <t>SO0015-PD0009</t>
  </si>
  <si>
    <t>SO0015-PD0011</t>
  </si>
  <si>
    <t>SO0016-PD0009</t>
  </si>
  <si>
    <t>SO0016-PD0015</t>
  </si>
  <si>
    <t>SO0016-PD0005</t>
  </si>
  <si>
    <t>SO0017-PD0007</t>
  </si>
  <si>
    <t>SO0017-PD0011</t>
  </si>
  <si>
    <t>SO0017-PD0017</t>
  </si>
  <si>
    <t>SO0017-PD0003</t>
  </si>
  <si>
    <t>SO0018-PD0004</t>
  </si>
  <si>
    <t>SO0018-PD0013</t>
  </si>
  <si>
    <t>SO0019-PD0006</t>
  </si>
  <si>
    <t>SO0019-PD0011</t>
  </si>
  <si>
    <t>SO0019-PD0004</t>
  </si>
  <si>
    <t>SO0020-PD0018</t>
  </si>
  <si>
    <t>SO0020-PD0009</t>
  </si>
  <si>
    <t>SO0020-PD0020</t>
  </si>
  <si>
    <t>SO0020-PD0006</t>
  </si>
  <si>
    <t>SO0021-PD0003</t>
  </si>
  <si>
    <t>SO0021-PD0018</t>
  </si>
  <si>
    <t>SO0021-PD0005</t>
  </si>
  <si>
    <t>SO0022-PD0018</t>
  </si>
  <si>
    <t>SO0022-PD0015</t>
  </si>
  <si>
    <t>SO0022-PD0007</t>
  </si>
  <si>
    <t>SO0022-PD0011</t>
  </si>
  <si>
    <t>SO0022-PD0012</t>
  </si>
  <si>
    <t>SO0023-PD0006</t>
  </si>
  <si>
    <t>SO0023-PD0012</t>
  </si>
  <si>
    <t>SO0023-PD0015</t>
  </si>
  <si>
    <t>SO0023-PD0020</t>
  </si>
  <si>
    <t>SO0024-PD0014</t>
  </si>
  <si>
    <t>SO0024-PD0009</t>
  </si>
  <si>
    <t>SO0025-PD0016</t>
  </si>
  <si>
    <t>SO0025-PD0009</t>
  </si>
  <si>
    <t>SO0025-PD0002</t>
  </si>
  <si>
    <t>SO0025-PD0018</t>
  </si>
  <si>
    <t>SO0025-PD0010</t>
  </si>
  <si>
    <t>SO0026-PD0020</t>
  </si>
  <si>
    <t>SO0026-PD0010</t>
  </si>
  <si>
    <t>SO0026-PD0009</t>
  </si>
  <si>
    <t>SO0026-PD0018</t>
  </si>
  <si>
    <t>SO0026-PD0011</t>
  </si>
  <si>
    <t>SO0026-PD0002</t>
  </si>
  <si>
    <t>SO0027-PD0012</t>
  </si>
  <si>
    <t>SO0027-PD0002</t>
  </si>
  <si>
    <t>SO0027-PD0009</t>
  </si>
  <si>
    <t>SO0028-PD0020</t>
  </si>
  <si>
    <t>SO0028-PD0010</t>
  </si>
  <si>
    <t>SO0028-PD0019</t>
  </si>
  <si>
    <t>SO0029-PD0004</t>
  </si>
  <si>
    <t>SO0029-PD0008</t>
  </si>
  <si>
    <t>SO0029-PD0018</t>
  </si>
  <si>
    <t>SO0030-PD0003</t>
  </si>
  <si>
    <t>SO0030-PD0006</t>
  </si>
  <si>
    <t>SO0031-PD0009</t>
  </si>
  <si>
    <t>SO0031-PD0014</t>
  </si>
  <si>
    <t>SO0031-PD0015</t>
  </si>
  <si>
    <t>SO0032-PD0006</t>
  </si>
  <si>
    <t>SO0032-PD0010</t>
  </si>
  <si>
    <t>SO0033-PD0018</t>
  </si>
  <si>
    <t>SO0033-PD0002</t>
  </si>
  <si>
    <t>SO0033-PD0005</t>
  </si>
  <si>
    <t>SO0034-PD0010</t>
  </si>
  <si>
    <t>SO0034-PD0018</t>
  </si>
  <si>
    <t>SO0034-PD0015</t>
  </si>
  <si>
    <t>SO0034-PD0006</t>
  </si>
  <si>
    <t>SO0034-PD0020</t>
  </si>
  <si>
    <t>SO0034-PD0001</t>
  </si>
  <si>
    <t>SO0035-PD0011</t>
  </si>
  <si>
    <t>SO0035-PD0016</t>
  </si>
  <si>
    <t>SO0035-PD0014</t>
  </si>
  <si>
    <t>SO0035-PD0009</t>
  </si>
  <si>
    <t>SO0036-PD0006</t>
  </si>
  <si>
    <t>SO0036-PD0007</t>
  </si>
  <si>
    <t>SO0037-PD0010</t>
  </si>
  <si>
    <t>SO0037-PD0018</t>
  </si>
  <si>
    <t>SO0037-PD0001</t>
  </si>
  <si>
    <t>SO0037-PD0012</t>
  </si>
  <si>
    <t>SO0037-PD0017</t>
  </si>
  <si>
    <t>SO0038-PD0005</t>
  </si>
  <si>
    <t>SO0038-PD0003</t>
  </si>
  <si>
    <t>SO0039-PD0015</t>
  </si>
  <si>
    <t>SO0039-PD0007</t>
  </si>
  <si>
    <t>SO0039-PD0011</t>
  </si>
  <si>
    <t>SO0039-PD0012</t>
  </si>
  <si>
    <t>SO0040-PD0005</t>
  </si>
  <si>
    <t>SO0040-PD0013</t>
  </si>
  <si>
    <t>SO0040-PD0019</t>
  </si>
  <si>
    <t>SO0041-PD0020</t>
  </si>
  <si>
    <t>SO0041-PD0007</t>
  </si>
  <si>
    <t>SO0041-PD0012</t>
  </si>
  <si>
    <t>SO0041-PD0002</t>
  </si>
  <si>
    <t>SO0042-PD0009</t>
  </si>
  <si>
    <t>SO0042-PD0019</t>
  </si>
  <si>
    <t>SO0042-PD0017</t>
  </si>
  <si>
    <t>SO0043-PD0002</t>
  </si>
  <si>
    <t>SO0043-PD0013</t>
  </si>
  <si>
    <t>SO0043-PD0005</t>
  </si>
  <si>
    <t>SO0044-PD0013</t>
  </si>
  <si>
    <t>SO0044-PD0018</t>
  </si>
  <si>
    <t>SO0044-PD0016</t>
  </si>
  <si>
    <t>SO0044-PD0009</t>
  </si>
  <si>
    <t>SO0044-PD0012</t>
  </si>
  <si>
    <t>SO0044-PD0017</t>
  </si>
  <si>
    <t>SO0045-PD0018</t>
  </si>
  <si>
    <t>SO0045-PD0011</t>
  </si>
  <si>
    <t>SO0046-PD0009</t>
  </si>
  <si>
    <t>SO0046-PD0012</t>
  </si>
  <si>
    <t>SO0046-PD0015</t>
  </si>
  <si>
    <t>SO0046-PD0017</t>
  </si>
  <si>
    <t>SO0046-PD0003</t>
  </si>
  <si>
    <t>SO0047-PD0012</t>
  </si>
  <si>
    <t>SO0047-PD0011</t>
  </si>
  <si>
    <t>SO0047-PD0019</t>
  </si>
  <si>
    <t>SO0048-PD0015</t>
  </si>
  <si>
    <t>SO0048-PD0011</t>
  </si>
  <si>
    <t>SO0048-PD0008</t>
  </si>
  <si>
    <t>SO0048-PD0018</t>
  </si>
  <si>
    <t>SO0049-PD0015</t>
  </si>
  <si>
    <t>SO0049-PD0014</t>
  </si>
  <si>
    <t>SO0050-PD0009</t>
  </si>
  <si>
    <t>SO0050-PD0006</t>
  </si>
  <si>
    <t>SO0050-PD0003</t>
  </si>
  <si>
    <t>SO0050-PD0016</t>
  </si>
  <si>
    <t>SO0051-PD0016</t>
  </si>
  <si>
    <t>SO0051-PD0010</t>
  </si>
  <si>
    <t>SO0051-PD0003</t>
  </si>
  <si>
    <t>SO0052-PD0006</t>
  </si>
  <si>
    <t>SO0052-PD0005</t>
  </si>
  <si>
    <t>SO0053-PD0001</t>
  </si>
  <si>
    <t>SO0053-PD0015</t>
  </si>
  <si>
    <t>SO0053-PD0012</t>
  </si>
  <si>
    <t>SO0054-PD0007</t>
  </si>
  <si>
    <t>SO0056-PD0011</t>
  </si>
  <si>
    <t>SO0056-PD0017</t>
  </si>
  <si>
    <t>SO0056-PD0007</t>
  </si>
  <si>
    <t>SO0056-PD0003</t>
  </si>
  <si>
    <t>SO0057-PD0003</t>
  </si>
  <si>
    <t>SO0058-PD0006</t>
  </si>
  <si>
    <t>SO0058-PD0017</t>
  </si>
  <si>
    <t>SO0058-PD0005</t>
  </si>
  <si>
    <t>SO0058-PD0019</t>
  </si>
  <si>
    <t>SO0059-PD0020</t>
  </si>
  <si>
    <t>SO0059-PD0017</t>
  </si>
  <si>
    <t>SO0060-PD0011</t>
  </si>
  <si>
    <t>SO0060-PD0013</t>
  </si>
  <si>
    <t>SO0061-PD0003</t>
  </si>
  <si>
    <t>SO0061-PD0018</t>
  </si>
  <si>
    <t>SO0061-PD0019</t>
  </si>
  <si>
    <t>SO0062-PD0015</t>
  </si>
  <si>
    <t>SO0062-PD0017</t>
  </si>
  <si>
    <t>SO0062-PD0014</t>
  </si>
  <si>
    <t>SO0062-PD0013</t>
  </si>
  <si>
    <t>SO0064-PD0012</t>
  </si>
  <si>
    <t>SO0064-PD0009</t>
  </si>
  <si>
    <t>SO0064-PD0011</t>
  </si>
  <si>
    <t>SO0064-PD0017</t>
  </si>
  <si>
    <t>SO0064-PD0001</t>
  </si>
  <si>
    <t>SO0065-PD0012</t>
  </si>
  <si>
    <t>SO0065-PD0019</t>
  </si>
  <si>
    <t>SO0065-PD0013</t>
  </si>
  <si>
    <t>SO0066-PD0014</t>
  </si>
  <si>
    <t>SO0066-PD0012</t>
  </si>
  <si>
    <t>SO0067-PD0012</t>
  </si>
  <si>
    <t>SO0067-PD0015</t>
  </si>
  <si>
    <t>SO0067-PD0007</t>
  </si>
  <si>
    <t>SO0068-PD0014</t>
  </si>
  <si>
    <t>SO0068-PD0015</t>
  </si>
  <si>
    <t>SO0069-PD0018</t>
  </si>
  <si>
    <t>SO0069-PD0017</t>
  </si>
  <si>
    <t>SO0069-PD0001</t>
  </si>
  <si>
    <t>SO0070-PD0015</t>
  </si>
  <si>
    <t>SO0070-PD0016</t>
  </si>
  <si>
    <t>SO0070-PD0005</t>
  </si>
  <si>
    <t>SO0070-PD0012</t>
  </si>
  <si>
    <t>SO0071-PD0020</t>
  </si>
  <si>
    <t>SO0071-PD0011</t>
  </si>
  <si>
    <t>SO0072-PD0005</t>
  </si>
  <si>
    <t>SO0072-PD0018</t>
  </si>
  <si>
    <t>SO0072-PD0007</t>
  </si>
  <si>
    <t>SO0072-PD0019</t>
  </si>
  <si>
    <t>SO0073-PD0007</t>
  </si>
  <si>
    <t>SO0073-PD0011</t>
  </si>
  <si>
    <t>SO0073-PD0017</t>
  </si>
  <si>
    <t>SO0073-PD0006</t>
  </si>
  <si>
    <t>SO0074-PD0007</t>
  </si>
  <si>
    <t>SO0074-PD0006</t>
  </si>
  <si>
    <t>SO0075-PD0006</t>
  </si>
  <si>
    <t>SO0075-PD0005</t>
  </si>
  <si>
    <t>SO0075-PD0009</t>
  </si>
  <si>
    <t>SO0075-PD0003</t>
  </si>
  <si>
    <t>SO0075-PD0002</t>
  </si>
  <si>
    <t>SO0076-PD0017</t>
  </si>
  <si>
    <t>SO0076-PD0012</t>
  </si>
  <si>
    <t>SO0076-PD0013</t>
  </si>
  <si>
    <t>SO0076-PD0011</t>
  </si>
  <si>
    <t>SO0077-PD0014</t>
  </si>
  <si>
    <t>SO0077-PD0013</t>
  </si>
  <si>
    <t>SO0077-PD0005</t>
  </si>
  <si>
    <t>SO0078-PD0013</t>
  </si>
  <si>
    <t>SO0078-PD0012</t>
  </si>
  <si>
    <t>SO0078-PD0019</t>
  </si>
  <si>
    <t>SO0079-PD0017</t>
  </si>
  <si>
    <t>SO0079-PD0005</t>
  </si>
  <si>
    <t>SO0080-PD0007</t>
  </si>
  <si>
    <t>SO0080-PD0005</t>
  </si>
  <si>
    <t>SO0081-PD0005</t>
  </si>
  <si>
    <t>SO0081-PD0016</t>
  </si>
  <si>
    <t>SO0082-PD0017</t>
  </si>
  <si>
    <t>SO0082-PD0019</t>
  </si>
  <si>
    <t>SO0083-PD0012</t>
  </si>
  <si>
    <t>SO0083-PD0009</t>
  </si>
  <si>
    <t>SO0083-PD0016</t>
  </si>
  <si>
    <t>SO0084-PD0016</t>
  </si>
  <si>
    <t>SO0084-PD0013</t>
  </si>
  <si>
    <t>SO0084-PD0002</t>
  </si>
  <si>
    <t>SO0084-PD0004</t>
  </si>
  <si>
    <t>SO0085-PD0020</t>
  </si>
  <si>
    <t>SO0085-PD0003</t>
  </si>
  <si>
    <t>SO0085-PD0011</t>
  </si>
  <si>
    <t>SO0086-PD0005</t>
  </si>
  <si>
    <t>SO0086-PD0015</t>
  </si>
  <si>
    <t>SO0086-PD0003</t>
  </si>
  <si>
    <t>SO0087-PD0018</t>
  </si>
  <si>
    <t>SO0087-PD0016</t>
  </si>
  <si>
    <t>SO0087-PD0013</t>
  </si>
  <si>
    <t>SO0088-PD0012</t>
  </si>
  <si>
    <t>SO0088-PD0003</t>
  </si>
  <si>
    <t>SO0088-PD0011</t>
  </si>
  <si>
    <t>SO0089-PD0014</t>
  </si>
  <si>
    <t>SO0089-PD0006</t>
  </si>
  <si>
    <t>SO0089-PD0017</t>
  </si>
  <si>
    <t>SO0090-PD0020</t>
  </si>
  <si>
    <t>SO0090-PD0004</t>
  </si>
  <si>
    <t>SO0090-PD0015</t>
  </si>
  <si>
    <t>SO0090-PD0013</t>
  </si>
  <si>
    <t>SO0090-PD0019</t>
  </si>
  <si>
    <t>SO0091-PD0005</t>
  </si>
  <si>
    <t>SO0091-PD0014</t>
  </si>
  <si>
    <t>SO0092-PD0006</t>
  </si>
  <si>
    <t>SO0092-PD0018</t>
  </si>
  <si>
    <t>SO0093-PD0008</t>
  </si>
  <si>
    <t>SO0093-PD0012</t>
  </si>
  <si>
    <t>SO0093-PD0002</t>
  </si>
  <si>
    <t>SO0093-PD0014</t>
  </si>
  <si>
    <t>SO0094-PD0014</t>
  </si>
  <si>
    <t>SO0094-PD0004</t>
  </si>
  <si>
    <t>SO0094-PD0008</t>
  </si>
  <si>
    <t>SO0094-PD0005</t>
  </si>
  <si>
    <t>SO0095-PD0008</t>
  </si>
  <si>
    <t>SO0095-PD0013</t>
  </si>
  <si>
    <t>SO0095-PD0001</t>
  </si>
  <si>
    <t>SO0095-PD0006</t>
  </si>
  <si>
    <t>SO0096-PD0017</t>
  </si>
  <si>
    <t>SO0096-PD0015</t>
  </si>
  <si>
    <t>SO0097-PD0008</t>
  </si>
  <si>
    <t>SO0097-PD0010</t>
  </si>
  <si>
    <t>SO0097-PD0006</t>
  </si>
  <si>
    <t>SO0098-PD0013</t>
  </si>
  <si>
    <t>SO0098-PD0017</t>
  </si>
  <si>
    <t>SO0098-PD0005</t>
  </si>
  <si>
    <t>SO0099-PD0011</t>
  </si>
  <si>
    <t>SO0099-PD0002</t>
  </si>
  <si>
    <t>SO0099-PD0006</t>
  </si>
  <si>
    <t>SO0100-PD0012</t>
  </si>
  <si>
    <t>SO0100-PD0015</t>
  </si>
  <si>
    <t>SO0100-PD0009</t>
  </si>
  <si>
    <t>SO0100-PD0001</t>
  </si>
  <si>
    <t>SO0101-PD0012</t>
  </si>
  <si>
    <t>SO0101-PD0020</t>
  </si>
  <si>
    <t>SO0101-PD0009</t>
  </si>
  <si>
    <t>SO0102-PD0019</t>
  </si>
  <si>
    <t>SO0102-PD0004</t>
  </si>
  <si>
    <t>SO0103-PD0018</t>
  </si>
  <si>
    <t>SO0103-PD0002</t>
  </si>
  <si>
    <t>SO0103-PD0004</t>
  </si>
  <si>
    <t>SO0103-PD0015</t>
  </si>
  <si>
    <t>SO0104-PD0002</t>
  </si>
  <si>
    <t>SO0104-PD0005</t>
  </si>
  <si>
    <t>SO0105-PD0012</t>
  </si>
  <si>
    <t>SO0105-PD0018</t>
  </si>
  <si>
    <t>SO0106-PD0003</t>
  </si>
  <si>
    <t>SO0106-PD0012</t>
  </si>
  <si>
    <t>SO0106-PD0016</t>
  </si>
  <si>
    <t>SO0106-PD0004</t>
  </si>
  <si>
    <t>SO0106-PD0005</t>
  </si>
  <si>
    <t>SO0106-PD0020</t>
  </si>
  <si>
    <t>SO0107-PD0006</t>
  </si>
  <si>
    <t>SO0107-PD0011</t>
  </si>
  <si>
    <t>SO0107-PD0013</t>
  </si>
  <si>
    <t>SO0107-PD0005</t>
  </si>
  <si>
    <t>SO0108-PD0001</t>
  </si>
  <si>
    <t>SO0108-PD0011</t>
  </si>
  <si>
    <t>SO0108-PD0003</t>
  </si>
  <si>
    <t>SO0109-PD0004</t>
  </si>
  <si>
    <t>SO0109-PD0013</t>
  </si>
  <si>
    <t>SO0110-PD0018</t>
  </si>
  <si>
    <t>SO0110-PD0011</t>
  </si>
  <si>
    <t>SO0110-PD0010</t>
  </si>
  <si>
    <t>SO0111-PD0015</t>
  </si>
  <si>
    <t>SO0111-PD0012</t>
  </si>
  <si>
    <t>SO0111-PD0010</t>
  </si>
  <si>
    <t>SO0113-PD0004</t>
  </si>
  <si>
    <t>SO0113-PD0013</t>
  </si>
  <si>
    <t>SO0114-PD0006</t>
  </si>
  <si>
    <t>SO0114-PD0017</t>
  </si>
  <si>
    <t>SO0114-PD0015</t>
  </si>
  <si>
    <t>SO0115-PD0002</t>
  </si>
  <si>
    <t>SO0115-PD0020</t>
  </si>
  <si>
    <t>SO0116-PD0019</t>
  </si>
  <si>
    <t>SO0116-PD0011</t>
  </si>
  <si>
    <t>SO0116-PD0010</t>
  </si>
  <si>
    <t>SO0117-PD0016</t>
  </si>
  <si>
    <t>SO0117-PD0003</t>
  </si>
  <si>
    <t>SO0117-PD0012</t>
  </si>
  <si>
    <t>SO0117-PD0010</t>
  </si>
  <si>
    <t>SO0117-PD0005</t>
  </si>
  <si>
    <t>SO0118-PD0015</t>
  </si>
  <si>
    <t>SO0118-PD0004</t>
  </si>
  <si>
    <t>SO0118-PD0010</t>
  </si>
  <si>
    <t>SO0119-PD0017</t>
  </si>
  <si>
    <t>SO0119-PD0018</t>
  </si>
  <si>
    <t>SO0119-PD0012</t>
  </si>
  <si>
    <t>SO0120-PD0010</t>
  </si>
  <si>
    <t>SO0120-PD0006</t>
  </si>
  <si>
    <t>SO0120-PD0019</t>
  </si>
  <si>
    <t>SO0120-PD0015</t>
  </si>
  <si>
    <t>SO0120-PD0007</t>
  </si>
  <si>
    <t>SO0121-PD0011</t>
  </si>
  <si>
    <t>SO0122-PD0009</t>
  </si>
  <si>
    <t>SO0122-PD0016</t>
  </si>
  <si>
    <t>SO0122-PD0013</t>
  </si>
  <si>
    <t>SO0122-PD0006</t>
  </si>
  <si>
    <t>SO0123-PD0013</t>
  </si>
  <si>
    <t>SO0123-PD0009</t>
  </si>
  <si>
    <t>SO0123-PD0004</t>
  </si>
  <si>
    <t>SO0123-PD0020</t>
  </si>
  <si>
    <t>SO0124-PD0005</t>
  </si>
  <si>
    <t>SO0125-PD0002</t>
  </si>
  <si>
    <t>SO0125-PD0004</t>
  </si>
  <si>
    <t>SO0125-PD0005</t>
  </si>
  <si>
    <t>SO0125-PD0009</t>
  </si>
  <si>
    <t>SO0126-PD0016</t>
  </si>
  <si>
    <t>SO0126-PD0013</t>
  </si>
  <si>
    <t>SO0127-PD0017</t>
  </si>
  <si>
    <t>SO0128-PD0020</t>
  </si>
  <si>
    <t>SO0128-PD0001</t>
  </si>
  <si>
    <t>SO0128-PD0013</t>
  </si>
  <si>
    <t>SO0129-PD0017</t>
  </si>
  <si>
    <t>SO0130-PD0001</t>
  </si>
  <si>
    <t>SO0130-PD0018</t>
  </si>
  <si>
    <t>SO0130-PD0015</t>
  </si>
  <si>
    <t>SO0130-PD0004</t>
  </si>
  <si>
    <t>SO0130-PD0013</t>
  </si>
  <si>
    <t>SO0131-PD0003</t>
  </si>
  <si>
    <t>SO0131-PD0006</t>
  </si>
  <si>
    <t>SO0132-PD0015</t>
  </si>
  <si>
    <t>SO0132-PD0017</t>
  </si>
  <si>
    <t>SO0132-PD0003</t>
  </si>
  <si>
    <t>SO0132-PD0016</t>
  </si>
  <si>
    <t>SO0133-PD0017</t>
  </si>
  <si>
    <t>SO0133-PD0015</t>
  </si>
  <si>
    <t>SO0133-PD0006</t>
  </si>
  <si>
    <t>SO0134-PD0010</t>
  </si>
  <si>
    <t>SO0134-PD0006</t>
  </si>
  <si>
    <t>SO0134-PD0018</t>
  </si>
  <si>
    <t>SO0134-PD0014</t>
  </si>
  <si>
    <t>SO0135-PD0008</t>
  </si>
  <si>
    <t>SO0136-PD0003</t>
  </si>
  <si>
    <t>SO0137-PD0003</t>
  </si>
  <si>
    <t>SO0137-PD0004</t>
  </si>
  <si>
    <t>SO0137-PD0007</t>
  </si>
  <si>
    <t>SO0137-PD0014</t>
  </si>
  <si>
    <t>SO0137-PD0005</t>
  </si>
  <si>
    <t>SO0138-PD0018</t>
  </si>
  <si>
    <t>SO0138-PD0011</t>
  </si>
  <si>
    <t>SO0139-PD0011</t>
  </si>
  <si>
    <t>SO0139-PD0004</t>
  </si>
  <si>
    <t>SO0139-PD0003</t>
  </si>
  <si>
    <t>SO0140-PD0016</t>
  </si>
  <si>
    <t>SO0141-PD0020</t>
  </si>
  <si>
    <t>SO0141-PD0010</t>
  </si>
  <si>
    <t>SO0142-PD0003</t>
  </si>
  <si>
    <t>SO0142-PD0016</t>
  </si>
  <si>
    <t>SO0142-PD0017</t>
  </si>
  <si>
    <t>SO0142-PD0014</t>
  </si>
  <si>
    <t>SO0143-PD0006</t>
  </si>
  <si>
    <t>SO0143-PD0003</t>
  </si>
  <si>
    <t>SO0144-PD0019</t>
  </si>
  <si>
    <t>SO0144-PD0005</t>
  </si>
  <si>
    <t>SO0145-PD0001</t>
  </si>
  <si>
    <t>SO0145-PD0018</t>
  </si>
  <si>
    <t>SO0145-PD0002</t>
  </si>
  <si>
    <t>SO0145-PD0016</t>
  </si>
  <si>
    <t>SO0146-PD0016</t>
  </si>
  <si>
    <t>SO0147-PD0009</t>
  </si>
  <si>
    <t>SO0147-PD0020</t>
  </si>
  <si>
    <t>SO0147-PD0018</t>
  </si>
  <si>
    <t>SO0147-PD0010</t>
  </si>
  <si>
    <t>SO0147-PD0008</t>
  </si>
  <si>
    <t>SO0148-PD0017</t>
  </si>
  <si>
    <t>SO0148-PD0004</t>
  </si>
  <si>
    <t>SO0148-PD0012</t>
  </si>
  <si>
    <t>SO0148-PD0016</t>
  </si>
  <si>
    <t>SO0149-PD0007</t>
  </si>
  <si>
    <t>SO0150-PD0018</t>
  </si>
  <si>
    <t>SO0150-PD0005</t>
  </si>
  <si>
    <t>SO0150-PD0012</t>
  </si>
  <si>
    <t>SO0150-PD0002</t>
  </si>
  <si>
    <t>SO0150-PD0008</t>
  </si>
  <si>
    <t>SO0151-PD0011</t>
  </si>
  <si>
    <t>SO0151-PD0001</t>
  </si>
  <si>
    <t>SO0151-PD0005</t>
  </si>
  <si>
    <t>SO0152-PD0002</t>
  </si>
  <si>
    <t>SO0152-PD0001</t>
  </si>
  <si>
    <t>SO0153-PD0011</t>
  </si>
  <si>
    <t>SO0153-PD0006</t>
  </si>
  <si>
    <t>SO0153-PD0016</t>
  </si>
  <si>
    <t>SO0153-PD0014</t>
  </si>
  <si>
    <t>SO0154-PD0017</t>
  </si>
  <si>
    <t>SO0154-PD0016</t>
  </si>
  <si>
    <t>SO0154-PD0014</t>
  </si>
  <si>
    <t>SO0155-PD0020</t>
  </si>
  <si>
    <t>SO0155-PD0016</t>
  </si>
  <si>
    <t>SO0156-PD0019</t>
  </si>
  <si>
    <t>SO0157-PD0017</t>
  </si>
  <si>
    <t>SO0157-PD0003</t>
  </si>
  <si>
    <t>SO0159-PD0001</t>
  </si>
  <si>
    <t>SO0159-PD0019</t>
  </si>
  <si>
    <t>SO0159-PD0018</t>
  </si>
  <si>
    <t>SO0159-PD0013</t>
  </si>
  <si>
    <t>SO0159-PD0004</t>
  </si>
  <si>
    <t>SO0160-PD0014</t>
  </si>
  <si>
    <t>SO0160-PD0001</t>
  </si>
  <si>
    <t>SO0160-PD0016</t>
  </si>
  <si>
    <t>SO0160-PD0007</t>
  </si>
  <si>
    <t>SO0161-PD0008</t>
  </si>
  <si>
    <t>SO0161-PD0011</t>
  </si>
  <si>
    <t>SO0161-PD0004</t>
  </si>
  <si>
    <t>SO0163-PD0018</t>
  </si>
  <si>
    <t>SO0164-PD0019</t>
  </si>
  <si>
    <t>SO0164-PD0020</t>
  </si>
  <si>
    <t>SO0164-PD0009</t>
  </si>
  <si>
    <t>SO0164-PD0008</t>
  </si>
  <si>
    <t>SO0165-PD0019</t>
  </si>
  <si>
    <t>SO0165-PD0020</t>
  </si>
  <si>
    <t>SO0165-PD0010</t>
  </si>
  <si>
    <t>SO0165-PD0005</t>
  </si>
  <si>
    <t>SO0165-PD0016</t>
  </si>
  <si>
    <t>SO0166-PD0020</t>
  </si>
  <si>
    <t>SO0166-PD0009</t>
  </si>
  <si>
    <t>SO0167-PD0006</t>
  </si>
  <si>
    <t>SO0167-PD0012</t>
  </si>
  <si>
    <t>SO0167-PD0010</t>
  </si>
  <si>
    <t>SO0168-PD0012</t>
  </si>
  <si>
    <t>SO0168-PD0001</t>
  </si>
  <si>
    <t>SO0169-PD0007</t>
  </si>
  <si>
    <t>SO0169-PD0002</t>
  </si>
  <si>
    <t>SO0170-PD0001</t>
  </si>
  <si>
    <t>SO0170-PD0008</t>
  </si>
  <si>
    <t>SO0170-PD0019</t>
  </si>
  <si>
    <t>SO0170-PD0002</t>
  </si>
  <si>
    <t>SO0171-PD0002</t>
  </si>
  <si>
    <t>SO0171-PD0010</t>
  </si>
  <si>
    <t>SO0171-PD0014</t>
  </si>
  <si>
    <t>SO0172-PD0012</t>
  </si>
  <si>
    <t>SO0172-PD0019</t>
  </si>
  <si>
    <t>SO0172-PD0011</t>
  </si>
  <si>
    <t>SO0173-PD0002</t>
  </si>
  <si>
    <t>SO0173-PD0016</t>
  </si>
  <si>
    <t>SO0173-PD0007</t>
  </si>
  <si>
    <t>SO0173-PD0009</t>
  </si>
  <si>
    <t>SO0173-PD0006</t>
  </si>
  <si>
    <t>SO0173-PD0004</t>
  </si>
  <si>
    <t>SO0174-PD0013</t>
  </si>
  <si>
    <t>SO0174-PD0011</t>
  </si>
  <si>
    <t>SO0174-PD0017</t>
  </si>
  <si>
    <t>SO0174-PD0001</t>
  </si>
  <si>
    <t>SO0175-PD0020</t>
  </si>
  <si>
    <t>SO0175-PD0004</t>
  </si>
  <si>
    <t>SO0175-PD0009</t>
  </si>
  <si>
    <t>SO0175-PD0014</t>
  </si>
  <si>
    <t>SO0176-PD0011</t>
  </si>
  <si>
    <t>SO0176-PD0010</t>
  </si>
  <si>
    <t>SO0176-PD0014</t>
  </si>
  <si>
    <t>SO0176-PD0012</t>
  </si>
  <si>
    <t>SO0177-PD0008</t>
  </si>
  <si>
    <t>SO0177-PD0011</t>
  </si>
  <si>
    <t>SO0177-PD0002</t>
  </si>
  <si>
    <t>SO0178-PD0012</t>
  </si>
  <si>
    <t>SO0178-PD0016</t>
  </si>
  <si>
    <t>SO0178-PD0002</t>
  </si>
  <si>
    <t>SO0178-PD0005</t>
  </si>
  <si>
    <t>SO0179-PD0001</t>
  </si>
  <si>
    <t>SO0179-PD0008</t>
  </si>
  <si>
    <t>SO0180-PD0007</t>
  </si>
  <si>
    <t>SO0181-PD0015</t>
  </si>
  <si>
    <t>SO0181-PD0005</t>
  </si>
  <si>
    <t>SO0181-PD0013</t>
  </si>
  <si>
    <t>SO0182-PD0017</t>
  </si>
  <si>
    <t>SO0183-PD0012</t>
  </si>
  <si>
    <t>SO0183-PD0014</t>
  </si>
  <si>
    <t>SO0183-PD0016</t>
  </si>
  <si>
    <t>SO0184-PD0007</t>
  </si>
  <si>
    <t>SO0184-PD0020</t>
  </si>
  <si>
    <t>SO0185-PD0019</t>
  </si>
  <si>
    <t>SO0185-PD0013</t>
  </si>
  <si>
    <t>SO0185-PD0003</t>
  </si>
  <si>
    <t>SO0185-PD0005</t>
  </si>
  <si>
    <t>SO0186-PD0002</t>
  </si>
  <si>
    <t>SO0187-PD0018</t>
  </si>
  <si>
    <t>SO0187-PD0004</t>
  </si>
  <si>
    <t>SO0187-PD0002</t>
  </si>
  <si>
    <t>SO0188-PD0004</t>
  </si>
  <si>
    <t>SO0188-PD0020</t>
  </si>
  <si>
    <t>SO0188-PD0015</t>
  </si>
  <si>
    <t>SO0188-PD0007</t>
  </si>
  <si>
    <t>SO0189-PD0007</t>
  </si>
  <si>
    <t>SO0190-PD0005</t>
  </si>
  <si>
    <t>SO0190-PD0001</t>
  </si>
  <si>
    <t>SO0190-PD0009</t>
  </si>
  <si>
    <t>SO0191-PD0013</t>
  </si>
  <si>
    <t>SO0191-PD0009</t>
  </si>
  <si>
    <t>SO0191-PD0002</t>
  </si>
  <si>
    <t>SO0192-PD0017</t>
  </si>
  <si>
    <t>SO0192-PD0004</t>
  </si>
  <si>
    <t>SO0193-PD0012</t>
  </si>
  <si>
    <t>SO0193-PD0008</t>
  </si>
  <si>
    <t>SO0193-PD0015</t>
  </si>
  <si>
    <t>SO0194-PD0009</t>
  </si>
  <si>
    <t>SO0194-PD0004</t>
  </si>
  <si>
    <t>SO0195-PD0009</t>
  </si>
  <si>
    <t>SO0196-PD0003</t>
  </si>
  <si>
    <t>SO0196-PD0010</t>
  </si>
  <si>
    <t>SO0197-PD0014</t>
  </si>
  <si>
    <t>SO0197-PD0001</t>
  </si>
  <si>
    <t>SO0197-PD0017</t>
  </si>
  <si>
    <t>SO0198-PD0005</t>
  </si>
  <si>
    <t>SO0198-PD0009</t>
  </si>
  <si>
    <t>SO0199-PD0017</t>
  </si>
  <si>
    <t>SO0199-PD0001</t>
  </si>
  <si>
    <t>SO0199-PD0006</t>
  </si>
  <si>
    <t>SO0199-PD0009</t>
  </si>
  <si>
    <t>SO0199-PD0019</t>
  </si>
  <si>
    <t>SO0199-PD0015</t>
  </si>
  <si>
    <t>SO0200-PD0009</t>
  </si>
  <si>
    <t>SO0200-PD0003</t>
  </si>
  <si>
    <t>SO0200-PD0010</t>
  </si>
  <si>
    <t>SO0200-PD0013</t>
  </si>
  <si>
    <t>SO0201-PD0010</t>
  </si>
  <si>
    <t>SO0201-PD0019</t>
  </si>
  <si>
    <t>SO0202-PD0020</t>
  </si>
  <si>
    <t>SO0202-PD0009</t>
  </si>
  <si>
    <t>SO0202-PD0006</t>
  </si>
  <si>
    <t>SO0203-PD0012</t>
  </si>
  <si>
    <t>SO0203-PD0013</t>
  </si>
  <si>
    <t>SO0203-PD0018</t>
  </si>
  <si>
    <t>SO0203-PD0001</t>
  </si>
  <si>
    <t>SO0204-PD0004</t>
  </si>
  <si>
    <t>SO0204-PD0007</t>
  </si>
  <si>
    <t>SO0204-PD0008</t>
  </si>
  <si>
    <t>SO0205-PD0012</t>
  </si>
  <si>
    <t>SO0205-PD0017</t>
  </si>
  <si>
    <t>SO0205-PD0013</t>
  </si>
  <si>
    <t>SO0206-PD0007</t>
  </si>
  <si>
    <t>SO0206-PD0014</t>
  </si>
  <si>
    <t>SO0206-PD0004</t>
  </si>
  <si>
    <t>SO0206-PD0020</t>
  </si>
  <si>
    <t>SO0206-PD0009</t>
  </si>
  <si>
    <t>SO0207-PD0005</t>
  </si>
  <si>
    <t>SO0207-PD0017</t>
  </si>
  <si>
    <t>SO0208-PD0020</t>
  </si>
  <si>
    <t>SO0208-PD0013</t>
  </si>
  <si>
    <t>SO0208-PD0001</t>
  </si>
  <si>
    <t>SO0209-PD0018</t>
  </si>
  <si>
    <t>SO0209-PD0020</t>
  </si>
  <si>
    <t>SO0210-PD0008</t>
  </si>
  <si>
    <t>SO0210-PD0001</t>
  </si>
  <si>
    <t>SO0211-PD0013</t>
  </si>
  <si>
    <t>SO0211-PD0008</t>
  </si>
  <si>
    <t>SO0211-PD0017</t>
  </si>
  <si>
    <t>SO0213-PD0013</t>
  </si>
  <si>
    <t>SO0213-PD0012</t>
  </si>
  <si>
    <t>SO0213-PD0006</t>
  </si>
  <si>
    <t>SO0213-PD0020</t>
  </si>
  <si>
    <t>SO0214-PD0012</t>
  </si>
  <si>
    <t>SO0214-PD0011</t>
  </si>
  <si>
    <t>SO0214-PD0007</t>
  </si>
  <si>
    <t>SO0215-PD0001</t>
  </si>
  <si>
    <t>SO0215-PD0009</t>
  </si>
  <si>
    <t>SO0215-PD0003</t>
  </si>
  <si>
    <t>SO0215-PD0019</t>
  </si>
  <si>
    <t>SO0215-PD0011</t>
  </si>
  <si>
    <t>SO0215-PD0010</t>
  </si>
  <si>
    <t>SO0216-PD0016</t>
  </si>
  <si>
    <t>SO0216-PD0020</t>
  </si>
  <si>
    <t>SO0216-PD0003</t>
  </si>
  <si>
    <t>SO0217-PD0002</t>
  </si>
  <si>
    <t>SO0217-PD0006</t>
  </si>
  <si>
    <t>SO0218-PD0003</t>
  </si>
  <si>
    <t>SO0219-PD0003</t>
  </si>
  <si>
    <t>SO0219-PD0005</t>
  </si>
  <si>
    <t>SO0219-PD0008</t>
  </si>
  <si>
    <t>SO0220-PD0005</t>
  </si>
  <si>
    <t>SO0220-PD0007</t>
  </si>
  <si>
    <t>SO0221-PD0008</t>
  </si>
  <si>
    <t>SO0221-PD0001</t>
  </si>
  <si>
    <t>SO0222-PD0018</t>
  </si>
  <si>
    <t>SO0222-PD0013</t>
  </si>
  <si>
    <t>SO0222-PD0012</t>
  </si>
  <si>
    <t>SO0223-PD0003</t>
  </si>
  <si>
    <t>SO0223-PD0009</t>
  </si>
  <si>
    <t>SO0223-PD0017</t>
  </si>
  <si>
    <t>SO0223-PD0019</t>
  </si>
  <si>
    <t>SO0223-PD0020</t>
  </si>
  <si>
    <t>SO0224-PD0015</t>
  </si>
  <si>
    <t>SO0225-PD0004</t>
  </si>
  <si>
    <t>SO0225-PD0013</t>
  </si>
  <si>
    <t>SO0225-PD0003</t>
  </si>
  <si>
    <t>SO0225-PD0008</t>
  </si>
  <si>
    <t>SO0225-PD0006</t>
  </si>
  <si>
    <t>SO0226-PD0008</t>
  </si>
  <si>
    <t>SO0226-PD0016</t>
  </si>
  <si>
    <t>SO0226-PD0001</t>
  </si>
  <si>
    <t>SO0226-PD0017</t>
  </si>
  <si>
    <t>SO0226-PD0018</t>
  </si>
  <si>
    <t>SO0227-PD0010</t>
  </si>
  <si>
    <t>SO0227-PD0019</t>
  </si>
  <si>
    <t>SO0228-PD0007</t>
  </si>
  <si>
    <t>SO0228-PD0005</t>
  </si>
  <si>
    <t>SO0228-PD0002</t>
  </si>
  <si>
    <t>SO0228-PD0019</t>
  </si>
  <si>
    <t>SO0229-PD0011</t>
  </si>
  <si>
    <t>SO0229-PD0018</t>
  </si>
  <si>
    <t>SO0230-PD0004</t>
  </si>
  <si>
    <t>SO0231-PD0017</t>
  </si>
  <si>
    <t>SO0231-PD0006</t>
  </si>
  <si>
    <t>SO0232-PD0004</t>
  </si>
  <si>
    <t>SO0232-PD0010</t>
  </si>
  <si>
    <t>SO0233-PD0013</t>
  </si>
  <si>
    <t>SO0234-PD0013</t>
  </si>
  <si>
    <t>SO0234-PD0011</t>
  </si>
  <si>
    <t>SO0235-PD0007</t>
  </si>
  <si>
    <t>SO0236-PD0018</t>
  </si>
  <si>
    <t>SO0236-PD0003</t>
  </si>
  <si>
    <t>SO0237-PD0019</t>
  </si>
  <si>
    <t>SO0237-PD0016</t>
  </si>
  <si>
    <t>SO0237-PD0005</t>
  </si>
  <si>
    <t>SO0238-PD0012</t>
  </si>
  <si>
    <t>SO0238-PD0004</t>
  </si>
  <si>
    <t>SO0239-PD0008</t>
  </si>
  <si>
    <t>SO0239-PD0018</t>
  </si>
  <si>
    <t>SO0239-PD0001</t>
  </si>
  <si>
    <t>SO0239-PD0002</t>
  </si>
  <si>
    <t>SO0240-PD0009</t>
  </si>
  <si>
    <t>SO0240-PD0014</t>
  </si>
  <si>
    <t>SO0240-PD0015</t>
  </si>
  <si>
    <t>SO0240-PD0004</t>
  </si>
  <si>
    <t>SO0240-PD0013</t>
  </si>
  <si>
    <t>SO0240-PD0018</t>
  </si>
  <si>
    <t>SO0241-PD0002</t>
  </si>
  <si>
    <t>SO0241-PD0001</t>
  </si>
  <si>
    <t>SO0242-PD0003</t>
  </si>
  <si>
    <t>SO0242-PD0017</t>
  </si>
  <si>
    <t>SO0242-PD0004</t>
  </si>
  <si>
    <t>SO0242-PD0006</t>
  </si>
  <si>
    <t>SO0242-PD0009</t>
  </si>
  <si>
    <t>SO0242-PD0008</t>
  </si>
  <si>
    <t>SO0243-PD0008</t>
  </si>
  <si>
    <t>SO0243-PD0009</t>
  </si>
  <si>
    <t>SO0243-PD0003</t>
  </si>
  <si>
    <t>SO0243-PD0007</t>
  </si>
  <si>
    <t>SO0244-PD0008</t>
  </si>
  <si>
    <t>SO0244-PD0014</t>
  </si>
  <si>
    <t>SO0245-PD0007</t>
  </si>
  <si>
    <t>SO0245-PD0011</t>
  </si>
  <si>
    <t>SO0246-PD0012</t>
  </si>
  <si>
    <t>SO0246-PD0001</t>
  </si>
  <si>
    <t>SO0247-PD0009</t>
  </si>
  <si>
    <t>SO0247-PD0005</t>
  </si>
  <si>
    <t>SO0247-PD0013</t>
  </si>
  <si>
    <t>SO0247-PD0018</t>
  </si>
  <si>
    <t>SO0248-PD0007</t>
  </si>
  <si>
    <t>SO0248-PD0001</t>
  </si>
  <si>
    <t>SO0248-PD0005</t>
  </si>
  <si>
    <t>SO0249-PD0012</t>
  </si>
  <si>
    <t>SO0249-PD0004</t>
  </si>
  <si>
    <t>SO0249-PD0011</t>
  </si>
  <si>
    <t>SO0250-PD0004</t>
  </si>
  <si>
    <t>SO0250-PD0001</t>
  </si>
  <si>
    <t>SO0250-PD0009</t>
  </si>
  <si>
    <t>SO0251-PD0005</t>
  </si>
  <si>
    <t>SO0251-PD0006</t>
  </si>
  <si>
    <t>SO0251-PD0011</t>
  </si>
  <si>
    <t>SO0252-PD0009</t>
  </si>
  <si>
    <t>SO0252-PD0016</t>
  </si>
  <si>
    <t>SO0252-PD0003</t>
  </si>
  <si>
    <t>SO0252-PD0002</t>
  </si>
  <si>
    <t>SO0253-PD0017</t>
  </si>
  <si>
    <t>SO0253-PD0020</t>
  </si>
  <si>
    <t>SO0254-PD0020</t>
  </si>
  <si>
    <t>SO0254-PD0006</t>
  </si>
  <si>
    <t>SO0254-PD0017</t>
  </si>
  <si>
    <t>SO0254-PD0019</t>
  </si>
  <si>
    <t>SO0255-PD0004</t>
  </si>
  <si>
    <t>SO0255-PD0020</t>
  </si>
  <si>
    <t>SO0255-PD0005</t>
  </si>
  <si>
    <t>SO0255-PD0001</t>
  </si>
  <si>
    <t>SO0256-PD0014</t>
  </si>
  <si>
    <t>SO0256-PD0011</t>
  </si>
  <si>
    <t>SO0256-PD0002</t>
  </si>
  <si>
    <t>SO0257-PD0009</t>
  </si>
  <si>
    <t>SO0257-PD0014</t>
  </si>
  <si>
    <t>SO0257-PD0004</t>
  </si>
  <si>
    <t>SO0257-PD0012</t>
  </si>
  <si>
    <t>SO0258-PD0019</t>
  </si>
  <si>
    <t>SO0258-PD0016</t>
  </si>
  <si>
    <t>SO0258-PD0008</t>
  </si>
  <si>
    <t>SO0258-PD0007</t>
  </si>
  <si>
    <t>SO0259-PD0013</t>
  </si>
  <si>
    <t>SO0259-PD0007</t>
  </si>
  <si>
    <t>SO0260-PD0011</t>
  </si>
  <si>
    <t>SO0260-PD0004</t>
  </si>
  <si>
    <t>SO0261-PD0001</t>
  </si>
  <si>
    <t>SO0261-PD0020</t>
  </si>
  <si>
    <t>SO0262-PD0015</t>
  </si>
  <si>
    <t>SO0263-PD0017</t>
  </si>
  <si>
    <t>SO0264-PD0008</t>
  </si>
  <si>
    <t>SO0264-PD0015</t>
  </si>
  <si>
    <t>SO0265-PD0012</t>
  </si>
  <si>
    <t>SO0266-PD0020</t>
  </si>
  <si>
    <t>SO0266-PD0006</t>
  </si>
  <si>
    <t>SO0266-PD0001</t>
  </si>
  <si>
    <t>SO0267-PD0012</t>
  </si>
  <si>
    <t>SO0267-PD0020</t>
  </si>
  <si>
    <t>SO0267-PD0003</t>
  </si>
  <si>
    <t>SO0267-PD0014</t>
  </si>
  <si>
    <t>SO0268-PD0018</t>
  </si>
  <si>
    <t>SO0268-PD0003</t>
  </si>
  <si>
    <t>SO0268-PD0002</t>
  </si>
  <si>
    <t>SO0268-PD0010</t>
  </si>
  <si>
    <t>SO0268-PD0008</t>
  </si>
  <si>
    <t>SO0269-PD0010</t>
  </si>
  <si>
    <t>SO0269-PD0020</t>
  </si>
  <si>
    <t>SO0270-PD0006</t>
  </si>
  <si>
    <t>SO0271-PD0004</t>
  </si>
  <si>
    <t>SO0271-PD0006</t>
  </si>
  <si>
    <t>SO0271-PD0008</t>
  </si>
  <si>
    <t>SO0271-PD0017</t>
  </si>
  <si>
    <t>SO0272-PD0005</t>
  </si>
  <si>
    <t>SO0272-PD0015</t>
  </si>
  <si>
    <t>SO0273-PD0003</t>
  </si>
  <si>
    <t>SO0273-PD0012</t>
  </si>
  <si>
    <t>SO0273-PD0010</t>
  </si>
  <si>
    <t>SO0273-PD0009</t>
  </si>
  <si>
    <t>SO0274-PD0010</t>
  </si>
  <si>
    <t>SO0274-PD0016</t>
  </si>
  <si>
    <t>SO0276-PD0011</t>
  </si>
  <si>
    <t>SO0276-PD0020</t>
  </si>
  <si>
    <t>SO0276-PD0019</t>
  </si>
  <si>
    <t>SO0277-PD0008</t>
  </si>
  <si>
    <t>SO0277-PD0004</t>
  </si>
  <si>
    <t>SO0277-PD0018</t>
  </si>
  <si>
    <t>SO0277-PD0013</t>
  </si>
  <si>
    <t>SO0278-PD0012</t>
  </si>
  <si>
    <t>SO0278-PD0007</t>
  </si>
  <si>
    <t>SO0278-PD0005</t>
  </si>
  <si>
    <t>SO0278-PD0018</t>
  </si>
  <si>
    <t>SO0279-PD0011</t>
  </si>
  <si>
    <t>SO0279-PD0005</t>
  </si>
  <si>
    <t>SO0279-PD0004</t>
  </si>
  <si>
    <t>SO0280-PD0004</t>
  </si>
  <si>
    <t>SO0280-PD0001</t>
  </si>
  <si>
    <t>SO0280-PD0009</t>
  </si>
  <si>
    <t>SO0281-PD0010</t>
  </si>
  <si>
    <t>SO0281-PD0012</t>
  </si>
  <si>
    <t>SO0281-PD0019</t>
  </si>
  <si>
    <t>SO0281-PD0003</t>
  </si>
  <si>
    <t>SO0281-PD0015</t>
  </si>
  <si>
    <t>SO0281-PD0007</t>
  </si>
  <si>
    <t>SO0281-PD0001</t>
  </si>
  <si>
    <t>SO0282-PD0011</t>
  </si>
  <si>
    <t>SO0283-PD0007</t>
  </si>
  <si>
    <t>SO0283-PD0011</t>
  </si>
  <si>
    <t>SO0283-PD0004</t>
  </si>
  <si>
    <t>SO0283-PD0016</t>
  </si>
  <si>
    <t>SO0283-PD0012</t>
  </si>
  <si>
    <t>SO0284-PD0020</t>
  </si>
  <si>
    <t>SO0284-PD0005</t>
  </si>
  <si>
    <t>SO0284-PD0008</t>
  </si>
  <si>
    <t>SO0284-PD0011</t>
  </si>
  <si>
    <t>SO0284-PD0013</t>
  </si>
  <si>
    <t>SO0285-PD0016</t>
  </si>
  <si>
    <t>SO0285-PD0019</t>
  </si>
  <si>
    <t>SO0285-PD0014</t>
  </si>
  <si>
    <t>SO0285-PD0018</t>
  </si>
  <si>
    <t>SO0285-PD0004</t>
  </si>
  <si>
    <t>SO0286-PD0008</t>
  </si>
  <si>
    <t>SO0286-PD0011</t>
  </si>
  <si>
    <t>SO0286-PD0013</t>
  </si>
  <si>
    <t>SO0286-PD0014</t>
  </si>
  <si>
    <t>SO0286-PD0016</t>
  </si>
  <si>
    <t>SO0286-PD0007</t>
  </si>
  <si>
    <t>SO0286-PD0010</t>
  </si>
  <si>
    <t>SO0287-PD0016</t>
  </si>
  <si>
    <t>SO0287-PD0008</t>
  </si>
  <si>
    <t>SO0287-PD0005</t>
  </si>
  <si>
    <t>SO0287-PD0004</t>
  </si>
  <si>
    <t>SO0288-PD0020</t>
  </si>
  <si>
    <t>SO0288-PD0011</t>
  </si>
  <si>
    <t>SO0288-PD0002</t>
  </si>
  <si>
    <t>SO0289-PD0013</t>
  </si>
  <si>
    <t>SO0289-PD0010</t>
  </si>
  <si>
    <t>SO0290-PD0008</t>
  </si>
  <si>
    <t>SO0290-PD0016</t>
  </si>
  <si>
    <t>SO0290-PD0004</t>
  </si>
  <si>
    <t>SO0290-PD0015</t>
  </si>
  <si>
    <t>SO0291-PD0007</t>
  </si>
  <si>
    <t>SO0291-PD0009</t>
  </si>
  <si>
    <t>SO0291-PD0008</t>
  </si>
  <si>
    <t>SO0291-PD0012</t>
  </si>
  <si>
    <t>SO0291-PD0004</t>
  </si>
  <si>
    <t>SO0292-PD0007</t>
  </si>
  <si>
    <t>SO0292-PD0010</t>
  </si>
  <si>
    <t>SO0293-PD0019</t>
  </si>
  <si>
    <t>SO0293-PD0020</t>
  </si>
  <si>
    <t>SO0293-PD0011</t>
  </si>
  <si>
    <t>SO0294-PD0014</t>
  </si>
  <si>
    <t>SO0294-PD0009</t>
  </si>
  <si>
    <t>SO0295-PD0001</t>
  </si>
  <si>
    <t>SO0295-PD0014</t>
  </si>
  <si>
    <t>SO0295-PD0005</t>
  </si>
  <si>
    <t>SO0295-PD0013</t>
  </si>
  <si>
    <t>SO0296-PD0016</t>
  </si>
  <si>
    <t>SO0296-PD0004</t>
  </si>
  <si>
    <t>SO0296-PD0010</t>
  </si>
  <si>
    <t>SO0296-PD0005</t>
  </si>
  <si>
    <t>SO0297-PD0015</t>
  </si>
  <si>
    <t>SO0297-PD0012</t>
  </si>
  <si>
    <t>SO0297-PD0013</t>
  </si>
  <si>
    <t>SO0297-PD0010</t>
  </si>
  <si>
    <t>SO0297-PD0019</t>
  </si>
  <si>
    <t>SO0298-PD0019</t>
  </si>
  <si>
    <t>SO0298-PD0008</t>
  </si>
  <si>
    <t>SO0299-PD0007</t>
  </si>
  <si>
    <t>SO0300-PD0017</t>
  </si>
  <si>
    <t>SO0300-PD0012</t>
  </si>
  <si>
    <t>SO0301-PD0019</t>
  </si>
  <si>
    <t>SO0302-PD0019</t>
  </si>
  <si>
    <t>SO0302-PD0017</t>
  </si>
  <si>
    <t>SO0303-PD0009</t>
  </si>
  <si>
    <t>SO0303-PD0005</t>
  </si>
  <si>
    <t>SO0303-PD0007</t>
  </si>
  <si>
    <t>SO0303-PD0016</t>
  </si>
  <si>
    <t>SO0304-PD0010</t>
  </si>
  <si>
    <t>SO0304-PD0006</t>
  </si>
  <si>
    <t>SO0304-PD0007</t>
  </si>
  <si>
    <t>SO0305-PD0008</t>
  </si>
  <si>
    <t>SO0305-PD0006</t>
  </si>
  <si>
    <t>SO0305-PD0012</t>
  </si>
  <si>
    <t>SO0306-PD0006</t>
  </si>
  <si>
    <t>SO0306-PD0003</t>
  </si>
  <si>
    <t>SO0306-PD0020</t>
  </si>
  <si>
    <t>SO0307-PD0002</t>
  </si>
  <si>
    <t>SO0307-PD0017</t>
  </si>
  <si>
    <t>SO0308-PD0018</t>
  </si>
  <si>
    <t>SO0308-PD0019</t>
  </si>
  <si>
    <t>SO0308-PD0014</t>
  </si>
  <si>
    <t>SO0309-PD0010</t>
  </si>
  <si>
    <t>SO0309-PD0005</t>
  </si>
  <si>
    <t>SO0309-PD0003</t>
  </si>
  <si>
    <t>SO0310-PD0009</t>
  </si>
  <si>
    <t>SO0310-PD0016</t>
  </si>
  <si>
    <t>SO0310-PD0019</t>
  </si>
  <si>
    <t>SO0311-PD0018</t>
  </si>
  <si>
    <t>SO0312-PD0004</t>
  </si>
  <si>
    <t>SO0313-PD0013</t>
  </si>
  <si>
    <t>SO0313-PD0006</t>
  </si>
  <si>
    <t>SO0313-PD0003</t>
  </si>
  <si>
    <t>SO0314-PD0008</t>
  </si>
  <si>
    <t>SO0314-PD0014</t>
  </si>
  <si>
    <t>SO0314-PD0005</t>
  </si>
  <si>
    <t>SO0315-PD0017</t>
  </si>
  <si>
    <t>SO0315-PD0019</t>
  </si>
  <si>
    <t>SO0315-PD0013</t>
  </si>
  <si>
    <t>SO0316-PD0005</t>
  </si>
  <si>
    <t>SO0316-PD0007</t>
  </si>
  <si>
    <t>SO0316-PD0010</t>
  </si>
  <si>
    <t>SO0317-PD0014</t>
  </si>
  <si>
    <t>SO0317-PD0010</t>
  </si>
  <si>
    <t>SO0317-PD0015</t>
  </si>
  <si>
    <t>SO0318-PD0014</t>
  </si>
  <si>
    <t>SO0318-PD0018</t>
  </si>
  <si>
    <t>SO0318-PD0019</t>
  </si>
  <si>
    <t>SO0319-PD0011</t>
  </si>
  <si>
    <t>SO0320-PD0009</t>
  </si>
  <si>
    <t>SO0320-PD0014</t>
  </si>
  <si>
    <t>SO0321-PD0003</t>
  </si>
  <si>
    <t>SO0321-PD0008</t>
  </si>
  <si>
    <t>SO0321-PD0013</t>
  </si>
  <si>
    <t>SO0321-PD0001</t>
  </si>
  <si>
    <t>SO0322-PD0005</t>
  </si>
  <si>
    <t>SO0322-PD0008</t>
  </si>
  <si>
    <t>SO0322-PD0012</t>
  </si>
  <si>
    <t>SO0323-PD0005</t>
  </si>
  <si>
    <t>SO0323-PD0006</t>
  </si>
  <si>
    <t>SO0324-PD0004</t>
  </si>
  <si>
    <t>SO0324-PD0019</t>
  </si>
  <si>
    <t>SO0324-PD0011</t>
  </si>
  <si>
    <t>SO0324-PD0020</t>
  </si>
  <si>
    <t>SO0325-PD0016</t>
  </si>
  <si>
    <t>SO0325-PD0007</t>
  </si>
  <si>
    <t>SO0326-PD0009</t>
  </si>
  <si>
    <t>SO0327-PD0017</t>
  </si>
  <si>
    <t>SO0328-PD0008</t>
  </si>
  <si>
    <t>SO0328-PD0009</t>
  </si>
  <si>
    <t>SO0328-PD0003</t>
  </si>
  <si>
    <t>SO0328-PD0018</t>
  </si>
  <si>
    <t>SO0329-PD0019</t>
  </si>
  <si>
    <t>SO0329-PD0007</t>
  </si>
  <si>
    <t>SO0330-PD0003</t>
  </si>
  <si>
    <t>SO0330-PD0009</t>
  </si>
  <si>
    <t>SO0330-PD0004</t>
  </si>
  <si>
    <t>SO0330-PD0013</t>
  </si>
  <si>
    <t>SO0330-PD0007</t>
  </si>
  <si>
    <t>SO0331-PD0012</t>
  </si>
  <si>
    <t>SO0331-PD0011</t>
  </si>
  <si>
    <t>SO0331-PD0009</t>
  </si>
  <si>
    <t>SO0331-PD0008</t>
  </si>
  <si>
    <t>SO0332-PD0020</t>
  </si>
  <si>
    <t>SO0332-PD0016</t>
  </si>
  <si>
    <t>SO0332-PD0019</t>
  </si>
  <si>
    <t>SO0332-PD0003</t>
  </si>
  <si>
    <t>SO0333-PD0013</t>
  </si>
  <si>
    <t>SO0333-PD0003</t>
  </si>
  <si>
    <t>SO0333-PD0011</t>
  </si>
  <si>
    <t>SO0334-PD0004</t>
  </si>
  <si>
    <t>SO0334-PD0001</t>
  </si>
  <si>
    <t>SO0334-PD0013</t>
  </si>
  <si>
    <t>SO0334-PD0002</t>
  </si>
  <si>
    <t>SO0335-PD0011</t>
  </si>
  <si>
    <t>SO0335-PD0019</t>
  </si>
  <si>
    <t>SO0335-PD0020</t>
  </si>
  <si>
    <t>SO0336-PD0009</t>
  </si>
  <si>
    <t>SO0336-PD0007</t>
  </si>
  <si>
    <t>SO0336-PD0014</t>
  </si>
  <si>
    <t>SO0336-PD0005</t>
  </si>
  <si>
    <t>SO0336-PD0004</t>
  </si>
  <si>
    <t>SO0336-PD0019</t>
  </si>
  <si>
    <t>SO0337-PD0009</t>
  </si>
  <si>
    <t>SO0337-PD0010</t>
  </si>
  <si>
    <t>SO0337-PD0012</t>
  </si>
  <si>
    <t>SO0337-PD0002</t>
  </si>
  <si>
    <t>SO0338-PD0018</t>
  </si>
  <si>
    <t>SO0338-PD0019</t>
  </si>
  <si>
    <t>SO0338-PD0007</t>
  </si>
  <si>
    <t>SO0339-PD0015</t>
  </si>
  <si>
    <t>SO0339-PD0009</t>
  </si>
  <si>
    <t>SO0339-PD0018</t>
  </si>
  <si>
    <t>SO0339-PD0010</t>
  </si>
  <si>
    <t>SO0340-PD0018</t>
  </si>
  <si>
    <t>SO0341-PD0010</t>
  </si>
  <si>
    <t>SO0341-PD0006</t>
  </si>
  <si>
    <t>SO0342-PD0005</t>
  </si>
  <si>
    <t>SO0342-PD0019</t>
  </si>
  <si>
    <t>SO0342-PD0015</t>
  </si>
  <si>
    <t>SO0343-PD0014</t>
  </si>
  <si>
    <t>SO0344-PD0003</t>
  </si>
  <si>
    <t>SO0344-PD0013</t>
  </si>
  <si>
    <t>SO0344-PD0020</t>
  </si>
  <si>
    <t>SO0345-PD0007</t>
  </si>
  <si>
    <t>SO0345-PD0016</t>
  </si>
  <si>
    <t>SO0345-PD0003</t>
  </si>
  <si>
    <t>SO0345-PD0015</t>
  </si>
  <si>
    <t>SO0345-PD0017</t>
  </si>
  <si>
    <t>SO0346-PD0016</t>
  </si>
  <si>
    <t>SO0346-PD0015</t>
  </si>
  <si>
    <t>SO0346-PD0020</t>
  </si>
  <si>
    <t>SO0346-PD0014</t>
  </si>
  <si>
    <t>SO0347-PD0016</t>
  </si>
  <si>
    <t>SO0348-PD0008</t>
  </si>
  <si>
    <t>SO0348-PD0009</t>
  </si>
  <si>
    <t>SO0348-PD0010</t>
  </si>
  <si>
    <t>SO0348-PD0018</t>
  </si>
  <si>
    <t>SO0348-PD0002</t>
  </si>
  <si>
    <t>SO0349-PD0008</t>
  </si>
  <si>
    <t>SO0349-PD0019</t>
  </si>
  <si>
    <t>SO0350-PD0003</t>
  </si>
  <si>
    <t>SO0350-PD0018</t>
  </si>
  <si>
    <t>SO0350-PD0012</t>
  </si>
  <si>
    <t>SO0351-PD0013</t>
  </si>
  <si>
    <t>SO0352-PD0006</t>
  </si>
  <si>
    <t>SO0352-PD0009</t>
  </si>
  <si>
    <t>SO0352-PD0002</t>
  </si>
  <si>
    <t>SO0353-PD0016</t>
  </si>
  <si>
    <t>SO0354-PD0015</t>
  </si>
  <si>
    <t>SO0354-PD0004</t>
  </si>
  <si>
    <t>SO0354-PD0003</t>
  </si>
  <si>
    <t>SO0354-PD0009</t>
  </si>
  <si>
    <t>SO0354-PD0002</t>
  </si>
  <si>
    <t>SO0355-PD0019</t>
  </si>
  <si>
    <t>SO0355-PD0004</t>
  </si>
  <si>
    <t>SO0355-PD0017</t>
  </si>
  <si>
    <t>SO0356-PD0014</t>
  </si>
  <si>
    <t>SO0356-PD0004</t>
  </si>
  <si>
    <t>SO0357-PD0007</t>
  </si>
  <si>
    <t>SO0357-PD0005</t>
  </si>
  <si>
    <t>SO0358-PD0010</t>
  </si>
  <si>
    <t>SO0359-PD0002</t>
  </si>
  <si>
    <t>SO0360-PD0008</t>
  </si>
  <si>
    <t>SO0360-PD0015</t>
  </si>
  <si>
    <t>SO0361-PD0001</t>
  </si>
  <si>
    <t>SO0361-PD0008</t>
  </si>
  <si>
    <t>SO0362-PD0008</t>
  </si>
  <si>
    <t>SO0362-PD0019</t>
  </si>
  <si>
    <t>SO0362-PD0017</t>
  </si>
  <si>
    <t>SO0363-PD0004</t>
  </si>
  <si>
    <t>SO0363-PD0002</t>
  </si>
  <si>
    <t>SO0363-PD0015</t>
  </si>
  <si>
    <t>SO0364-PD0007</t>
  </si>
  <si>
    <t>SO0364-PD0004</t>
  </si>
  <si>
    <t>SO0364-PD0019</t>
  </si>
  <si>
    <t>SO0364-PD0003</t>
  </si>
  <si>
    <t>SO0365-PD0001</t>
  </si>
  <si>
    <t>SO0365-PD0016</t>
  </si>
  <si>
    <t>SO0365-PD0015</t>
  </si>
  <si>
    <t>SO0366-PD0009</t>
  </si>
  <si>
    <t>SO0366-PD0015</t>
  </si>
  <si>
    <t>SO0366-PD0020</t>
  </si>
  <si>
    <t>SO0366-PD0019</t>
  </si>
  <si>
    <t>SO0366-PD0003</t>
  </si>
  <si>
    <t>SO0367-PD0012</t>
  </si>
  <si>
    <t>SO0367-PD0013</t>
  </si>
  <si>
    <t>SO0367-PD0001</t>
  </si>
  <si>
    <t>SO0367-PD0016</t>
  </si>
  <si>
    <t>SO0367-PD0015</t>
  </si>
  <si>
    <t>SO0368-PD0006</t>
  </si>
  <si>
    <t>SO0368-PD0009</t>
  </si>
  <si>
    <t>SO0368-PD0008</t>
  </si>
  <si>
    <t>SO0369-PD0009</t>
  </si>
  <si>
    <t>SO0369-PD0001</t>
  </si>
  <si>
    <t>SO0369-PD0002</t>
  </si>
  <si>
    <t>SO0370-PD0015</t>
  </si>
  <si>
    <t>SO0370-PD0008</t>
  </si>
  <si>
    <t>SO0370-PD0017</t>
  </si>
  <si>
    <t>SO0371-PD0006</t>
  </si>
  <si>
    <t>SO0371-PD0014</t>
  </si>
  <si>
    <t>SO0371-PD0001</t>
  </si>
  <si>
    <t>SO0371-PD0017</t>
  </si>
  <si>
    <t>SO0371-PD0012</t>
  </si>
  <si>
    <t>SO0372-PD0005</t>
  </si>
  <si>
    <t>SO0372-PD0017</t>
  </si>
  <si>
    <t>SO0372-PD0008</t>
  </si>
  <si>
    <t>SO0372-PD0011</t>
  </si>
  <si>
    <t>SO0372-PD0002</t>
  </si>
  <si>
    <t>SO0373-PD0008</t>
  </si>
  <si>
    <t>SO0373-PD0017</t>
  </si>
  <si>
    <t>SO0373-PD0004</t>
  </si>
  <si>
    <t>SO0374-PD0010</t>
  </si>
  <si>
    <t>SO0374-PD0008</t>
  </si>
  <si>
    <t>SO0375-PD0020</t>
  </si>
  <si>
    <t>SO0375-PD0009</t>
  </si>
  <si>
    <t>SO0375-PD0018</t>
  </si>
  <si>
    <t>SO0375-PD0008</t>
  </si>
  <si>
    <t>SO0376-PD0001</t>
  </si>
  <si>
    <t>SO0376-PD0018</t>
  </si>
  <si>
    <t>SO0376-PD0005</t>
  </si>
  <si>
    <t>SO0377-PD0007</t>
  </si>
  <si>
    <t>SO0378-PD0010</t>
  </si>
  <si>
    <t>SO0379-PD0018</t>
  </si>
  <si>
    <t>SO0379-PD0010</t>
  </si>
  <si>
    <t>SO0380-PD0016</t>
  </si>
  <si>
    <t>SO0380-PD0013</t>
  </si>
  <si>
    <t>SO0380-PD0005</t>
  </si>
  <si>
    <t>SO0380-PD0010</t>
  </si>
  <si>
    <t>SO0381-PD0014</t>
  </si>
  <si>
    <t>SO0381-PD0017</t>
  </si>
  <si>
    <t>SO0381-PD0008</t>
  </si>
  <si>
    <t>SO0381-PD0005</t>
  </si>
  <si>
    <t>SO0382-PD0015</t>
  </si>
  <si>
    <t>SO0382-PD0001</t>
  </si>
  <si>
    <t>SO0382-PD0013</t>
  </si>
  <si>
    <t>SO0382-PD0016</t>
  </si>
  <si>
    <t>SO0383-PD0014</t>
  </si>
  <si>
    <t>SO0383-PD0018</t>
  </si>
  <si>
    <t>SO0384-PD0016</t>
  </si>
  <si>
    <t>SO0384-PD0019</t>
  </si>
  <si>
    <t>SO0385-PD0002</t>
  </si>
  <si>
    <t>SO0386-PD0001</t>
  </si>
  <si>
    <t>SO0386-PD0019</t>
  </si>
  <si>
    <t>SO0386-PD0008</t>
  </si>
  <si>
    <t>SO0387-PD0015</t>
  </si>
  <si>
    <t>SO0387-PD0010</t>
  </si>
  <si>
    <t>SO0387-PD0012</t>
  </si>
  <si>
    <t>SO0387-PD0013</t>
  </si>
  <si>
    <t>SO0387-PD0006</t>
  </si>
  <si>
    <t>SO0388-PD0020</t>
  </si>
  <si>
    <t>SO0388-PD0004</t>
  </si>
  <si>
    <t>SO0388-PD0001</t>
  </si>
  <si>
    <t>SO0389-PD0011</t>
  </si>
  <si>
    <t>SO0390-PD0017</t>
  </si>
  <si>
    <t>SO0390-PD0010</t>
  </si>
  <si>
    <t>SO0390-PD0004</t>
  </si>
  <si>
    <t>SO0390-PD0019</t>
  </si>
  <si>
    <t>SO0391-PD0017</t>
  </si>
  <si>
    <t>SO0391-PD0011</t>
  </si>
  <si>
    <t>SO0391-PD0012</t>
  </si>
  <si>
    <t>SO0392-PD0002</t>
  </si>
  <si>
    <t>SO0392-PD0019</t>
  </si>
  <si>
    <t>SO0392-PD0007</t>
  </si>
  <si>
    <t>SO0392-PD0014</t>
  </si>
  <si>
    <t>SO0392-PD0005</t>
  </si>
  <si>
    <t>SO0393-PD0006</t>
  </si>
  <si>
    <t>SO0393-PD0012</t>
  </si>
  <si>
    <t>SO0394-PD0007</t>
  </si>
  <si>
    <t>SO0394-PD0019</t>
  </si>
  <si>
    <t>SO0394-PD0013</t>
  </si>
  <si>
    <t>SO0394-PD0003</t>
  </si>
  <si>
    <t>SO0395-PD0002</t>
  </si>
  <si>
    <t>SO0395-PD0013</t>
  </si>
  <si>
    <t>SO0395-PD0010</t>
  </si>
  <si>
    <t>SO0395-PD0009</t>
  </si>
  <si>
    <t>SO0395-PD0003</t>
  </si>
  <si>
    <t>SO0396-PD0011</t>
  </si>
  <si>
    <t>SO0396-PD0005</t>
  </si>
  <si>
    <t>SO0396-PD0007</t>
  </si>
  <si>
    <t>SO0397-PD0015</t>
  </si>
  <si>
    <t>SO0397-PD0005</t>
  </si>
  <si>
    <t>SO0397-PD0008</t>
  </si>
  <si>
    <t>SO0398-PD0020</t>
  </si>
  <si>
    <t>SO0398-PD0006</t>
  </si>
  <si>
    <t>SO0398-PD0017</t>
  </si>
  <si>
    <t>SO0399-PD0011</t>
  </si>
  <si>
    <t>SO0399-PD0017</t>
  </si>
  <si>
    <t>SO0400-PD0008</t>
  </si>
  <si>
    <t>SO0400-PD0001</t>
  </si>
  <si>
    <t>SO0400-PD0005</t>
  </si>
  <si>
    <t>SO0401-PD0009</t>
  </si>
  <si>
    <t>SO0401-PD0005</t>
  </si>
  <si>
    <t>SO0402-PD0002</t>
  </si>
  <si>
    <t>SO0402-PD0018</t>
  </si>
  <si>
    <t>SO0402-PD0009</t>
  </si>
  <si>
    <t>SO0403-PD0012</t>
  </si>
  <si>
    <t>SO0404-PD0001</t>
  </si>
  <si>
    <t>SO0404-PD0011</t>
  </si>
  <si>
    <t>SO0404-PD0002</t>
  </si>
  <si>
    <t>SO0405-PD0005</t>
  </si>
  <si>
    <t>SO0406-PD0012</t>
  </si>
  <si>
    <t>SO0406-PD0014</t>
  </si>
  <si>
    <t>SO0406-PD0010</t>
  </si>
  <si>
    <t>SO0406-PD0007</t>
  </si>
  <si>
    <t>SO0407-PD0016</t>
  </si>
  <si>
    <t>SO0407-PD0011</t>
  </si>
  <si>
    <t>SO0407-PD0009</t>
  </si>
  <si>
    <t>SO0407-PD0004</t>
  </si>
  <si>
    <t>SO0408-PD0016</t>
  </si>
  <si>
    <t>SO0408-PD0008</t>
  </si>
  <si>
    <t>SO0409-PD0006</t>
  </si>
  <si>
    <t>SO0409-PD0008</t>
  </si>
  <si>
    <t>SO0410-PD0010</t>
  </si>
  <si>
    <t>SO0411-PD0019</t>
  </si>
  <si>
    <t>SO0411-PD0006</t>
  </si>
  <si>
    <t>SO0412-PD0020</t>
  </si>
  <si>
    <t>SO0412-PD0016</t>
  </si>
  <si>
    <t>SO0412-PD0011</t>
  </si>
  <si>
    <t>SO0413-PD0010</t>
  </si>
  <si>
    <t>SO0413-PD0019</t>
  </si>
  <si>
    <t>SO0414-PD0006</t>
  </si>
  <si>
    <t>SO0414-PD0011</t>
  </si>
  <si>
    <t>SO0415-PD0012</t>
  </si>
  <si>
    <t>SO0415-PD0013</t>
  </si>
  <si>
    <t>SO0415-PD0015</t>
  </si>
  <si>
    <t>SO0416-PD0002</t>
  </si>
  <si>
    <t>SO0416-PD0017</t>
  </si>
  <si>
    <t>SO0416-PD0006</t>
  </si>
  <si>
    <t>SO0417-PD0008</t>
  </si>
  <si>
    <t>SO0417-PD0001</t>
  </si>
  <si>
    <t>SO0417-PD0002</t>
  </si>
  <si>
    <t>SO0418-PD0015</t>
  </si>
  <si>
    <t>SO0419-PD0019</t>
  </si>
  <si>
    <t>SO0419-PD0016</t>
  </si>
  <si>
    <t>SO0419-PD0020</t>
  </si>
  <si>
    <t>SO0419-PD0009</t>
  </si>
  <si>
    <t>SO0419-PD0007</t>
  </si>
  <si>
    <t>SO0420-PD0004</t>
  </si>
  <si>
    <t>SO0420-PD0015</t>
  </si>
  <si>
    <t>SO0421-PD0001</t>
  </si>
  <si>
    <t>SO0421-PD0011</t>
  </si>
  <si>
    <t>SO0421-PD0014</t>
  </si>
  <si>
    <t>SO0422-PD0001</t>
  </si>
  <si>
    <t>SO0422-PD0017</t>
  </si>
  <si>
    <t>SO0422-PD0005</t>
  </si>
  <si>
    <t>SO0423-PD0003</t>
  </si>
  <si>
    <t>SO0423-PD0001</t>
  </si>
  <si>
    <t>SO0424-PD0011</t>
  </si>
  <si>
    <t>SO0425-PD0008</t>
  </si>
  <si>
    <t>SO0425-PD0013</t>
  </si>
  <si>
    <t>SO0425-PD0014</t>
  </si>
  <si>
    <t>SO0425-PD0010</t>
  </si>
  <si>
    <t>SO0426-PD0008</t>
  </si>
  <si>
    <t>SO0426-PD0003</t>
  </si>
  <si>
    <t>SO0426-PD0011</t>
  </si>
  <si>
    <t>SO0426-PD0004</t>
  </si>
  <si>
    <t>SO0427-PD0008</t>
  </si>
  <si>
    <t>SO0427-PD0017</t>
  </si>
  <si>
    <t>SO0428-PD0019</t>
  </si>
  <si>
    <t>SO0428-PD0018</t>
  </si>
  <si>
    <t>SO0428-PD0011</t>
  </si>
  <si>
    <t>SO0428-PD0017</t>
  </si>
  <si>
    <t>SO0428-PD0012</t>
  </si>
  <si>
    <t>SO0429-PD0010</t>
  </si>
  <si>
    <t>SO0430-PD0019</t>
  </si>
  <si>
    <t>SO0430-PD0003</t>
  </si>
  <si>
    <t>SO0430-PD0001</t>
  </si>
  <si>
    <t>SO0431-PD0011</t>
  </si>
  <si>
    <t>SO0431-PD0013</t>
  </si>
  <si>
    <t>SO0431-PD0009</t>
  </si>
  <si>
    <t>SO0432-PD0017</t>
  </si>
  <si>
    <t>SO0433-PD0003</t>
  </si>
  <si>
    <t>SO0433-PD0012</t>
  </si>
  <si>
    <t>SO0434-PD0012</t>
  </si>
  <si>
    <t>SO0434-PD0011</t>
  </si>
  <si>
    <t>SO0434-PD0015</t>
  </si>
  <si>
    <t>SO0434-PD0002</t>
  </si>
  <si>
    <t>SO0434-PD0013</t>
  </si>
  <si>
    <t>SO0434-PD0017</t>
  </si>
  <si>
    <t>SO0434-PD0004</t>
  </si>
  <si>
    <t>SO0435-PD0012</t>
  </si>
  <si>
    <t>SO0435-PD0002</t>
  </si>
  <si>
    <t>SO0435-PD0005</t>
  </si>
  <si>
    <t>SO0436-PD0013</t>
  </si>
  <si>
    <t>SO0436-PD0012</t>
  </si>
  <si>
    <t>SO0437-PD0006</t>
  </si>
  <si>
    <t>SO0437-PD0007</t>
  </si>
  <si>
    <t>SO0437-PD0009</t>
  </si>
  <si>
    <t>SO0437-PD0001</t>
  </si>
  <si>
    <t>SO0437-PD0005</t>
  </si>
  <si>
    <t>SO0438-PD0004</t>
  </si>
  <si>
    <t>SO0439-PD0013</t>
  </si>
  <si>
    <t>SO0439-PD0010</t>
  </si>
  <si>
    <t>SO0440-PD0002</t>
  </si>
  <si>
    <t>SO0441-PD0014</t>
  </si>
  <si>
    <t>SO0441-PD0005</t>
  </si>
  <si>
    <t>SO0441-PD0001</t>
  </si>
  <si>
    <t>SO0441-PD0003</t>
  </si>
  <si>
    <t>SO0442-PD0014</t>
  </si>
  <si>
    <t>SO0442-PD0013</t>
  </si>
  <si>
    <t>SO0442-PD0005</t>
  </si>
  <si>
    <t>SO0442-PD0018</t>
  </si>
  <si>
    <t>SO0442-PD0002</t>
  </si>
  <si>
    <t>SO0443-PD0020</t>
  </si>
  <si>
    <t>SO0443-PD0004</t>
  </si>
  <si>
    <t>SO0443-PD0009</t>
  </si>
  <si>
    <t>SO0443-PD0012</t>
  </si>
  <si>
    <t>SO0444-PD0010</t>
  </si>
  <si>
    <t>SO0444-PD0019</t>
  </si>
  <si>
    <t>SO0444-PD0018</t>
  </si>
  <si>
    <t>SO0444-PD0014</t>
  </si>
  <si>
    <t>SO0445-PD0002</t>
  </si>
  <si>
    <t>SO0445-PD0004</t>
  </si>
  <si>
    <t>SO0445-PD0005</t>
  </si>
  <si>
    <t>SO0446-PD0002</t>
  </si>
  <si>
    <t>SO0446-PD0011</t>
  </si>
  <si>
    <t>SO0446-PD0018</t>
  </si>
  <si>
    <t>SO0447-PD0004</t>
  </si>
  <si>
    <t>SO0448-PD0019</t>
  </si>
  <si>
    <t>SO0448-PD0004</t>
  </si>
  <si>
    <t>SO0448-PD0017</t>
  </si>
  <si>
    <t>SO0449-PD0015</t>
  </si>
  <si>
    <t>SO0450-PD0015</t>
  </si>
  <si>
    <t>SO0450-PD0007</t>
  </si>
  <si>
    <t>SO0450-PD0006</t>
  </si>
  <si>
    <t>SO0450-PD0016</t>
  </si>
  <si>
    <t>SO0451-PD0009</t>
  </si>
  <si>
    <t>SO0451-PD0007</t>
  </si>
  <si>
    <t>SO0452-PD0014</t>
  </si>
  <si>
    <t>SO0452-PD0019</t>
  </si>
  <si>
    <t>SO0452-PD0009</t>
  </si>
  <si>
    <t>SO0453-PD0011</t>
  </si>
  <si>
    <t>SO0454-PD0001</t>
  </si>
  <si>
    <t>SO0454-PD0004</t>
  </si>
  <si>
    <t>SO0454-PD0006</t>
  </si>
  <si>
    <t>SO0455-PD0013</t>
  </si>
  <si>
    <t>SO0455-PD0015</t>
  </si>
  <si>
    <t>SO0455-PD0010</t>
  </si>
  <si>
    <t>SO0455-PD0011</t>
  </si>
  <si>
    <t>SO0455-PD0001</t>
  </si>
  <si>
    <t>SO0456-PD0013</t>
  </si>
  <si>
    <t>SO0456-PD0010</t>
  </si>
  <si>
    <t>SO0456-PD0007</t>
  </si>
  <si>
    <t>SO0456-PD0017</t>
  </si>
  <si>
    <t>SO0457-PD0012</t>
  </si>
  <si>
    <t>SO0457-PD0019</t>
  </si>
  <si>
    <t>SO0457-PD0009</t>
  </si>
  <si>
    <t>SO0457-PD0011</t>
  </si>
  <si>
    <t>SO0457-PD0013</t>
  </si>
  <si>
    <t>SO0457-PD0004</t>
  </si>
  <si>
    <t>SO0458-PD0014</t>
  </si>
  <si>
    <t>SO0458-PD0009</t>
  </si>
  <si>
    <t>SO0459-PD0011</t>
  </si>
  <si>
    <t>SO0459-PD0016</t>
  </si>
  <si>
    <t>SO0460-PD0019</t>
  </si>
  <si>
    <t>SO0460-PD0012</t>
  </si>
  <si>
    <t>SO0460-PD0006</t>
  </si>
  <si>
    <t>SO0460-PD0009</t>
  </si>
  <si>
    <t>SO0461-PD0019</t>
  </si>
  <si>
    <t>SO0461-PD0018</t>
  </si>
  <si>
    <t>SO0462-PD0005</t>
  </si>
  <si>
    <t>SO0462-PD0011</t>
  </si>
  <si>
    <t>SO0462-PD0009</t>
  </si>
  <si>
    <t>SO0462-PD0015</t>
  </si>
  <si>
    <t>SO0462-PD0018</t>
  </si>
  <si>
    <t>SO0463-PD0014</t>
  </si>
  <si>
    <t>SO0463-PD0016</t>
  </si>
  <si>
    <t>SO0464-PD0005</t>
  </si>
  <si>
    <t>SO0464-PD0001</t>
  </si>
  <si>
    <t>SO0464-PD0019</t>
  </si>
  <si>
    <t>SO0464-PD0010</t>
  </si>
  <si>
    <t>SO0465-PD0001</t>
  </si>
  <si>
    <t>SO0466-PD0009</t>
  </si>
  <si>
    <t>SO0467-PD0005</t>
  </si>
  <si>
    <t>SO0468-PD0015</t>
  </si>
  <si>
    <t>SO0468-PD0012</t>
  </si>
  <si>
    <t>SO0470-PD0005</t>
  </si>
  <si>
    <t>SO0470-PD0010</t>
  </si>
  <si>
    <t>SO0471-PD0010</t>
  </si>
  <si>
    <t>SO0472-PD0012</t>
  </si>
  <si>
    <t>SO0472-PD0004</t>
  </si>
  <si>
    <t>SO0473-PD0007</t>
  </si>
  <si>
    <t>SO0473-PD0020</t>
  </si>
  <si>
    <t>SO0473-PD0004</t>
  </si>
  <si>
    <t>SO0473-PD0019</t>
  </si>
  <si>
    <t>SO0475-PD0018</t>
  </si>
  <si>
    <t>SO0475-PD0007</t>
  </si>
  <si>
    <t>SO0475-PD0014</t>
  </si>
  <si>
    <t>SO0475-PD0006</t>
  </si>
  <si>
    <t>SO0476-PD0006</t>
  </si>
  <si>
    <t>SO0476-PD0020</t>
  </si>
  <si>
    <t>SO0476-PD0015</t>
  </si>
  <si>
    <t>SO0476-PD0013</t>
  </si>
  <si>
    <t>SO0476-PD0019</t>
  </si>
  <si>
    <t>SO0477-PD0014</t>
  </si>
  <si>
    <t>SO0477-PD0018</t>
  </si>
  <si>
    <t>SO0478-PD0015</t>
  </si>
  <si>
    <t>SO0478-PD0006</t>
  </si>
  <si>
    <t>SO0478-PD0018</t>
  </si>
  <si>
    <t>SO0478-PD0013</t>
  </si>
  <si>
    <t>SO0478-PD0012</t>
  </si>
  <si>
    <t>SO0479-PD0013</t>
  </si>
  <si>
    <t>SO0480-PD0007</t>
  </si>
  <si>
    <t>SO0480-PD0005</t>
  </si>
  <si>
    <t>SO0481-PD0015</t>
  </si>
  <si>
    <t>SO0481-PD0001</t>
  </si>
  <si>
    <t>SO0482-PD0012</t>
  </si>
  <si>
    <t>SO0483-PD0007</t>
  </si>
  <si>
    <t>SO0483-PD0011</t>
  </si>
  <si>
    <t>SO0484-PD0005</t>
  </si>
  <si>
    <t>SO0484-PD0007</t>
  </si>
  <si>
    <t>SO0485-PD0018</t>
  </si>
  <si>
    <t>SO0485-PD0010</t>
  </si>
  <si>
    <t>SO0486-PD0010</t>
  </si>
  <si>
    <t>SO0486-PD0007</t>
  </si>
  <si>
    <t>SO0486-PD0011</t>
  </si>
  <si>
    <t>SO0486-PD0008</t>
  </si>
  <si>
    <t>SO0486-PD0014</t>
  </si>
  <si>
    <t>SO0487-PD0010</t>
  </si>
  <si>
    <t>SO0487-PD0005</t>
  </si>
  <si>
    <t>SO0487-PD0004</t>
  </si>
  <si>
    <t>SO0487-PD0012</t>
  </si>
  <si>
    <t>SO0488-PD0014</t>
  </si>
  <si>
    <t>SO0488-PD0006</t>
  </si>
  <si>
    <t>SO0489-PD0005</t>
  </si>
  <si>
    <t>SO0489-PD0016</t>
  </si>
  <si>
    <t>SO0489-PD0019</t>
  </si>
  <si>
    <t>SO0489-PD0009</t>
  </si>
  <si>
    <t>SO0490-PD0016</t>
  </si>
  <si>
    <t>SO0490-PD0009</t>
  </si>
  <si>
    <t>SO0490-PD0006</t>
  </si>
  <si>
    <t>SO0490-PD0013</t>
  </si>
  <si>
    <t>SO0491-PD0016</t>
  </si>
  <si>
    <t>SO0492-PD0004</t>
  </si>
  <si>
    <t>SO0492-PD0013</t>
  </si>
  <si>
    <t>SO0493-PD0020</t>
  </si>
  <si>
    <t>SO0493-PD0019</t>
  </si>
  <si>
    <t>SO0493-PD0018</t>
  </si>
  <si>
    <t>SO0493-PD0002</t>
  </si>
  <si>
    <t>SO0494-PD0013</t>
  </si>
  <si>
    <t>SO0494-PD0008</t>
  </si>
  <si>
    <t>SO0494-PD0003</t>
  </si>
  <si>
    <t>SO0494-PD0017</t>
  </si>
  <si>
    <t>SO0495-PD0004</t>
  </si>
  <si>
    <t>SO0495-PD0002</t>
  </si>
  <si>
    <t>SO0495-PD0008</t>
  </si>
  <si>
    <t>SO0495-PD0019</t>
  </si>
  <si>
    <t>SO0495-PD0015</t>
  </si>
  <si>
    <t>SO0495-PD0001</t>
  </si>
  <si>
    <t>SO0496-PD0008</t>
  </si>
  <si>
    <t>SO0496-PD0001</t>
  </si>
  <si>
    <t>SO0496-PD0017</t>
  </si>
  <si>
    <t>SO0496-PD0002</t>
  </si>
  <si>
    <t>SO0497-PD0007</t>
  </si>
  <si>
    <t>SO0497-PD0019</t>
  </si>
  <si>
    <t>SO0497-PD0020</t>
  </si>
  <si>
    <t>SO0498-PD0019</t>
  </si>
  <si>
    <t>SO0498-PD0003</t>
  </si>
  <si>
    <t>SO0498-PD0002</t>
  </si>
  <si>
    <t>SO0498-PD0004</t>
  </si>
  <si>
    <t>SO0499-PD0008</t>
  </si>
  <si>
    <t>SO0499-PD0011</t>
  </si>
  <si>
    <t>SO0500-PD0008</t>
  </si>
  <si>
    <t>SO0500-PD0011</t>
  </si>
  <si>
    <t>SO0501-PD0011</t>
  </si>
  <si>
    <t>SO0501-PD0017</t>
  </si>
  <si>
    <t>SO0502-PD0020</t>
  </si>
  <si>
    <t>SO0502-PD0014</t>
  </si>
  <si>
    <t>SO0502-PD0001</t>
  </si>
  <si>
    <t>SO0502-PD0011</t>
  </si>
  <si>
    <t>SO0502-PD0008</t>
  </si>
  <si>
    <t>SO0503-PD0010</t>
  </si>
  <si>
    <t>SO0504-PD0001</t>
  </si>
  <si>
    <t>SO0504-PD0019</t>
  </si>
  <si>
    <t>SO0504-PD0009</t>
  </si>
  <si>
    <t>SO0505-PD0011</t>
  </si>
  <si>
    <t>SO0505-PD0013</t>
  </si>
  <si>
    <t>SO0505-PD0007</t>
  </si>
  <si>
    <t>SO0506-PD0002</t>
  </si>
  <si>
    <t>SO0507-PD0004</t>
  </si>
  <si>
    <t>SO0507-PD0017</t>
  </si>
  <si>
    <t>SO0507-PD0016</t>
  </si>
  <si>
    <t>SO0508-PD0002</t>
  </si>
  <si>
    <t>SO0508-PD0010</t>
  </si>
  <si>
    <t>SO0509-PD0001</t>
  </si>
  <si>
    <t>SO0509-PD0004</t>
  </si>
  <si>
    <t>SO0509-PD0002</t>
  </si>
  <si>
    <t>SO0509-PD0003</t>
  </si>
  <si>
    <t>SO0510-PD0002</t>
  </si>
  <si>
    <t>SO0510-PD0018</t>
  </si>
  <si>
    <t>SO0511-PD0007</t>
  </si>
  <si>
    <t>SO0511-PD0012</t>
  </si>
  <si>
    <t>SO0511-PD0008</t>
  </si>
  <si>
    <t>SO0512-PD0011</t>
  </si>
  <si>
    <t>SO0512-PD0020</t>
  </si>
  <si>
    <t>SO0512-PD0009</t>
  </si>
  <si>
    <t>SO0512-PD0008</t>
  </si>
  <si>
    <t>SO0512-PD0001</t>
  </si>
  <si>
    <t>SO0513-PD0005</t>
  </si>
  <si>
    <t>SO0514-PD0001</t>
  </si>
  <si>
    <t>SO0514-PD0012</t>
  </si>
  <si>
    <t>SO0515-PD0007</t>
  </si>
  <si>
    <t>SO0515-PD0010</t>
  </si>
  <si>
    <t>SO0515-PD0018</t>
  </si>
  <si>
    <t>SO0515-PD0013</t>
  </si>
  <si>
    <t>SO0515-PD0015</t>
  </si>
  <si>
    <t>SO0516-PD0001</t>
  </si>
  <si>
    <t>SO0516-PD0015</t>
  </si>
  <si>
    <t>SO0517-PD0018</t>
  </si>
  <si>
    <t>SO0517-PD0002</t>
  </si>
  <si>
    <t>SO0517-PD0001</t>
  </si>
  <si>
    <t>SO0518-PD0018</t>
  </si>
  <si>
    <t>SO0518-PD0014</t>
  </si>
  <si>
    <t>SO0518-PD0011</t>
  </si>
  <si>
    <t>SO0519-PD0017</t>
  </si>
  <si>
    <t>SO0519-PD0016</t>
  </si>
  <si>
    <t>SO0520-PD0001</t>
  </si>
  <si>
    <t>SO0520-PD0011</t>
  </si>
  <si>
    <t>SO0520-PD0015</t>
  </si>
  <si>
    <t>SO0521-PD0001</t>
  </si>
  <si>
    <t>SO0521-PD0015</t>
  </si>
  <si>
    <t>SO0522-PD0017</t>
  </si>
  <si>
    <t>SO0522-PD0009</t>
  </si>
  <si>
    <t>SO0522-PD0019</t>
  </si>
  <si>
    <t>SO0522-PD0013</t>
  </si>
  <si>
    <t>SO0524-PD0012</t>
  </si>
  <si>
    <t>SO0524-PD0011</t>
  </si>
  <si>
    <t>SO0524-PD0001</t>
  </si>
  <si>
    <t>SO0525-PD0012</t>
  </si>
  <si>
    <t>SO0525-PD0018</t>
  </si>
  <si>
    <t>SO0525-PD0011</t>
  </si>
  <si>
    <t>SO0526-PD0018</t>
  </si>
  <si>
    <t>SO0526-PD0002</t>
  </si>
  <si>
    <t>SO0526-PD0016</t>
  </si>
  <si>
    <t>SO0526-PD0010</t>
  </si>
  <si>
    <t>SO0527-PD0009</t>
  </si>
  <si>
    <t>SO0527-PD0019</t>
  </si>
  <si>
    <t>SO0527-PD0006</t>
  </si>
  <si>
    <t>SO0528-PD0007</t>
  </si>
  <si>
    <t>SO0528-PD0016</t>
  </si>
  <si>
    <t>SO0529-PD0010</t>
  </si>
  <si>
    <t>SO0530-PD0003</t>
  </si>
  <si>
    <t>SO0530-PD0019</t>
  </si>
  <si>
    <t>SO0530-PD0006</t>
  </si>
  <si>
    <t>SO0530-PD0016</t>
  </si>
  <si>
    <t>SO0530-PD0017</t>
  </si>
  <si>
    <t>SO0531-PD0014</t>
  </si>
  <si>
    <t>SO0531-PD0016</t>
  </si>
  <si>
    <t>SO0531-PD0019</t>
  </si>
  <si>
    <t>SO0531-PD0003</t>
  </si>
  <si>
    <t>SO0532-PD0005</t>
  </si>
  <si>
    <t>SO0532-PD0015</t>
  </si>
  <si>
    <t>SO0532-PD0003</t>
  </si>
  <si>
    <t>SO0532-PD0020</t>
  </si>
  <si>
    <t>SO0534-PD0009</t>
  </si>
  <si>
    <t>SO0534-PD0018</t>
  </si>
  <si>
    <t>SO0535-PD0017</t>
  </si>
  <si>
    <t>SO0536-PD0012</t>
  </si>
  <si>
    <t>SO0537-PD0006</t>
  </si>
  <si>
    <t>SO0537-PD0001</t>
  </si>
  <si>
    <t>SO0537-PD0004</t>
  </si>
  <si>
    <t>SO0537-PD0010</t>
  </si>
  <si>
    <t>SO0538-PD0002</t>
  </si>
  <si>
    <t>SO0538-PD0015</t>
  </si>
  <si>
    <t>SO0538-PD0009</t>
  </si>
  <si>
    <t>SO0539-PD0003</t>
  </si>
  <si>
    <t>SO0540-PD0010</t>
  </si>
  <si>
    <t>SO0540-PD0020</t>
  </si>
  <si>
    <t>SO0540-PD0017</t>
  </si>
  <si>
    <t>SO0541-PD0011</t>
  </si>
  <si>
    <t>SO0541-PD0003</t>
  </si>
  <si>
    <t>SO0541-PD0019</t>
  </si>
  <si>
    <t>SO0541-PD0018</t>
  </si>
  <si>
    <t>SO0541-PD0017</t>
  </si>
  <si>
    <t>SO0541-PD0008</t>
  </si>
  <si>
    <t>SO0542-PD0012</t>
  </si>
  <si>
    <t>SO0542-PD0003</t>
  </si>
  <si>
    <t>SO0542-PD0007</t>
  </si>
  <si>
    <t>SO0542-PD0009</t>
  </si>
  <si>
    <t>SO0543-PD0003</t>
  </si>
  <si>
    <t>SO0543-PD0020</t>
  </si>
  <si>
    <t>SO0543-PD0008</t>
  </si>
  <si>
    <t>SO0544-PD0006</t>
  </si>
  <si>
    <t>SO0544-PD0017</t>
  </si>
  <si>
    <t>SO0545-PD0018</t>
  </si>
  <si>
    <t>SO0545-PD0019</t>
  </si>
  <si>
    <t>SO0545-PD0010</t>
  </si>
  <si>
    <t>SO0546-PD0008</t>
  </si>
  <si>
    <t>SO0546-PD0013</t>
  </si>
  <si>
    <t>SO0546-PD0003</t>
  </si>
  <si>
    <t>SO0547-PD0009</t>
  </si>
  <si>
    <t>SO0547-PD0013</t>
  </si>
  <si>
    <t>SO0548-PD0011</t>
  </si>
  <si>
    <t>SO0548-PD0014</t>
  </si>
  <si>
    <t>SO0548-PD0012</t>
  </si>
  <si>
    <t>SO0548-PD0016</t>
  </si>
  <si>
    <t>SO0548-PD0013</t>
  </si>
  <si>
    <t>SO0549-PD0006</t>
  </si>
  <si>
    <t>SO0549-PD0013</t>
  </si>
  <si>
    <t>SO0549-PD0007</t>
  </si>
  <si>
    <t>SO0550-PD0011</t>
  </si>
  <si>
    <t>SO0551-PD0002</t>
  </si>
  <si>
    <t>SO0551-PD0016</t>
  </si>
  <si>
    <t>SO0552-PD0015</t>
  </si>
  <si>
    <t>SO0552-PD0011</t>
  </si>
  <si>
    <t>SO0553-PD0008</t>
  </si>
  <si>
    <t>SO0553-PD0009</t>
  </si>
  <si>
    <t>SO0554-PD0009</t>
  </si>
  <si>
    <t>SO0554-PD0016</t>
  </si>
  <si>
    <t>SO0555-PD0007</t>
  </si>
  <si>
    <t>SO0556-PD0019</t>
  </si>
  <si>
    <t>SO0557-PD0004</t>
  </si>
  <si>
    <t>SO0557-PD0005</t>
  </si>
  <si>
    <t>SO0557-PD0002</t>
  </si>
  <si>
    <t>SO0558-PD0020</t>
  </si>
  <si>
    <t>SO0558-PD0015</t>
  </si>
  <si>
    <t>SO0558-PD0004</t>
  </si>
  <si>
    <t>SO0559-PD0006</t>
  </si>
  <si>
    <t>SO0559-PD0020</t>
  </si>
  <si>
    <t>SO0560-PD0013</t>
  </si>
  <si>
    <t>SO0560-PD0007</t>
  </si>
  <si>
    <t>SO0561-PD0015</t>
  </si>
  <si>
    <t>SO0561-PD0011</t>
  </si>
  <si>
    <t>SO0562-PD0013</t>
  </si>
  <si>
    <t>SO0563-PD0007</t>
  </si>
  <si>
    <t>SO0563-PD0009</t>
  </si>
  <si>
    <t>SO0564-PD0019</t>
  </si>
  <si>
    <t>SO0565-PD0017</t>
  </si>
  <si>
    <t>SO0565-PD0014</t>
  </si>
  <si>
    <t>SO0565-PD0002</t>
  </si>
  <si>
    <t>SO0566-PD0020</t>
  </si>
  <si>
    <t>SO0566-PD0002</t>
  </si>
  <si>
    <t>SO0566-PD0004</t>
  </si>
  <si>
    <t>SO0567-PD0002</t>
  </si>
  <si>
    <t>SO0567-PD0020</t>
  </si>
  <si>
    <t>SO0567-PD0005</t>
  </si>
  <si>
    <t>SO0567-PD0012</t>
  </si>
  <si>
    <t>SO0568-PD0008</t>
  </si>
  <si>
    <t>SO0568-PD0018</t>
  </si>
  <si>
    <t>SO0569-PD0004</t>
  </si>
  <si>
    <t>SO0569-PD0014</t>
  </si>
  <si>
    <t>SO0569-PD0020</t>
  </si>
  <si>
    <t>SO0570-PD0018</t>
  </si>
  <si>
    <t>SO0570-PD0013</t>
  </si>
  <si>
    <t>SO0570-PD0004</t>
  </si>
  <si>
    <t>SO0570-PD0012</t>
  </si>
  <si>
    <t>SO0571-PD0006</t>
  </si>
  <si>
    <t>SO0571-PD0010</t>
  </si>
  <si>
    <t>SO0571-PD0011</t>
  </si>
  <si>
    <t>SO0571-PD0003</t>
  </si>
  <si>
    <t>SO0572-PD0016</t>
  </si>
  <si>
    <t>SO0572-PD0014</t>
  </si>
  <si>
    <t>SO0573-PD0014</t>
  </si>
  <si>
    <t>SO0573-PD0012</t>
  </si>
  <si>
    <t>SO0573-PD0003</t>
  </si>
  <si>
    <t>SO0574-PD0015</t>
  </si>
  <si>
    <t>SO0574-PD0010</t>
  </si>
  <si>
    <t>SO0574-PD0020</t>
  </si>
  <si>
    <t>SO0575-PD0010</t>
  </si>
  <si>
    <t>SO0576-PD0019</t>
  </si>
  <si>
    <t>SO0576-PD0002</t>
  </si>
  <si>
    <t>SO0577-PD0007</t>
  </si>
  <si>
    <t>SO0577-PD0011</t>
  </si>
  <si>
    <t>SO0578-PD0017</t>
  </si>
  <si>
    <t>SO0578-PD0001</t>
  </si>
  <si>
    <t>SO0578-PD0015</t>
  </si>
  <si>
    <t>SO0579-PD0004</t>
  </si>
  <si>
    <t>SO0579-PD0018</t>
  </si>
  <si>
    <t>SO0579-PD0016</t>
  </si>
  <si>
    <t>SO0579-PD0003</t>
  </si>
  <si>
    <t>SO0579-PD0020</t>
  </si>
  <si>
    <t>SO0579-PD0008</t>
  </si>
  <si>
    <t>SO0579-PD0012</t>
  </si>
  <si>
    <t>SO0580-PD0009</t>
  </si>
  <si>
    <t>SO0581-PD0015</t>
  </si>
  <si>
    <t>SO0581-PD0020</t>
  </si>
  <si>
    <t>SO0582-PD0006</t>
  </si>
  <si>
    <t>SO0582-PD0005</t>
  </si>
  <si>
    <t>SO0583-PD0018</t>
  </si>
  <si>
    <t>SO0584-PD0001</t>
  </si>
  <si>
    <t>SO0585-PD0011</t>
  </si>
  <si>
    <t>SO0585-PD0018</t>
  </si>
  <si>
    <t>SO0585-PD0002</t>
  </si>
  <si>
    <t>SO0586-PD0020</t>
  </si>
  <si>
    <t>SO0587-PD0007</t>
  </si>
  <si>
    <t>SO0587-PD0020</t>
  </si>
  <si>
    <t>SO0588-PD0006</t>
  </si>
  <si>
    <t>SO0588-PD0011</t>
  </si>
  <si>
    <t>SO0588-PD0013</t>
  </si>
  <si>
    <t>SO0589-PD0014</t>
  </si>
  <si>
    <t>SO0589-PD0016</t>
  </si>
  <si>
    <t>SO0589-PD0006</t>
  </si>
  <si>
    <t>SO0590-PD0015</t>
  </si>
  <si>
    <t>SO0590-PD0003</t>
  </si>
  <si>
    <t>SO0591-PD0004</t>
  </si>
  <si>
    <t>SO0592-PD0001</t>
  </si>
  <si>
    <t>SO0592-PD0005</t>
  </si>
  <si>
    <t>SO0593-PD0008</t>
  </si>
  <si>
    <t>SO0593-PD0013</t>
  </si>
  <si>
    <t>SO0594-PD0014</t>
  </si>
  <si>
    <t>SO0595-PD0011</t>
  </si>
  <si>
    <t>SO0595-PD0009</t>
  </si>
  <si>
    <t>SO0595-PD0018</t>
  </si>
  <si>
    <t>SO0596-PD0017</t>
  </si>
  <si>
    <t>SO0596-PD0002</t>
  </si>
  <si>
    <t>SO0596-PD0015</t>
  </si>
  <si>
    <t>SO0597-PD0004</t>
  </si>
  <si>
    <t>SO0598-PD0010</t>
  </si>
  <si>
    <t>SO0598-PD0011</t>
  </si>
  <si>
    <t>SO0598-PD0006</t>
  </si>
  <si>
    <t>SO0598-PD0012</t>
  </si>
  <si>
    <t>SO0599-PD0012</t>
  </si>
  <si>
    <t>SO0599-PD0002</t>
  </si>
  <si>
    <t>SO0599-PD0019</t>
  </si>
  <si>
    <t>SO0599-PD0018</t>
  </si>
  <si>
    <t>SO0600-PD0008</t>
  </si>
  <si>
    <t>SO0600-PD0020</t>
  </si>
  <si>
    <t>SO0601-PD0018</t>
  </si>
  <si>
    <t>SO0601-PD0016</t>
  </si>
  <si>
    <t>SO0602-PD0015</t>
  </si>
  <si>
    <t>SO0603-PD0001</t>
  </si>
  <si>
    <t>SO0603-PD0006</t>
  </si>
  <si>
    <t>SO0603-PD0003</t>
  </si>
  <si>
    <t>SO0604-PD0019</t>
  </si>
  <si>
    <t>SO0604-PD0005</t>
  </si>
  <si>
    <t>SO0605-PD0013</t>
  </si>
  <si>
    <t>SO0605-PD0004</t>
  </si>
  <si>
    <t>SO0605-PD0011</t>
  </si>
  <si>
    <t>SO0606-PD0003</t>
  </si>
  <si>
    <t>SO0606-PD0020</t>
  </si>
  <si>
    <t>SO0607-PD0010</t>
  </si>
  <si>
    <t>SO0607-PD0002</t>
  </si>
  <si>
    <t>SO0608-PD0012</t>
  </si>
  <si>
    <t>SO0609-PD0004</t>
  </si>
  <si>
    <t>SO0609-PD0007</t>
  </si>
  <si>
    <t>SO0609-PD0010</t>
  </si>
  <si>
    <t>SO0609-PD0014</t>
  </si>
  <si>
    <t>SO0609-PD0016</t>
  </si>
  <si>
    <t>SO0610-PD0020</t>
  </si>
  <si>
    <t>SO0610-PD0002</t>
  </si>
  <si>
    <t>SO0610-PD0018</t>
  </si>
  <si>
    <t>SO0611-PD0005</t>
  </si>
  <si>
    <t>SO0611-PD0007</t>
  </si>
  <si>
    <t>SO0612-PD0015</t>
  </si>
  <si>
    <t>SO0612-PD0020</t>
  </si>
  <si>
    <t>SO0612-PD0008</t>
  </si>
  <si>
    <t>SO0613-PD0012</t>
  </si>
  <si>
    <t>SO0613-PD0011</t>
  </si>
  <si>
    <t>SO0614-PD0009</t>
  </si>
  <si>
    <t>SO0614-PD0020</t>
  </si>
  <si>
    <t>SO0614-PD0003</t>
  </si>
  <si>
    <t>SO0614-PD0013</t>
  </si>
  <si>
    <t>SO0614-PD0004</t>
  </si>
  <si>
    <t>SO0614-PD0015</t>
  </si>
  <si>
    <t>SO0614-PD0016</t>
  </si>
  <si>
    <t>SO0616-PD0009</t>
  </si>
  <si>
    <t>SO0616-PD0005</t>
  </si>
  <si>
    <t>SO0616-PD0006</t>
  </si>
  <si>
    <t>SO0617-PD0009</t>
  </si>
  <si>
    <t>SO0617-PD0020</t>
  </si>
  <si>
    <t>SO0618-PD0002</t>
  </si>
  <si>
    <t>SO0618-PD0007</t>
  </si>
  <si>
    <t>SO0619-PD0016</t>
  </si>
  <si>
    <t>SO0622-PD0017</t>
  </si>
  <si>
    <t>SO0623-PD0019</t>
  </si>
  <si>
    <t>SO0623-PD0004</t>
  </si>
  <si>
    <t>SO0624-PD0006</t>
  </si>
  <si>
    <t>SO0624-PD0020</t>
  </si>
  <si>
    <t>SO0624-PD0012</t>
  </si>
  <si>
    <t>SO0625-PD0017</t>
  </si>
  <si>
    <t>SO0625-PD0009</t>
  </si>
  <si>
    <t>SO0625-PD0006</t>
  </si>
  <si>
    <t>SO0625-PD0010</t>
  </si>
  <si>
    <t>SO0626-PD0008</t>
  </si>
  <si>
    <t>SO0626-PD0007</t>
  </si>
  <si>
    <t>SO0626-PD0003</t>
  </si>
  <si>
    <t>SO0626-PD0004</t>
  </si>
  <si>
    <t>SO0627-PD0016</t>
  </si>
  <si>
    <t>SO0627-PD0017</t>
  </si>
  <si>
    <t>SO0627-PD0003</t>
  </si>
  <si>
    <t>SO0627-PD0013</t>
  </si>
  <si>
    <t>SO0628-PD0014</t>
  </si>
  <si>
    <t>SO0628-PD0007</t>
  </si>
  <si>
    <t>SO0628-PD0019</t>
  </si>
  <si>
    <t>SO0629-PD0015</t>
  </si>
  <si>
    <t>SO0629-PD0019</t>
  </si>
  <si>
    <t>SO0629-PD0006</t>
  </si>
  <si>
    <t>SO0630-PD0007</t>
  </si>
  <si>
    <t>SO0630-PD0018</t>
  </si>
  <si>
    <t>SO0630-PD0001</t>
  </si>
  <si>
    <t>SO0631-PD0006</t>
  </si>
  <si>
    <t>SO0631-PD0019</t>
  </si>
  <si>
    <t>SO0631-PD0003</t>
  </si>
  <si>
    <t>SO0632-PD0014</t>
  </si>
  <si>
    <t>SO0632-PD0019</t>
  </si>
  <si>
    <t>SO0633-PD0007</t>
  </si>
  <si>
    <t>SO0633-PD0012</t>
  </si>
  <si>
    <t>SO0633-PD0008</t>
  </si>
  <si>
    <t>SO0634-PD0015</t>
  </si>
  <si>
    <t>SO0634-PD0014</t>
  </si>
  <si>
    <t>SO0635-PD0005</t>
  </si>
  <si>
    <t>SO0635-PD0018</t>
  </si>
  <si>
    <t>SO0635-PD0007</t>
  </si>
  <si>
    <t>SO0635-PD0002</t>
  </si>
  <si>
    <t>SO0635-PD0001</t>
  </si>
  <si>
    <t>SO0635-PD0009</t>
  </si>
  <si>
    <t>SO0636-PD0011</t>
  </si>
  <si>
    <t>SO0636-PD0018</t>
  </si>
  <si>
    <t>SO0637-PD0017</t>
  </si>
  <si>
    <t>SO0637-PD0006</t>
  </si>
  <si>
    <t>SO0637-PD0001</t>
  </si>
  <si>
    <t>SO0638-PD0008</t>
  </si>
  <si>
    <t>SO0638-PD0015</t>
  </si>
  <si>
    <t>SO0638-PD0014</t>
  </si>
  <si>
    <t>SO0639-PD0005</t>
  </si>
  <si>
    <t>SO0639-PD0002</t>
  </si>
  <si>
    <t>SO0639-PD0006</t>
  </si>
  <si>
    <t>SO0639-PD0010</t>
  </si>
  <si>
    <t>SO0640-PD0003</t>
  </si>
  <si>
    <t>SO0640-PD0012</t>
  </si>
  <si>
    <t>SO0641-PD0004</t>
  </si>
  <si>
    <t>SO0641-PD0009</t>
  </si>
  <si>
    <t>SO0641-PD0001</t>
  </si>
  <si>
    <t>SO0642-PD0015</t>
  </si>
  <si>
    <t>SO0642-PD0002</t>
  </si>
  <si>
    <t>SO0643-PD0006</t>
  </si>
  <si>
    <t>SO0643-PD0001</t>
  </si>
  <si>
    <t>SO0643-PD0016</t>
  </si>
  <si>
    <t>SO0643-PD0007</t>
  </si>
  <si>
    <t>SO0643-PD0003</t>
  </si>
  <si>
    <t>SO0643-PD0004</t>
  </si>
  <si>
    <t>SO0643-PD0002</t>
  </si>
  <si>
    <t>SO0644-PD0008</t>
  </si>
  <si>
    <t>SO0644-PD0004</t>
  </si>
  <si>
    <t>SO0645-PD0019</t>
  </si>
  <si>
    <t>SO0646-PD0008</t>
  </si>
  <si>
    <t>SO0646-PD0017</t>
  </si>
  <si>
    <t>SO0646-PD0018</t>
  </si>
  <si>
    <t>SO0647-PD0006</t>
  </si>
  <si>
    <t>SO0647-PD0014</t>
  </si>
  <si>
    <t>SO0648-PD0003</t>
  </si>
  <si>
    <t>SO0648-PD0001</t>
  </si>
  <si>
    <t>SO0648-PD0018</t>
  </si>
  <si>
    <t>SO0648-PD0014</t>
  </si>
  <si>
    <t>SO0649-PD0008</t>
  </si>
  <si>
    <t>SO0649-PD0003</t>
  </si>
  <si>
    <t>SO0649-PD0005</t>
  </si>
  <si>
    <t>SO0649-PD0016</t>
  </si>
  <si>
    <t>SO0650-PD0014</t>
  </si>
  <si>
    <t>SO0650-PD0011</t>
  </si>
  <si>
    <t>SO0650-PD0008</t>
  </si>
  <si>
    <t>SO0650-PD0017</t>
  </si>
  <si>
    <t>SO0651-PD0003</t>
  </si>
  <si>
    <t>SO0651-PD0018</t>
  </si>
  <si>
    <t>SO0652-PD0010</t>
  </si>
  <si>
    <t>SO0652-PD0003</t>
  </si>
  <si>
    <t>SO0653-PD0016</t>
  </si>
  <si>
    <t>SO0653-PD0019</t>
  </si>
  <si>
    <t>SO0653-PD0017</t>
  </si>
  <si>
    <t>SO0654-PD0010</t>
  </si>
  <si>
    <t>SO0654-PD0012</t>
  </si>
  <si>
    <t>SO0655-PD0009</t>
  </si>
  <si>
    <t>SO0655-PD0003</t>
  </si>
  <si>
    <t>SO0655-PD0012</t>
  </si>
  <si>
    <t>SO0655-PD0020</t>
  </si>
  <si>
    <t>SO0656-PD0004</t>
  </si>
  <si>
    <t>SO0657-PD0019</t>
  </si>
  <si>
    <t>SO0657-PD0006</t>
  </si>
  <si>
    <t>SO0657-PD0012</t>
  </si>
  <si>
    <t>SO0658-PD0003</t>
  </si>
  <si>
    <t>SO0658-PD0016</t>
  </si>
  <si>
    <t>SO0659-PD0001</t>
  </si>
  <si>
    <t>SO0660-PD0017</t>
  </si>
  <si>
    <t>SO0660-PD0009</t>
  </si>
  <si>
    <t>SO0660-PD0020</t>
  </si>
  <si>
    <t>SO0660-PD0015</t>
  </si>
  <si>
    <t>SO0661-PD0005</t>
  </si>
  <si>
    <t>SO0662-PD0011</t>
  </si>
  <si>
    <t>SO0663-PD0007</t>
  </si>
  <si>
    <t>SO0663-PD0011</t>
  </si>
  <si>
    <t>SO0664-PD0005</t>
  </si>
  <si>
    <t>SO0664-PD0009</t>
  </si>
  <si>
    <t>SO0664-PD0006</t>
  </si>
  <si>
    <t>SO0664-PD0004</t>
  </si>
  <si>
    <t>SO0664-PD0002</t>
  </si>
  <si>
    <t>SO0665-PD0004</t>
  </si>
  <si>
    <t>SO0665-PD0001</t>
  </si>
  <si>
    <t>SO0665-PD0005</t>
  </si>
  <si>
    <t>SO0665-PD0019</t>
  </si>
  <si>
    <t>SO0666-PD0011</t>
  </si>
  <si>
    <t>SO0666-PD0018</t>
  </si>
  <si>
    <t>SO0667-PD0018</t>
  </si>
  <si>
    <t>SO0667-PD0010</t>
  </si>
  <si>
    <t>SO0668-PD0005</t>
  </si>
  <si>
    <t>SO0668-PD0002</t>
  </si>
  <si>
    <t>SO0669-PD0012</t>
  </si>
  <si>
    <t>SO0670-PD0016</t>
  </si>
  <si>
    <t>SO0670-PD0002</t>
  </si>
  <si>
    <t>SO0671-PD0019</t>
  </si>
  <si>
    <t>SO0671-PD0010</t>
  </si>
  <si>
    <t>SO0671-PD0001</t>
  </si>
  <si>
    <t>SO0671-PD0014</t>
  </si>
  <si>
    <t>SO0672-PD0002</t>
  </si>
  <si>
    <t>SO0672-PD0007</t>
  </si>
  <si>
    <t>SO0673-PD0008</t>
  </si>
  <si>
    <t>SO0673-PD0014</t>
  </si>
  <si>
    <t>SO0673-PD0005</t>
  </si>
  <si>
    <t>SO0673-PD0010</t>
  </si>
  <si>
    <t>SO0674-PD0014</t>
  </si>
  <si>
    <t>SO0675-PD0004</t>
  </si>
  <si>
    <t>SO0675-PD0003</t>
  </si>
  <si>
    <t>SO0675-PD0006</t>
  </si>
  <si>
    <t>SO0676-PD0006</t>
  </si>
  <si>
    <t>SO0676-PD0005</t>
  </si>
  <si>
    <t>SO0676-PD0011</t>
  </si>
  <si>
    <t>SO0676-PD0007</t>
  </si>
  <si>
    <t>SO0677-PD0010</t>
  </si>
  <si>
    <t>SO0677-PD0013</t>
  </si>
  <si>
    <t>SO0677-PD0009</t>
  </si>
  <si>
    <t>SO0677-PD0014</t>
  </si>
  <si>
    <t>SO0678-PD0008</t>
  </si>
  <si>
    <t>SO0678-PD0010</t>
  </si>
  <si>
    <t>SO0678-PD0007</t>
  </si>
  <si>
    <t>SO0678-PD0004</t>
  </si>
  <si>
    <t>SO0679-PD0005</t>
  </si>
  <si>
    <t>SO0679-PD0019</t>
  </si>
  <si>
    <t>SO0679-PD0017</t>
  </si>
  <si>
    <t>SO0680-PD0015</t>
  </si>
  <si>
    <t>SO0680-PD0013</t>
  </si>
  <si>
    <t>SO0680-PD0001</t>
  </si>
  <si>
    <t>SO0680-PD0004</t>
  </si>
  <si>
    <t>SO0680-PD0016</t>
  </si>
  <si>
    <t>SO0681-PD0008</t>
  </si>
  <si>
    <t>SO0681-PD0019</t>
  </si>
  <si>
    <t>SO0681-PD0016</t>
  </si>
  <si>
    <t>SO0682-PD0018</t>
  </si>
  <si>
    <t>SO0682-PD0003</t>
  </si>
  <si>
    <t>SO0682-PD0010</t>
  </si>
  <si>
    <t>SO0683-PD0010</t>
  </si>
  <si>
    <t>SO0684-PD0019</t>
  </si>
  <si>
    <t>SO0685-PD0015</t>
  </si>
  <si>
    <t>SO0685-PD0003</t>
  </si>
  <si>
    <t>SO0685-PD0017</t>
  </si>
  <si>
    <t>SO0685-PD0012</t>
  </si>
  <si>
    <t>SO0685-PD0001</t>
  </si>
  <si>
    <t>SO0685-PD0019</t>
  </si>
  <si>
    <t>SO0685-PD0004</t>
  </si>
  <si>
    <t>SO0686-PD0009</t>
  </si>
  <si>
    <t>SO0686-PD0020</t>
  </si>
  <si>
    <t>SO0687-PD0017</t>
  </si>
  <si>
    <t>SO0687-PD0015</t>
  </si>
  <si>
    <t>SO0688-PD0018</t>
  </si>
  <si>
    <t>SO0688-PD0020</t>
  </si>
  <si>
    <t>SO0688-PD0014</t>
  </si>
  <si>
    <t>SO0688-PD0005</t>
  </si>
  <si>
    <t>SO0689-PD0002</t>
  </si>
  <si>
    <t>SO0689-PD0015</t>
  </si>
  <si>
    <t>SO0689-PD0012</t>
  </si>
  <si>
    <t>SO0689-PD0006</t>
  </si>
  <si>
    <t>SO0690-PD0006</t>
  </si>
  <si>
    <t>SO0691-PD0002</t>
  </si>
  <si>
    <t>SO0691-PD0008</t>
  </si>
  <si>
    <t>SO0691-PD0001</t>
  </si>
  <si>
    <t>SO0692-PD0010</t>
  </si>
  <si>
    <t>SO0692-PD0009</t>
  </si>
  <si>
    <t>SO0692-PD0006</t>
  </si>
  <si>
    <t>SO0692-PD0013</t>
  </si>
  <si>
    <t>SO0693-PD0015</t>
  </si>
  <si>
    <t>SO0694-PD0019</t>
  </si>
  <si>
    <t>SO0694-PD0003</t>
  </si>
  <si>
    <t>SO0694-PD0017</t>
  </si>
  <si>
    <t>SO0694-PD0005</t>
  </si>
  <si>
    <t>SO0695-PD0012</t>
  </si>
  <si>
    <t>SO0696-PD0010</t>
  </si>
  <si>
    <t>SO0696-PD0011</t>
  </si>
  <si>
    <t>SO0697-PD0016</t>
  </si>
  <si>
    <t>SO0697-PD0014</t>
  </si>
  <si>
    <t>SO0697-PD0019</t>
  </si>
  <si>
    <t>SO0697-PD0008</t>
  </si>
  <si>
    <t>SO0697-PD0011</t>
  </si>
  <si>
    <t>SO0697-PD0002</t>
  </si>
  <si>
    <t>SO0698-PD0015</t>
  </si>
  <si>
    <t>SO0698-PD0018</t>
  </si>
  <si>
    <t>SO0698-PD0001</t>
  </si>
  <si>
    <t>SO0699-PD0013</t>
  </si>
  <si>
    <t>SO0699-PD0014</t>
  </si>
  <si>
    <t>SO0700-PD0001</t>
  </si>
  <si>
    <t>SO0700-PD0017</t>
  </si>
  <si>
    <t>SO0700-PD0010</t>
  </si>
  <si>
    <t>SO0701-PD0016</t>
  </si>
  <si>
    <t>SO0701-PD0003</t>
  </si>
  <si>
    <t>SO0702-PD0005</t>
  </si>
  <si>
    <t>SO0702-PD0010</t>
  </si>
  <si>
    <t>SO0702-PD0003</t>
  </si>
  <si>
    <t>SO0704-PD0019</t>
  </si>
  <si>
    <t>SO0704-PD0012</t>
  </si>
  <si>
    <t>SO0704-PD0003</t>
  </si>
  <si>
    <t>SO0705-PD0004</t>
  </si>
  <si>
    <t>SO0705-PD0008</t>
  </si>
  <si>
    <t>SO0705-PD0016</t>
  </si>
  <si>
    <t>SO0705-PD0010</t>
  </si>
  <si>
    <t>SO0705-PD0001</t>
  </si>
  <si>
    <t>SO0705-PD0011</t>
  </si>
  <si>
    <t>SO0706-PD0011</t>
  </si>
  <si>
    <t>SO0706-PD0008</t>
  </si>
  <si>
    <t>SO0706-PD0005</t>
  </si>
  <si>
    <t>SO0706-PD0020</t>
  </si>
  <si>
    <t>SO0707-PD0019</t>
  </si>
  <si>
    <t>SO0707-PD0014</t>
  </si>
  <si>
    <t>SO0708-PD0017</t>
  </si>
  <si>
    <t>SO0708-PD0020</t>
  </si>
  <si>
    <t>SO0708-PD0002</t>
  </si>
  <si>
    <t>SO0709-PD0018</t>
  </si>
  <si>
    <t>SO0709-PD0009</t>
  </si>
  <si>
    <t>SO0709-PD0001</t>
  </si>
  <si>
    <t>SO0710-PD0012</t>
  </si>
  <si>
    <t>SO0710-PD0006</t>
  </si>
  <si>
    <t>SO0710-PD0008</t>
  </si>
  <si>
    <t>SO0711-PD0012</t>
  </si>
  <si>
    <t>SO0711-PD0001</t>
  </si>
  <si>
    <t>SO0711-PD0011</t>
  </si>
  <si>
    <t>SO0711-PD0003</t>
  </si>
  <si>
    <t>SO0712-PD0004</t>
  </si>
  <si>
    <t>SO0713-PD0002</t>
  </si>
  <si>
    <t>SO0713-PD0020</t>
  </si>
  <si>
    <t>SO0713-PD0004</t>
  </si>
  <si>
    <t>SO0714-PD0009</t>
  </si>
  <si>
    <t>SO0714-PD0004</t>
  </si>
  <si>
    <t>SO0714-PD0017</t>
  </si>
  <si>
    <t>SO0715-PD0012</t>
  </si>
  <si>
    <t>SO0715-PD0016</t>
  </si>
  <si>
    <t>SO0715-PD0015</t>
  </si>
  <si>
    <t>SO0715-PD0011</t>
  </si>
  <si>
    <t>SO0716-PD0015</t>
  </si>
  <si>
    <t>SO0716-PD0012</t>
  </si>
  <si>
    <t>SO0716-PD0002</t>
  </si>
  <si>
    <t>SO0716-PD0003</t>
  </si>
  <si>
    <t>SO0716-PD0010</t>
  </si>
  <si>
    <t>SO0717-PD0018</t>
  </si>
  <si>
    <t>SO0717-PD0009</t>
  </si>
  <si>
    <t>SO0718-PD0008</t>
  </si>
  <si>
    <t>SO0718-PD0004</t>
  </si>
  <si>
    <t>SO0719-PD0020</t>
  </si>
  <si>
    <t>SO0720-PD0017</t>
  </si>
  <si>
    <t>SO0720-PD0011</t>
  </si>
  <si>
    <t>SO0721-PD0010</t>
  </si>
  <si>
    <t>SO0721-PD0015</t>
  </si>
  <si>
    <t>SO0722-PD0010</t>
  </si>
  <si>
    <t>SO0722-PD0019</t>
  </si>
  <si>
    <t>SO0722-PD0008</t>
  </si>
  <si>
    <t>SO0722-PD0003</t>
  </si>
  <si>
    <t>SO0723-PD0019</t>
  </si>
  <si>
    <t>SO0723-PD0003</t>
  </si>
  <si>
    <t>SO0724-PD0020</t>
  </si>
  <si>
    <t>SO0725-PD0019</t>
  </si>
  <si>
    <t>SO0725-PD0003</t>
  </si>
  <si>
    <t>SO0725-PD0009</t>
  </si>
  <si>
    <t>SO0725-PD0014</t>
  </si>
  <si>
    <t>SO0726-PD0005</t>
  </si>
  <si>
    <t>SO0728-PD0017</t>
  </si>
  <si>
    <t>SO0729-PD0014</t>
  </si>
  <si>
    <t>SO0729-PD0011</t>
  </si>
  <si>
    <t>SO0730-PD0013</t>
  </si>
  <si>
    <t>SO0730-PD0017</t>
  </si>
  <si>
    <t>SO0731-PD0011</t>
  </si>
  <si>
    <t>SO0731-PD0010</t>
  </si>
  <si>
    <t>SO0732-PD0017</t>
  </si>
  <si>
    <t>SO0733-PD0012</t>
  </si>
  <si>
    <t>SO0733-PD0013</t>
  </si>
  <si>
    <t>SO0733-PD0007</t>
  </si>
  <si>
    <t>SO0733-PD0002</t>
  </si>
  <si>
    <t>SO0733-PD0011</t>
  </si>
  <si>
    <t>SO0734-PD0003</t>
  </si>
  <si>
    <t>SO0734-PD0014</t>
  </si>
  <si>
    <t>SO0734-PD0006</t>
  </si>
  <si>
    <t>SO0734-PD0007</t>
  </si>
  <si>
    <t>SO0735-PD0007</t>
  </si>
  <si>
    <t>SO0735-PD0015</t>
  </si>
  <si>
    <t>SO0736-PD0008</t>
  </si>
  <si>
    <t>SO0736-PD0002</t>
  </si>
  <si>
    <t>SO0736-PD0009</t>
  </si>
  <si>
    <t>SO0736-PD0015</t>
  </si>
  <si>
    <t>SO0737-PD0006</t>
  </si>
  <si>
    <t>SO0737-PD0014</t>
  </si>
  <si>
    <t>SO0737-PD0007</t>
  </si>
  <si>
    <t>SO0737-PD0013</t>
  </si>
  <si>
    <t>SO0738-PD0017</t>
  </si>
  <si>
    <t>SO0738-PD0014</t>
  </si>
  <si>
    <t>SO0738-PD0015</t>
  </si>
  <si>
    <t>SO0738-PD0011</t>
  </si>
  <si>
    <t>SO0739-PD0013</t>
  </si>
  <si>
    <t>SO0739-PD0016</t>
  </si>
  <si>
    <t>SO0739-PD0008</t>
  </si>
  <si>
    <t>SO0739-PD0009</t>
  </si>
  <si>
    <t>SO0740-PD0014</t>
  </si>
  <si>
    <t>SO0740-PD0003</t>
  </si>
  <si>
    <t>SO0740-PD0009</t>
  </si>
  <si>
    <t>SO0741-PD0005</t>
  </si>
  <si>
    <t>SO0741-PD0020</t>
  </si>
  <si>
    <t>SO0742-PD0002</t>
  </si>
  <si>
    <t>SO0742-PD0008</t>
  </si>
  <si>
    <t>SO0743-PD0008</t>
  </si>
  <si>
    <t>SO0743-PD0018</t>
  </si>
  <si>
    <t>SO0743-PD0002</t>
  </si>
  <si>
    <t>SO0743-PD0016</t>
  </si>
  <si>
    <t>SO0744-PD0016</t>
  </si>
  <si>
    <t>SO0744-PD0008</t>
  </si>
  <si>
    <t>SO0744-PD0017</t>
  </si>
  <si>
    <t>SO0744-PD0012</t>
  </si>
  <si>
    <t>SO0745-PD0003</t>
  </si>
  <si>
    <t>SO0745-PD0008</t>
  </si>
  <si>
    <t>SO0745-PD0020</t>
  </si>
  <si>
    <t>SO0745-PD0005</t>
  </si>
  <si>
    <t>SO0745-PD0015</t>
  </si>
  <si>
    <t>SO0745-PD0011</t>
  </si>
  <si>
    <t>SO0746-PD0011</t>
  </si>
  <si>
    <t>SO0746-PD0019</t>
  </si>
  <si>
    <t>SO0746-PD0008</t>
  </si>
  <si>
    <t>SO0747-PD0020</t>
  </si>
  <si>
    <t>SO0747-PD0007</t>
  </si>
  <si>
    <t>SO0747-PD0009</t>
  </si>
  <si>
    <t>SO0747-PD0014</t>
  </si>
  <si>
    <t>SO0747-PD0012</t>
  </si>
  <si>
    <t>SO0748-PD0006</t>
  </si>
  <si>
    <t>SO0748-PD0020</t>
  </si>
  <si>
    <t>SO0749-PD0012</t>
  </si>
  <si>
    <t>SO0749-PD0003</t>
  </si>
  <si>
    <t>SO0749-PD0004</t>
  </si>
  <si>
    <t>SO0749-PD0019</t>
  </si>
  <si>
    <t>SO0751-PD0002</t>
  </si>
  <si>
    <t>SO0751-PD0016</t>
  </si>
  <si>
    <t>SO0753-PD0016</t>
  </si>
  <si>
    <t>SO0753-PD0020</t>
  </si>
  <si>
    <t>SO0753-PD0014</t>
  </si>
  <si>
    <t>SO0753-PD0003</t>
  </si>
  <si>
    <t>SO0754-PD0013</t>
  </si>
  <si>
    <t>SO0754-PD0007</t>
  </si>
  <si>
    <t>SO0754-PD0005</t>
  </si>
  <si>
    <t>SO0755-PD0016</t>
  </si>
  <si>
    <t>SO0755-PD0001</t>
  </si>
  <si>
    <t>SO0756-PD0012</t>
  </si>
  <si>
    <t>SO0757-PD0004</t>
  </si>
  <si>
    <t>SO0757-PD0007</t>
  </si>
  <si>
    <t>SO0757-PD0002</t>
  </si>
  <si>
    <t>SO0758-PD0003</t>
  </si>
  <si>
    <t>SO0758-PD0018</t>
  </si>
  <si>
    <t>SO0758-PD0002</t>
  </si>
  <si>
    <t>SO0758-PD0005</t>
  </si>
  <si>
    <t>SO0759-PD0009</t>
  </si>
  <si>
    <t>SO0760-PD0016</t>
  </si>
  <si>
    <t>SO0760-PD0010</t>
  </si>
  <si>
    <t>SO0760-PD0006</t>
  </si>
  <si>
    <t>SO0761-PD0014</t>
  </si>
  <si>
    <t>SO0761-PD0008</t>
  </si>
  <si>
    <t>SO0761-PD0018</t>
  </si>
  <si>
    <t>SO0762-PD0014</t>
  </si>
  <si>
    <t>SO0762-PD0012</t>
  </si>
  <si>
    <t>SO0762-PD0007</t>
  </si>
  <si>
    <t>SO0762-PD0015</t>
  </si>
  <si>
    <t>SO0764-PD0009</t>
  </si>
  <si>
    <t>SO0764-PD0012</t>
  </si>
  <si>
    <t>SO0764-PD0017</t>
  </si>
  <si>
    <t>SO0764-PD0001</t>
  </si>
  <si>
    <t>SO0765-PD0020</t>
  </si>
  <si>
    <t>SO0765-PD0007</t>
  </si>
  <si>
    <t>SO0765-PD0019</t>
  </si>
  <si>
    <t>SO0766-PD0007</t>
  </si>
  <si>
    <t>SO0766-PD0017</t>
  </si>
  <si>
    <t>SO0766-PD0003</t>
  </si>
  <si>
    <t>SO0766-PD0019</t>
  </si>
  <si>
    <t>SO0767-PD0009</t>
  </si>
  <si>
    <t>SO0767-PD0014</t>
  </si>
  <si>
    <t>SO0767-PD0004</t>
  </si>
  <si>
    <t>SO0767-PD0007</t>
  </si>
  <si>
    <t>SO0768-PD0006</t>
  </si>
  <si>
    <t>SO0768-PD0009</t>
  </si>
  <si>
    <t>SO0768-PD0015</t>
  </si>
  <si>
    <t>SO0769-PD0008</t>
  </si>
  <si>
    <t>SO0769-PD0003</t>
  </si>
  <si>
    <t>SO0769-PD0017</t>
  </si>
  <si>
    <t>SO0770-PD0018</t>
  </si>
  <si>
    <t>SO0770-PD0002</t>
  </si>
  <si>
    <t>SO0770-PD0017</t>
  </si>
  <si>
    <t>SO0770-PD0006</t>
  </si>
  <si>
    <t>SO0771-PD0005</t>
  </si>
  <si>
    <t>SO0771-PD0014</t>
  </si>
  <si>
    <t>SO0771-PD0020</t>
  </si>
  <si>
    <t>SO0771-PD0016</t>
  </si>
  <si>
    <t>SO0772-PD0002</t>
  </si>
  <si>
    <t>SO0772-PD0017</t>
  </si>
  <si>
    <t>SO0773-PD0005</t>
  </si>
  <si>
    <t>SO0773-PD0006</t>
  </si>
  <si>
    <t>SO0773-PD0019</t>
  </si>
  <si>
    <t>SO0773-PD0020</t>
  </si>
  <si>
    <t>SO0774-PD0008</t>
  </si>
  <si>
    <t>SO0775-PD0014</t>
  </si>
  <si>
    <t>SO0776-PD0005</t>
  </si>
  <si>
    <t>SO0777-PD0002</t>
  </si>
  <si>
    <t>SO0777-PD0020</t>
  </si>
  <si>
    <t>SO0777-PD0009</t>
  </si>
  <si>
    <t>SO0778-PD0019</t>
  </si>
  <si>
    <t>SO0778-PD0002</t>
  </si>
  <si>
    <t>SO0778-PD0003</t>
  </si>
  <si>
    <t>SO0778-PD0015</t>
  </si>
  <si>
    <t>SO0778-PD0018</t>
  </si>
  <si>
    <t>SO0779-PD0002</t>
  </si>
  <si>
    <t>SO0779-PD0016</t>
  </si>
  <si>
    <t>SO0779-PD0004</t>
  </si>
  <si>
    <t>SO0779-PD0015</t>
  </si>
  <si>
    <t>SO0780-PD0003</t>
  </si>
  <si>
    <t>SO0780-PD0020</t>
  </si>
  <si>
    <t>SO0780-PD0013</t>
  </si>
  <si>
    <t>SO0780-PD0010</t>
  </si>
  <si>
    <t>SO0781-PD0011</t>
  </si>
  <si>
    <t>SO0781-PD0020</t>
  </si>
  <si>
    <t>SO0781-PD0003</t>
  </si>
  <si>
    <t>SO0782-PD0017</t>
  </si>
  <si>
    <t>SO0782-PD0005</t>
  </si>
  <si>
    <t>SO0782-PD0011</t>
  </si>
  <si>
    <t>SO0782-PD0014</t>
  </si>
  <si>
    <t>SO0783-PD0004</t>
  </si>
  <si>
    <t>SO0783-PD0012</t>
  </si>
  <si>
    <t>SO0784-PD0005</t>
  </si>
  <si>
    <t>SO0784-PD0018</t>
  </si>
  <si>
    <t>SO0784-PD0016</t>
  </si>
  <si>
    <t>SO0785-PD0010</t>
  </si>
  <si>
    <t>SO0785-PD0002</t>
  </si>
  <si>
    <t>SO0786-PD0007</t>
  </si>
  <si>
    <t>SO0786-PD0002</t>
  </si>
  <si>
    <t>SO0787-PD0014</t>
  </si>
  <si>
    <t>SO0787-PD0005</t>
  </si>
  <si>
    <t>SO0787-PD0016</t>
  </si>
  <si>
    <t>SO0788-PD0003</t>
  </si>
  <si>
    <t>SO0788-PD0017</t>
  </si>
  <si>
    <t>SO0788-PD0006</t>
  </si>
  <si>
    <t>SO0788-PD0010</t>
  </si>
  <si>
    <t>SO0789-PD0011</t>
  </si>
  <si>
    <t>SO0789-PD0016</t>
  </si>
  <si>
    <t>SO0789-PD0010</t>
  </si>
  <si>
    <t>SO0790-PD0012</t>
  </si>
  <si>
    <t>SO0790-PD0018</t>
  </si>
  <si>
    <t>SO0791-PD0017</t>
  </si>
  <si>
    <t>SO0791-PD0010</t>
  </si>
  <si>
    <t>SO0791-PD0003</t>
  </si>
  <si>
    <t>SO0792-PD0014</t>
  </si>
  <si>
    <t>SO0792-PD0007</t>
  </si>
  <si>
    <t>SO0792-PD0019</t>
  </si>
  <si>
    <t>SO0793-PD0005</t>
  </si>
  <si>
    <t>SO0793-PD0004</t>
  </si>
  <si>
    <t>SO0793-PD0001</t>
  </si>
  <si>
    <t>SO0793-PD0020</t>
  </si>
  <si>
    <t>SO0793-PD0014</t>
  </si>
  <si>
    <t>SO0793-PD0011</t>
  </si>
  <si>
    <t>SO0794-PD0018</t>
  </si>
  <si>
    <t>SO0794-PD0004</t>
  </si>
  <si>
    <t>SO0794-PD0013</t>
  </si>
  <si>
    <t>SO0795-PD0015</t>
  </si>
  <si>
    <t>SO0795-PD0003</t>
  </si>
  <si>
    <t>SO0795-PD0005</t>
  </si>
  <si>
    <t>SO0797-PD0016</t>
  </si>
  <si>
    <t>SO0797-PD0015</t>
  </si>
  <si>
    <t>SO0798-PD0006</t>
  </si>
  <si>
    <t>SO0799-PD0003</t>
  </si>
  <si>
    <t>SO0799-PD0004</t>
  </si>
  <si>
    <t>SO0799-PD0019</t>
  </si>
  <si>
    <t>SO0799-PD0009</t>
  </si>
  <si>
    <t>SO0800-PD0019</t>
  </si>
  <si>
    <t>SO0800-PD0009</t>
  </si>
  <si>
    <t>SO0801-PD0001</t>
  </si>
  <si>
    <t>SO0801-PD0005</t>
  </si>
  <si>
    <t>SO0802-PD0014</t>
  </si>
  <si>
    <t>SO0802-PD0018</t>
  </si>
  <si>
    <t>SO0802-PD0019</t>
  </si>
  <si>
    <t>SO0802-PD0011</t>
  </si>
  <si>
    <t>SO0803-PD0001</t>
  </si>
  <si>
    <t>SO0803-PD0018</t>
  </si>
  <si>
    <t>SO0803-PD0015</t>
  </si>
  <si>
    <t>SO0804-PD0007</t>
  </si>
  <si>
    <t>SO0804-PD0012</t>
  </si>
  <si>
    <t>SO0804-PD0015</t>
  </si>
  <si>
    <t>SO0804-PD0016</t>
  </si>
  <si>
    <t>SO0805-PD0020</t>
  </si>
  <si>
    <t>SO0805-PD0012</t>
  </si>
  <si>
    <t>SO0806-PD0012</t>
  </si>
  <si>
    <t>SO0806-PD0015</t>
  </si>
  <si>
    <t>SO0806-PD0002</t>
  </si>
  <si>
    <t>SO0806-PD0016</t>
  </si>
  <si>
    <t>SO0807-PD0012</t>
  </si>
  <si>
    <t>SO0807-PD0014</t>
  </si>
  <si>
    <t>SO0807-PD0020</t>
  </si>
  <si>
    <t>SO0809-PD0015</t>
  </si>
  <si>
    <t>SO0809-PD0010</t>
  </si>
  <si>
    <t>SO0809-PD0018</t>
  </si>
  <si>
    <t>SO0809-PD0003</t>
  </si>
  <si>
    <t>SO0810-PD0007</t>
  </si>
  <si>
    <t>SO0811-PD0001</t>
  </si>
  <si>
    <t>SO0811-PD0013</t>
  </si>
  <si>
    <t>SO0812-PD0012</t>
  </si>
  <si>
    <t>SO0812-PD0003</t>
  </si>
  <si>
    <t>SO0813-PD0020</t>
  </si>
  <si>
    <t>SO0813-PD0018</t>
  </si>
  <si>
    <t>SO0814-PD0016</t>
  </si>
  <si>
    <t>SO0814-PD0009</t>
  </si>
  <si>
    <t>SO0814-PD0001</t>
  </si>
  <si>
    <t>SO0814-PD0014</t>
  </si>
  <si>
    <t>SO0815-PD0012</t>
  </si>
  <si>
    <t>SO0815-PD0013</t>
  </si>
  <si>
    <t>SO0815-PD0015</t>
  </si>
  <si>
    <t>SO0815-PD0007</t>
  </si>
  <si>
    <t>SO0816-PD0002</t>
  </si>
  <si>
    <t>SO0817-PD0004</t>
  </si>
  <si>
    <t>SO0817-PD0009</t>
  </si>
  <si>
    <t>SO0818-PD0006</t>
  </si>
  <si>
    <t>SO0818-PD0011</t>
  </si>
  <si>
    <t>SO0819-PD0014</t>
  </si>
  <si>
    <t>SO0819-PD0018</t>
  </si>
  <si>
    <t>SO0819-PD0005</t>
  </si>
  <si>
    <t>SO0820-PD0016</t>
  </si>
  <si>
    <t>SO0820-PD0008</t>
  </si>
  <si>
    <t>SO0820-PD0009</t>
  </si>
  <si>
    <t>SO0821-PD0017</t>
  </si>
  <si>
    <t>SO0821-PD0014</t>
  </si>
  <si>
    <t>SO0822-PD0013</t>
  </si>
  <si>
    <t>SO0822-PD0003</t>
  </si>
  <si>
    <t>SO0822-PD0020</t>
  </si>
  <si>
    <t>SO0823-PD0006</t>
  </si>
  <si>
    <t>SO0823-PD0019</t>
  </si>
  <si>
    <t>SO0824-PD0017</t>
  </si>
  <si>
    <t>SO0824-PD0014</t>
  </si>
  <si>
    <t>SO0824-PD0001</t>
  </si>
  <si>
    <t>SO0825-PD0015</t>
  </si>
  <si>
    <t>SO0825-PD0009</t>
  </si>
  <si>
    <t>SO0825-PD0017</t>
  </si>
  <si>
    <t>SO0825-PD0006</t>
  </si>
  <si>
    <t>SO0826-PD0018</t>
  </si>
  <si>
    <t>SO0826-PD0007</t>
  </si>
  <si>
    <t>SO0827-PD0020</t>
  </si>
  <si>
    <t>SO0828-PD0017</t>
  </si>
  <si>
    <t>SO0828-PD0016</t>
  </si>
  <si>
    <t>SO0828-PD0004</t>
  </si>
  <si>
    <t>SO0829-PD0011</t>
  </si>
  <si>
    <t>SO0830-PD0008</t>
  </si>
  <si>
    <t>SO0830-PD0001</t>
  </si>
  <si>
    <t>SO0831-PD0003</t>
  </si>
  <si>
    <t>SO0831-PD0009</t>
  </si>
  <si>
    <t>SO0832-PD0018</t>
  </si>
  <si>
    <t>SO0832-PD0016</t>
  </si>
  <si>
    <t>SO0832-PD0005</t>
  </si>
  <si>
    <t>SO0833-PD0005</t>
  </si>
  <si>
    <t>SO0833-PD0018</t>
  </si>
  <si>
    <t>SO0834-PD0018</t>
  </si>
  <si>
    <t>SO0834-PD0006</t>
  </si>
  <si>
    <t>SO0835-PD0008</t>
  </si>
  <si>
    <t>SO0835-PD0006</t>
  </si>
  <si>
    <t>SO0835-PD0004</t>
  </si>
  <si>
    <t>SO0836-PD0016</t>
  </si>
  <si>
    <t>SO0837-PD0015</t>
  </si>
  <si>
    <t>SO0837-PD0020</t>
  </si>
  <si>
    <t>SO0837-PD0005</t>
  </si>
  <si>
    <t>SO0837-PD0014</t>
  </si>
  <si>
    <t>SO0837-PD0007</t>
  </si>
  <si>
    <t>SO0839-PD0004</t>
  </si>
  <si>
    <t>SO0840-PD0008</t>
  </si>
  <si>
    <t>SO0840-PD0003</t>
  </si>
  <si>
    <t>SO0841-PD0012</t>
  </si>
  <si>
    <t>SO0842-PD0014</t>
  </si>
  <si>
    <t>SO0842-PD0002</t>
  </si>
  <si>
    <t>SO0842-PD0009</t>
  </si>
  <si>
    <t>SO0843-PD0006</t>
  </si>
  <si>
    <t>SO0843-PD0004</t>
  </si>
  <si>
    <t>SO0843-PD0020</t>
  </si>
  <si>
    <t>SO0843-PD0009</t>
  </si>
  <si>
    <t>SO0844-PD0013</t>
  </si>
  <si>
    <t>SO0844-PD0018</t>
  </si>
  <si>
    <t>SO0845-PD0012</t>
  </si>
  <si>
    <t>SO0845-PD0018</t>
  </si>
  <si>
    <t>SO0845-PD0015</t>
  </si>
  <si>
    <t>SO0845-PD0003</t>
  </si>
  <si>
    <t>SO0846-PD0001</t>
  </si>
  <si>
    <t>SO0846-PD0011</t>
  </si>
  <si>
    <t>SO0846-PD0013</t>
  </si>
  <si>
    <t>SO0846-PD0020</t>
  </si>
  <si>
    <t>SO0846-PD0005</t>
  </si>
  <si>
    <t>SO0846-PD0010</t>
  </si>
  <si>
    <t>SO0847-PD0010</t>
  </si>
  <si>
    <t>SO0847-PD0007</t>
  </si>
  <si>
    <t>SO0847-PD0001</t>
  </si>
  <si>
    <t>SO0847-PD0013</t>
  </si>
  <si>
    <t>SO0847-PD0020</t>
  </si>
  <si>
    <t>SO0848-PD0015</t>
  </si>
  <si>
    <t>SO0848-PD0010</t>
  </si>
  <si>
    <t>SO0849-PD0018</t>
  </si>
  <si>
    <t>SO0849-PD0009</t>
  </si>
  <si>
    <t>SO0850-PD0008</t>
  </si>
  <si>
    <t>SO0850-PD0014</t>
  </si>
  <si>
    <t>SO0850-PD0015</t>
  </si>
  <si>
    <t>SO0850-PD0017</t>
  </si>
  <si>
    <t>SO0850-PD0013</t>
  </si>
  <si>
    <t>SO0851-PD0007</t>
  </si>
  <si>
    <t>SO0851-PD0003</t>
  </si>
  <si>
    <t>SO0851-PD0002</t>
  </si>
  <si>
    <t>SO0851-PD0006</t>
  </si>
  <si>
    <t>SO0851-PD0012</t>
  </si>
  <si>
    <t>SO0852-PD0019</t>
  </si>
  <si>
    <t>SO0853-PD0007</t>
  </si>
  <si>
    <t>SO0853-PD0004</t>
  </si>
  <si>
    <t>SO0854-PD0018</t>
  </si>
  <si>
    <t>SO0854-PD0017</t>
  </si>
  <si>
    <t>SO0854-PD0015</t>
  </si>
  <si>
    <t>SO0854-PD0004</t>
  </si>
  <si>
    <t>SO0854-PD0008</t>
  </si>
  <si>
    <t>SO0854-PD0014</t>
  </si>
  <si>
    <t>SO0855-PD0017</t>
  </si>
  <si>
    <t>SO0855-PD0009</t>
  </si>
  <si>
    <t>SO0855-PD0005</t>
  </si>
  <si>
    <t>SO0855-PD0019</t>
  </si>
  <si>
    <t>SO0856-PD0006</t>
  </si>
  <si>
    <t>SO0856-PD0011</t>
  </si>
  <si>
    <t>SO0857-PD0007</t>
  </si>
  <si>
    <t>SO0857-PD0015</t>
  </si>
  <si>
    <t>SO0857-PD0010</t>
  </si>
  <si>
    <t>SO0857-PD0013</t>
  </si>
  <si>
    <t>SO0858-PD0018</t>
  </si>
  <si>
    <t>SO0858-PD0019</t>
  </si>
  <si>
    <t>SO0858-PD0014</t>
  </si>
  <si>
    <t>SO0858-PD0008</t>
  </si>
  <si>
    <t>SO0858-PD0009</t>
  </si>
  <si>
    <t>SO0858-PD0011</t>
  </si>
  <si>
    <t>SO0859-PD0020</t>
  </si>
  <si>
    <t>SO0859-PD0008</t>
  </si>
  <si>
    <t>SO0861-PD0020</t>
  </si>
  <si>
    <t>SO0861-PD0001</t>
  </si>
  <si>
    <t>SO0861-PD0008</t>
  </si>
  <si>
    <t>SO0861-PD0006</t>
  </si>
  <si>
    <t>SO0862-PD0001</t>
  </si>
  <si>
    <t>SO0862-PD0018</t>
  </si>
  <si>
    <t>SO0863-PD0003</t>
  </si>
  <si>
    <t>SO0864-PD0017</t>
  </si>
  <si>
    <t>SO0864-PD0018</t>
  </si>
  <si>
    <t>SO0865-PD0009</t>
  </si>
  <si>
    <t>SO0865-PD0001</t>
  </si>
  <si>
    <t>SO0865-PD0006</t>
  </si>
  <si>
    <t>SO0865-PD0013</t>
  </si>
  <si>
    <t>SO0866-PD0018</t>
  </si>
  <si>
    <t>SO0866-PD0002</t>
  </si>
  <si>
    <t>SO0866-PD0016</t>
  </si>
  <si>
    <t>SO0867-PD0017</t>
  </si>
  <si>
    <t>SO0867-PD0004</t>
  </si>
  <si>
    <t>SO0867-PD0001</t>
  </si>
  <si>
    <t>SO0868-PD0016</t>
  </si>
  <si>
    <t>SO0868-PD0019</t>
  </si>
  <si>
    <t>SO0869-PD0010</t>
  </si>
  <si>
    <t>SO0869-PD0001</t>
  </si>
  <si>
    <t>SO0869-PD0002</t>
  </si>
  <si>
    <t>SO0870-PD0014</t>
  </si>
  <si>
    <t>SO0870-PD0009</t>
  </si>
  <si>
    <t>SO0870-PD0010</t>
  </si>
  <si>
    <t>SO0871-PD0001</t>
  </si>
  <si>
    <t>SO0871-PD0016</t>
  </si>
  <si>
    <t>SO0871-PD0006</t>
  </si>
  <si>
    <t>SO0871-PD0017</t>
  </si>
  <si>
    <t>SO0872-PD0001</t>
  </si>
  <si>
    <t>SO0872-PD0019</t>
  </si>
  <si>
    <t>SO0872-PD0018</t>
  </si>
  <si>
    <t>SO0872-PD0011</t>
  </si>
  <si>
    <t>SO0872-PD0004</t>
  </si>
  <si>
    <t>SO0873-PD0011</t>
  </si>
  <si>
    <t>SO0873-PD0012</t>
  </si>
  <si>
    <t>SO0873-PD0013</t>
  </si>
  <si>
    <t>SO0873-PD0008</t>
  </si>
  <si>
    <t>SO0873-PD0020</t>
  </si>
  <si>
    <t>SO0873-PD0009</t>
  </si>
  <si>
    <t>SO0874-PD0009</t>
  </si>
  <si>
    <t>SO0874-PD0016</t>
  </si>
  <si>
    <t>SO0874-PD0006</t>
  </si>
  <si>
    <t>SO0874-PD0014</t>
  </si>
  <si>
    <t>SO0875-PD0015</t>
  </si>
  <si>
    <t>SO0875-PD0009</t>
  </si>
  <si>
    <t>SO0875-PD0013</t>
  </si>
  <si>
    <t>SO0875-PD0018</t>
  </si>
  <si>
    <t>SO0875-PD0006</t>
  </si>
  <si>
    <t>SO0876-PD0011</t>
  </si>
  <si>
    <t>SO0876-PD0004</t>
  </si>
  <si>
    <t>SO0876-PD0001</t>
  </si>
  <si>
    <t>SO0877-PD0011</t>
  </si>
  <si>
    <t>SO0877-PD0007</t>
  </si>
  <si>
    <t>SO0878-PD0020</t>
  </si>
  <si>
    <t>SO0879-PD0007</t>
  </si>
  <si>
    <t>SO0879-PD0006</t>
  </si>
  <si>
    <t>SO0879-PD0010</t>
  </si>
  <si>
    <t>SO0879-PD0004</t>
  </si>
  <si>
    <t>SO0879-PD0013</t>
  </si>
  <si>
    <t>SO0881-PD0014</t>
  </si>
  <si>
    <t>SO0881-PD0001</t>
  </si>
  <si>
    <t>SO0881-PD0002</t>
  </si>
  <si>
    <t>SO0881-PD0007</t>
  </si>
  <si>
    <t>SO0882-PD0013</t>
  </si>
  <si>
    <t>SO0882-PD0001</t>
  </si>
  <si>
    <t>SO0882-PD0017</t>
  </si>
  <si>
    <t>SO0883-PD0015</t>
  </si>
  <si>
    <t>SO0883-PD0003</t>
  </si>
  <si>
    <t>SO0883-PD0001</t>
  </si>
  <si>
    <t>SO0883-PD0007</t>
  </si>
  <si>
    <t>SO0883-PD0008</t>
  </si>
  <si>
    <t>SO0884-PD0009</t>
  </si>
  <si>
    <t>SO0884-PD0015</t>
  </si>
  <si>
    <t>SO0884-PD0016</t>
  </si>
  <si>
    <t>SO0884-PD0008</t>
  </si>
  <si>
    <t>SO0884-PD0004</t>
  </si>
  <si>
    <t>SO0885-PD0010</t>
  </si>
  <si>
    <t>SO0886-PD0003</t>
  </si>
  <si>
    <t>SO0886-PD0016</t>
  </si>
  <si>
    <t>SO0886-PD0018</t>
  </si>
  <si>
    <t>SO0887-PD0014</t>
  </si>
  <si>
    <t>SO0887-PD0018</t>
  </si>
  <si>
    <t>SO0888-PD0006</t>
  </si>
  <si>
    <t>SO0888-PD0016</t>
  </si>
  <si>
    <t>SO0889-PD0017</t>
  </si>
  <si>
    <t>SO0889-PD0009</t>
  </si>
  <si>
    <t>SO0889-PD0012</t>
  </si>
  <si>
    <t>SO0890-PD0002</t>
  </si>
  <si>
    <t>SO0890-PD0001</t>
  </si>
  <si>
    <t>SO0890-PD0009</t>
  </si>
  <si>
    <t>SO0890-PD0012</t>
  </si>
  <si>
    <t>SO0890-PD0003</t>
  </si>
  <si>
    <t>SO0891-PD0018</t>
  </si>
  <si>
    <t>SO0891-PD0019</t>
  </si>
  <si>
    <t>SO0891-PD0002</t>
  </si>
  <si>
    <t>SO0892-PD0014</t>
  </si>
  <si>
    <t>SO0892-PD0020</t>
  </si>
  <si>
    <t>SO0892-PD0010</t>
  </si>
  <si>
    <t>SO0892-PD0007</t>
  </si>
  <si>
    <t>SO0893-PD0011</t>
  </si>
  <si>
    <t>SO0893-PD0016</t>
  </si>
  <si>
    <t>SO0894-PD0010</t>
  </si>
  <si>
    <t>SO0894-PD0007</t>
  </si>
  <si>
    <t>SO0895-PD0010</t>
  </si>
  <si>
    <t>SO0895-PD0018</t>
  </si>
  <si>
    <t>SO0895-PD0014</t>
  </si>
  <si>
    <t>SO0895-PD0011</t>
  </si>
  <si>
    <t>SO0895-PD0019</t>
  </si>
  <si>
    <t>SO0895-PD0015</t>
  </si>
  <si>
    <t>SO0896-PD0011</t>
  </si>
  <si>
    <t>SO0896-PD0002</t>
  </si>
  <si>
    <t>SO0896-PD0009</t>
  </si>
  <si>
    <t>SO0896-PD0006</t>
  </si>
  <si>
    <t>SO0897-PD0007</t>
  </si>
  <si>
    <t>SO0897-PD0003</t>
  </si>
  <si>
    <t>SO0898-PD0008</t>
  </si>
  <si>
    <t>SO0898-PD0020</t>
  </si>
  <si>
    <t>SO0898-PD0019</t>
  </si>
  <si>
    <t>SO0898-PD0001</t>
  </si>
  <si>
    <t>SO0899-PD0015</t>
  </si>
  <si>
    <t>SO0899-PD0019</t>
  </si>
  <si>
    <t>SO0900-PD0005</t>
  </si>
  <si>
    <t>SO0900-PD0016</t>
  </si>
  <si>
    <t>SO0900-PD0015</t>
  </si>
  <si>
    <t>SO0901-PD0019</t>
  </si>
  <si>
    <t>SO0901-PD0014</t>
  </si>
  <si>
    <t>SO0901-PD0004</t>
  </si>
  <si>
    <t>SO0901-PD0017</t>
  </si>
  <si>
    <t>SO0903-PD0017</t>
  </si>
  <si>
    <t>SO0903-PD0015</t>
  </si>
  <si>
    <t>SO0903-PD0010</t>
  </si>
  <si>
    <t>SO0903-PD0002</t>
  </si>
  <si>
    <t>SO0903-PD0018</t>
  </si>
  <si>
    <t>SO0904-PD0019</t>
  </si>
  <si>
    <t>SO0905-PD0016</t>
  </si>
  <si>
    <t>SO0905-PD0018</t>
  </si>
  <si>
    <t>SO0906-PD0013</t>
  </si>
  <si>
    <t>SO0906-PD0001</t>
  </si>
  <si>
    <t>SO0906-PD0012</t>
  </si>
  <si>
    <t>SO0907-PD0009</t>
  </si>
  <si>
    <t>SO0907-PD0001</t>
  </si>
  <si>
    <t>SO0907-PD0007</t>
  </si>
  <si>
    <t>SO0908-PD0012</t>
  </si>
  <si>
    <t>SO0908-PD0017</t>
  </si>
  <si>
    <t>SO0908-PD0002</t>
  </si>
  <si>
    <t>SO0909-PD0002</t>
  </si>
  <si>
    <t>SO0909-PD0011</t>
  </si>
  <si>
    <t>SO0909-PD0012</t>
  </si>
  <si>
    <t>SO0910-PD0015</t>
  </si>
  <si>
    <t>SO0911-PD0014</t>
  </si>
  <si>
    <t>SO0911-PD0015</t>
  </si>
  <si>
    <t>SO0911-PD0012</t>
  </si>
  <si>
    <t>SO0911-PD0018</t>
  </si>
  <si>
    <t>SO0912-PD0008</t>
  </si>
  <si>
    <t>SO0912-PD0010</t>
  </si>
  <si>
    <t>SO0913-PD0016</t>
  </si>
  <si>
    <t>SO0913-PD0019</t>
  </si>
  <si>
    <t>SO0914-PD0006</t>
  </si>
  <si>
    <t>SO0914-PD0018</t>
  </si>
  <si>
    <t>SO0914-PD0007</t>
  </si>
  <si>
    <t>SO0915-PD0018</t>
  </si>
  <si>
    <t>SO0916-PD0019</t>
  </si>
  <si>
    <t>SO0916-PD0009</t>
  </si>
  <si>
    <t>SO0917-PD0012</t>
  </si>
  <si>
    <t>SO0917-PD0015</t>
  </si>
  <si>
    <t>SO0917-PD0009</t>
  </si>
  <si>
    <t>SO0918-PD0009</t>
  </si>
  <si>
    <t>SO0918-PD0014</t>
  </si>
  <si>
    <t>SO0919-PD0007</t>
  </si>
  <si>
    <t>SO0919-PD0001</t>
  </si>
  <si>
    <t>SO0919-PD0006</t>
  </si>
  <si>
    <t>SO0919-PD0011</t>
  </si>
  <si>
    <t>SO0920-PD0017</t>
  </si>
  <si>
    <t>SO0920-PD0003</t>
  </si>
  <si>
    <t>SO0920-PD0012</t>
  </si>
  <si>
    <t>SO0921-PD0002</t>
  </si>
  <si>
    <t>SO0921-PD0005</t>
  </si>
  <si>
    <t>SO0922-PD0010</t>
  </si>
  <si>
    <t>SO0922-PD0001</t>
  </si>
  <si>
    <t>SO0922-PD0011</t>
  </si>
  <si>
    <t>SO0922-PD0004</t>
  </si>
  <si>
    <t>SO0923-PD0002</t>
  </si>
  <si>
    <t>SO0923-PD0003</t>
  </si>
  <si>
    <t>SO0924-PD0009</t>
  </si>
  <si>
    <t>SO0924-PD0004</t>
  </si>
  <si>
    <t>SO0925-PD0020</t>
  </si>
  <si>
    <t>SO0925-PD0017</t>
  </si>
  <si>
    <t>SO0925-PD0010</t>
  </si>
  <si>
    <t>SO0925-PD0018</t>
  </si>
  <si>
    <t>SO0926-PD0002</t>
  </si>
  <si>
    <t>SO0926-PD0006</t>
  </si>
  <si>
    <t>SO0927-PD0014</t>
  </si>
  <si>
    <t>SO0927-PD0009</t>
  </si>
  <si>
    <t>SO0927-PD0019</t>
  </si>
  <si>
    <t>SO0928-PD0003</t>
  </si>
  <si>
    <t>SO0928-PD0004</t>
  </si>
  <si>
    <t>SO0928-PD0006</t>
  </si>
  <si>
    <t>SO0929-PD0012</t>
  </si>
  <si>
    <t>SO0929-PD0016</t>
  </si>
  <si>
    <t>SO0929-PD0020</t>
  </si>
  <si>
    <t>SO0929-PD0008</t>
  </si>
  <si>
    <t>SO0930-PD0012</t>
  </si>
  <si>
    <t>SO0930-PD0013</t>
  </si>
  <si>
    <t>SO0931-PD0002</t>
  </si>
  <si>
    <t>SO0931-PD0011</t>
  </si>
  <si>
    <t>SO0932-PD0003</t>
  </si>
  <si>
    <t>SO0932-PD0020</t>
  </si>
  <si>
    <t>SO0933-PD0014</t>
  </si>
  <si>
    <t>SO0933-PD0013</t>
  </si>
  <si>
    <t>SO0933-PD0011</t>
  </si>
  <si>
    <t>SO0933-PD0015</t>
  </si>
  <si>
    <t>SO0933-PD0005</t>
  </si>
  <si>
    <t>SO0934-PD0020</t>
  </si>
  <si>
    <t>SO0934-PD0011</t>
  </si>
  <si>
    <t>SO0934-PD0013</t>
  </si>
  <si>
    <t>SO0935-PD0004</t>
  </si>
  <si>
    <t>SO0935-PD0020</t>
  </si>
  <si>
    <t>SO0935-PD0009</t>
  </si>
  <si>
    <t>SO0936-PD0002</t>
  </si>
  <si>
    <t>SO0936-PD0008</t>
  </si>
  <si>
    <t>SO0937-PD0001</t>
  </si>
  <si>
    <t>SO0937-PD0015</t>
  </si>
  <si>
    <t>SO0938-PD0018</t>
  </si>
  <si>
    <t>SO0938-PD0004</t>
  </si>
  <si>
    <t>SO0939-PD0019</t>
  </si>
  <si>
    <t>SO0939-PD0020</t>
  </si>
  <si>
    <t>SO0939-PD0016</t>
  </si>
  <si>
    <t>SO0939-PD0017</t>
  </si>
  <si>
    <t>SO0940-PD0019</t>
  </si>
  <si>
    <t>SO0940-PD0004</t>
  </si>
  <si>
    <t>SO0940-PD0013</t>
  </si>
  <si>
    <t>SO0941-PD0019</t>
  </si>
  <si>
    <t>SO0941-PD0020</t>
  </si>
  <si>
    <t>SO0942-PD0007</t>
  </si>
  <si>
    <t>SO0943-PD0010</t>
  </si>
  <si>
    <t>SO0943-PD0001</t>
  </si>
  <si>
    <t>SO0943-PD0020</t>
  </si>
  <si>
    <t>SO0943-PD0019</t>
  </si>
  <si>
    <t>SO0943-PD0017</t>
  </si>
  <si>
    <t>SO0944-PD0008</t>
  </si>
  <si>
    <t>SO0945-PD0012</t>
  </si>
  <si>
    <t>SO0945-PD0003</t>
  </si>
  <si>
    <t>SO0946-PD0003</t>
  </si>
  <si>
    <t>SO0946-PD0014</t>
  </si>
  <si>
    <t>SO0947-PD0006</t>
  </si>
  <si>
    <t>SO0948-PD0013</t>
  </si>
  <si>
    <t>SO0948-PD0010</t>
  </si>
  <si>
    <t>SO0948-PD0007</t>
  </si>
  <si>
    <t>SO0948-PD0015</t>
  </si>
  <si>
    <t>SO0949-PD0011</t>
  </si>
  <si>
    <t>SO0950-PD0012</t>
  </si>
  <si>
    <t>SO0950-PD0003</t>
  </si>
  <si>
    <t>SO0951-PD0012</t>
  </si>
  <si>
    <t>SO0951-PD0017</t>
  </si>
  <si>
    <t>SO0951-PD0010</t>
  </si>
  <si>
    <t>SO0951-PD0002</t>
  </si>
  <si>
    <t>SO0951-PD0006</t>
  </si>
  <si>
    <t>SO0951-PD0003</t>
  </si>
  <si>
    <t>SO0952-PD0018</t>
  </si>
  <si>
    <t>SO0953-PD0004</t>
  </si>
  <si>
    <t>SO0953-PD0001</t>
  </si>
  <si>
    <t>SO0953-PD0005</t>
  </si>
  <si>
    <t>SO0954-PD0008</t>
  </si>
  <si>
    <t>SO0955-PD0004</t>
  </si>
  <si>
    <t>SO0955-PD0017</t>
  </si>
  <si>
    <t>SO0955-PD0015</t>
  </si>
  <si>
    <t>SO0956-PD0011</t>
  </si>
  <si>
    <t>SO0956-PD0001</t>
  </si>
  <si>
    <t>SO0956-PD0019</t>
  </si>
  <si>
    <t>SO0956-PD0008</t>
  </si>
  <si>
    <t>SO0957-PD0005</t>
  </si>
  <si>
    <t>SO0957-PD0017</t>
  </si>
  <si>
    <t>SO0958-PD0013</t>
  </si>
  <si>
    <t>SO0958-PD0017</t>
  </si>
  <si>
    <t>SO0958-PD0014</t>
  </si>
  <si>
    <t>SO0959-PD0005</t>
  </si>
  <si>
    <t>SO0959-PD0002</t>
  </si>
  <si>
    <t>SO0959-PD0015</t>
  </si>
  <si>
    <t>SO0960-PD0014</t>
  </si>
  <si>
    <t>SO0960-PD0004</t>
  </si>
  <si>
    <t>SO0960-PD0017</t>
  </si>
  <si>
    <t>SO0961-PD0002</t>
  </si>
  <si>
    <t>SO0961-PD0001</t>
  </si>
  <si>
    <t>SO0961-PD0016</t>
  </si>
  <si>
    <t>SO0961-PD0012</t>
  </si>
  <si>
    <t>SO0962-PD0005</t>
  </si>
  <si>
    <t>SO0962-PD0020</t>
  </si>
  <si>
    <t>SO0962-PD0009</t>
  </si>
  <si>
    <t>SO0963-PD0002</t>
  </si>
  <si>
    <t>SO0963-PD0017</t>
  </si>
  <si>
    <t>SO0963-PD0018</t>
  </si>
  <si>
    <t>SO0964-PD0008</t>
  </si>
  <si>
    <t>SO0964-PD0017</t>
  </si>
  <si>
    <t>SO0964-PD0009</t>
  </si>
  <si>
    <t>SO0964-PD0002</t>
  </si>
  <si>
    <t>SO0965-PD0018</t>
  </si>
  <si>
    <t>SO0965-PD0019</t>
  </si>
  <si>
    <t>SO0966-PD0001</t>
  </si>
  <si>
    <t>SO0967-PD0014</t>
  </si>
  <si>
    <t>SO0967-PD0019</t>
  </si>
  <si>
    <t>SO0967-PD0018</t>
  </si>
  <si>
    <t>SO0967-PD0008</t>
  </si>
  <si>
    <t>SO0968-PD0020</t>
  </si>
  <si>
    <t>SO0968-PD0014</t>
  </si>
  <si>
    <t>SO0968-PD0017</t>
  </si>
  <si>
    <t>SO0968-PD0001</t>
  </si>
  <si>
    <t>SO0968-PD0016</t>
  </si>
  <si>
    <t>SO0968-PD0012</t>
  </si>
  <si>
    <t>SO0969-PD0005</t>
  </si>
  <si>
    <t>SO0969-PD0013</t>
  </si>
  <si>
    <t>SO0970-PD0011</t>
  </si>
  <si>
    <t>SO0970-PD0014</t>
  </si>
  <si>
    <t>SO0970-PD0013</t>
  </si>
  <si>
    <t>SO0971-PD0011</t>
  </si>
  <si>
    <t>SO0971-PD0012</t>
  </si>
  <si>
    <t>SO0971-PD0020</t>
  </si>
  <si>
    <t>SO0972-PD0012</t>
  </si>
  <si>
    <t>SO0972-PD0002</t>
  </si>
  <si>
    <t>SO0973-PD0011</t>
  </si>
  <si>
    <t>SO0973-PD0013</t>
  </si>
  <si>
    <t>SO0974-PD0011</t>
  </si>
  <si>
    <t>SO0975-PD0017</t>
  </si>
  <si>
    <t>SO0976-PD0011</t>
  </si>
  <si>
    <t>SO0976-PD0005</t>
  </si>
  <si>
    <t>SO0976-PD0013</t>
  </si>
  <si>
    <t>SO0977-PD0017</t>
  </si>
  <si>
    <t>SO0977-PD0005</t>
  </si>
  <si>
    <t>SO0977-PD0003</t>
  </si>
  <si>
    <t>SO0977-PD0012</t>
  </si>
  <si>
    <t>SO0977-PD0020</t>
  </si>
  <si>
    <t>SO0977-PD0018</t>
  </si>
  <si>
    <t>SO0978-PD0007</t>
  </si>
  <si>
    <t>SO0978-PD0014</t>
  </si>
  <si>
    <t>SO0978-PD0001</t>
  </si>
  <si>
    <t>SO0979-PD0006</t>
  </si>
  <si>
    <t>SO0979-PD0009</t>
  </si>
  <si>
    <t>SO0979-PD0010</t>
  </si>
  <si>
    <t>SO0980-PD0017</t>
  </si>
  <si>
    <t>SO0980-PD0005</t>
  </si>
  <si>
    <t>SO0980-PD0018</t>
  </si>
  <si>
    <t>SO0980-PD0002</t>
  </si>
  <si>
    <t>SO0981-PD0010</t>
  </si>
  <si>
    <t>SO0981-PD0003</t>
  </si>
  <si>
    <t>SO0981-PD0020</t>
  </si>
  <si>
    <t>SO0981-PD0005</t>
  </si>
  <si>
    <t>SO0981-PD0007</t>
  </si>
  <si>
    <t>SO0982-PD0008</t>
  </si>
  <si>
    <t>SO0982-PD0017</t>
  </si>
  <si>
    <t>SO0982-PD0010</t>
  </si>
  <si>
    <t>SO0982-PD0016</t>
  </si>
  <si>
    <t>SO0982-PD0011</t>
  </si>
  <si>
    <t>SO0982-PD0001</t>
  </si>
  <si>
    <t>SO0983-PD0011</t>
  </si>
  <si>
    <t>SO0983-PD0003</t>
  </si>
  <si>
    <t>SO0983-PD0007</t>
  </si>
  <si>
    <t>SO0984-PD0010</t>
  </si>
  <si>
    <t>SO0984-PD0003</t>
  </si>
  <si>
    <t>SO0984-PD0012</t>
  </si>
  <si>
    <t>SO0984-PD0001</t>
  </si>
  <si>
    <t>SO0985-PD0002</t>
  </si>
  <si>
    <t>SO0985-PD0006</t>
  </si>
  <si>
    <t>SO0986-PD0019</t>
  </si>
  <si>
    <t>SO0986-PD0020</t>
  </si>
  <si>
    <t>SO0987-PD0015</t>
  </si>
  <si>
    <t>SO0987-PD0011</t>
  </si>
  <si>
    <t>SO0988-PD0001</t>
  </si>
  <si>
    <t>SO0988-PD0018</t>
  </si>
  <si>
    <t>SO0988-PD0013</t>
  </si>
  <si>
    <t>SO0989-PD0004</t>
  </si>
  <si>
    <t>SO0990-PD0010</t>
  </si>
  <si>
    <t>SO0991-PD0010</t>
  </si>
  <si>
    <t>SO0992-PD0003</t>
  </si>
  <si>
    <t>SO0992-PD0011</t>
  </si>
  <si>
    <t>SO0992-PD0014</t>
  </si>
  <si>
    <t>SO0993-PD0020</t>
  </si>
  <si>
    <t>SO0993-PD0010</t>
  </si>
  <si>
    <t>SO0993-PD0012</t>
  </si>
  <si>
    <t>SO0993-PD0002</t>
  </si>
  <si>
    <t>SO0994-PD0014</t>
  </si>
  <si>
    <t>SO0994-PD0013</t>
  </si>
  <si>
    <t>SO0994-PD0019</t>
  </si>
  <si>
    <t>SO0995-PD0015</t>
  </si>
  <si>
    <t>SO0995-PD0006</t>
  </si>
  <si>
    <t>SO0996-PD0006</t>
  </si>
  <si>
    <t>SO0996-PD0007</t>
  </si>
  <si>
    <t>SO0997-PD0014</t>
  </si>
  <si>
    <t>SO0997-PD0017</t>
  </si>
  <si>
    <t>SO0998-PD0017</t>
  </si>
  <si>
    <t>SO0998-PD0006</t>
  </si>
  <si>
    <t>SO0998-PD0011</t>
  </si>
  <si>
    <t>SO0998-PD0015</t>
  </si>
  <si>
    <t>SO0999-PD0017</t>
  </si>
  <si>
    <t>SO0999-PD0012</t>
  </si>
  <si>
    <t>SO0999-PD0007</t>
  </si>
  <si>
    <t>SO0999-PD0002</t>
  </si>
  <si>
    <t>SO1000-PD0016</t>
  </si>
  <si>
    <t>SO1001-PD0018</t>
  </si>
  <si>
    <t>SO1002-PD0016</t>
  </si>
  <si>
    <t>SO1003-PD0018</t>
  </si>
  <si>
    <t>SO1003-PD0015</t>
  </si>
  <si>
    <t>SO1003-PD0002</t>
  </si>
  <si>
    <t>SO1004-PD0013</t>
  </si>
  <si>
    <t>SO1004-PD0019</t>
  </si>
  <si>
    <t>SO1004-PD0010</t>
  </si>
  <si>
    <t>SO1004-PD0012</t>
  </si>
  <si>
    <t>SO1004-PD0005</t>
  </si>
  <si>
    <t>SO1005-PD0004</t>
  </si>
  <si>
    <t>SO1005-PD0018</t>
  </si>
  <si>
    <t>SO1006-PD0020</t>
  </si>
  <si>
    <t>SO1006-PD0010</t>
  </si>
  <si>
    <t>SO1007-PD0005</t>
  </si>
  <si>
    <t>SO1007-PD0015</t>
  </si>
  <si>
    <t>SO1008-PD0007</t>
  </si>
  <si>
    <t>SO1008-PD0001</t>
  </si>
  <si>
    <t>SO1008-PD0018</t>
  </si>
  <si>
    <t>SO1008-PD0002</t>
  </si>
  <si>
    <t>SO1008-PD0010</t>
  </si>
  <si>
    <t>SO1009-PD0002</t>
  </si>
  <si>
    <t>SO1009-PD0020</t>
  </si>
  <si>
    <t>SO1010-PD0013</t>
  </si>
  <si>
    <t>SO1011-PD0003</t>
  </si>
  <si>
    <t>SO1011-PD0019</t>
  </si>
  <si>
    <t>SO1012-PD0002</t>
  </si>
  <si>
    <t>SO1012-PD0011</t>
  </si>
  <si>
    <t>SO1012-PD0010</t>
  </si>
  <si>
    <t>SO1012-PD0003</t>
  </si>
  <si>
    <t>SO1012-PD0007</t>
  </si>
  <si>
    <t>SO1013-PD0012</t>
  </si>
  <si>
    <t>SO1013-PD0011</t>
  </si>
  <si>
    <t>SO1014-PD0011</t>
  </si>
  <si>
    <t>SO1014-PD0018</t>
  </si>
  <si>
    <t>SO1015-PD0005</t>
  </si>
  <si>
    <t>SO1015-PD0015</t>
  </si>
  <si>
    <t>SO1015-PD0004</t>
  </si>
  <si>
    <t>SO1015-PD0001</t>
  </si>
  <si>
    <t>SO1016-PD0002</t>
  </si>
  <si>
    <t>SO1016-PD0009</t>
  </si>
  <si>
    <t>SO1016-PD0001</t>
  </si>
  <si>
    <t>SO1017-PD0008</t>
  </si>
  <si>
    <t>SO1017-PD0009</t>
  </si>
  <si>
    <t>SO1018-PD0003</t>
  </si>
  <si>
    <t>SO1018-PD0004</t>
  </si>
  <si>
    <t>SO1019-PD0002</t>
  </si>
  <si>
    <t>SO1019-PD0008</t>
  </si>
  <si>
    <t>SO1019-PD0004</t>
  </si>
  <si>
    <t>SO1020-PD0007</t>
  </si>
  <si>
    <t>SO1020-PD0015</t>
  </si>
  <si>
    <t>SO1020-PD0010</t>
  </si>
  <si>
    <t>SO1020-PD0003</t>
  </si>
  <si>
    <t>SO1020-PD0013</t>
  </si>
  <si>
    <t>SO1021-PD0016</t>
  </si>
  <si>
    <t>SO1021-PD0003</t>
  </si>
  <si>
    <t>SO1021-PD0002</t>
  </si>
  <si>
    <t>SO1022-PD0008</t>
  </si>
  <si>
    <t>SO1022-PD0001</t>
  </si>
  <si>
    <t>SO1022-PD0010</t>
  </si>
  <si>
    <t>SO1023-PD0010</t>
  </si>
  <si>
    <t>SO1023-PD0015</t>
  </si>
  <si>
    <t>SO1023-PD0007</t>
  </si>
  <si>
    <t>SO1024-PD0004</t>
  </si>
  <si>
    <t>SO1024-PD0007</t>
  </si>
  <si>
    <t>SO1024-PD0019</t>
  </si>
  <si>
    <t>SO1025-PD0019</t>
  </si>
  <si>
    <t>SO1026-PD0009</t>
  </si>
  <si>
    <t>SO1026-PD0005</t>
  </si>
  <si>
    <t>SO1026-PD0017</t>
  </si>
  <si>
    <t>SO1026-PD0016</t>
  </si>
  <si>
    <t>SO1026-PD0019</t>
  </si>
  <si>
    <t>SO1026-PD0011</t>
  </si>
  <si>
    <t>SO1028-PD0017</t>
  </si>
  <si>
    <t>SO1028-PD0006</t>
  </si>
  <si>
    <t>SO1028-PD0007</t>
  </si>
  <si>
    <t>SO0010-PD0017</t>
  </si>
  <si>
    <t>SO0010-PD0019</t>
  </si>
  <si>
    <t>SO0014-PD0013</t>
  </si>
  <si>
    <t>SO0014-PD0014</t>
  </si>
  <si>
    <t>SO0017-PD0001</t>
  </si>
  <si>
    <t>SO0017-PD0002</t>
  </si>
  <si>
    <t>SO0035-PD0017</t>
  </si>
  <si>
    <t>SO0035-PD0019</t>
  </si>
  <si>
    <t>SO0042-PD0001</t>
  </si>
  <si>
    <t>SO0042-PD0002</t>
  </si>
  <si>
    <t>SO0044-PD0005</t>
  </si>
  <si>
    <t>SO0044-PD0007</t>
  </si>
  <si>
    <t>SO0045-PD0002</t>
  </si>
  <si>
    <t>SO0045-PD0001</t>
  </si>
  <si>
    <t>SO0052-PD0019</t>
  </si>
  <si>
    <t>SO0052-PD0018</t>
  </si>
  <si>
    <t>SO0052-PD0017</t>
  </si>
  <si>
    <t>SO0054-PD0008</t>
  </si>
  <si>
    <t>SO0054-PD0010</t>
  </si>
  <si>
    <t>SO0055-PD0004</t>
  </si>
  <si>
    <t>SO0055-PD0003</t>
  </si>
  <si>
    <t>SO0063-PD0005</t>
  </si>
  <si>
    <t>SO0063-PD0007</t>
  </si>
  <si>
    <t>SO0069-PD0007</t>
  </si>
  <si>
    <t>SO0069-PD0005</t>
  </si>
  <si>
    <t>SO0081-PD0014</t>
  </si>
  <si>
    <t>SO0081-PD0013</t>
  </si>
  <si>
    <t>SO0092-PD0020</t>
  </si>
  <si>
    <t>SO0092-PD0019</t>
  </si>
  <si>
    <t>SO0101-PD0013</t>
  </si>
  <si>
    <t>SO0101-PD0014</t>
  </si>
  <si>
    <t>SO0103-PD0011</t>
  </si>
  <si>
    <t>SO0103-PD0008</t>
  </si>
  <si>
    <t>SO0103-PD0009</t>
  </si>
  <si>
    <t>SO0103-PD0012</t>
  </si>
  <si>
    <t>SO0105-PD0001</t>
  </si>
  <si>
    <t>SO0105-PD0002</t>
  </si>
  <si>
    <t>SO0112-PD0017</t>
  </si>
  <si>
    <t>SO0112-PD0019</t>
  </si>
  <si>
    <t>SO0112-PD0020</t>
  </si>
  <si>
    <t>SO0119-PD0013</t>
  </si>
  <si>
    <t>SO0119-PD0014</t>
  </si>
  <si>
    <t>SO0120-PD0009</t>
  </si>
  <si>
    <t>SO0120-PD0008</t>
  </si>
  <si>
    <t>SO0122-PD0007</t>
  </si>
  <si>
    <t>SO0122-PD0005</t>
  </si>
  <si>
    <t>SO0122-PD0011</t>
  </si>
  <si>
    <t>SO0122-PD0012</t>
  </si>
  <si>
    <t>SO0129-PD0019</t>
  </si>
  <si>
    <t>SO0129-PD0018</t>
  </si>
  <si>
    <t>SO0131-PD0014</t>
  </si>
  <si>
    <t>SO0131-PD0013</t>
  </si>
  <si>
    <t>SO0137-PD0001</t>
  </si>
  <si>
    <t>SO0137-PD0002</t>
  </si>
  <si>
    <t>SO0138-PD0006</t>
  </si>
  <si>
    <t>SO0138-PD0005</t>
  </si>
  <si>
    <t>SO0146-PD0014</t>
  </si>
  <si>
    <t>SO0146-PD0013</t>
  </si>
  <si>
    <t>SO0151-PD0010</t>
  </si>
  <si>
    <t>SO0151-PD0009</t>
  </si>
  <si>
    <t>SO0158-PD0010</t>
  </si>
  <si>
    <t>SO0158-PD0009</t>
  </si>
  <si>
    <t>SO0161-PD0010</t>
  </si>
  <si>
    <t>SO0161-PD0017</t>
  </si>
  <si>
    <t>SO0161-PD0018</t>
  </si>
  <si>
    <t>SO0161-PD0020</t>
  </si>
  <si>
    <t>SO0161-PD0009</t>
  </si>
  <si>
    <t>SO0161-PD0019</t>
  </si>
  <si>
    <t>SO0162-PD0006</t>
  </si>
  <si>
    <t>SO0162-PD0005</t>
  </si>
  <si>
    <t>SO0163-PD0001</t>
  </si>
  <si>
    <t>SO0163-PD0002</t>
  </si>
  <si>
    <t>SO0167-PD0004</t>
  </si>
  <si>
    <t>SO0167-PD0003</t>
  </si>
  <si>
    <t>SO0171-PD0009</t>
  </si>
  <si>
    <t>SO0171-PD0008</t>
  </si>
  <si>
    <t>SO0174-PD0002</t>
  </si>
  <si>
    <t>SO0174-PD0008</t>
  </si>
  <si>
    <t>SO0180-PD0020</t>
  </si>
  <si>
    <t>SO0180-PD0018</t>
  </si>
  <si>
    <t>SO0183-PD0015</t>
  </si>
  <si>
    <t>SO0183-PD0020</t>
  </si>
  <si>
    <t>SO0184-PD0013</t>
  </si>
  <si>
    <t>SO0184-PD0014</t>
  </si>
  <si>
    <t>SO0188-PD0017</t>
  </si>
  <si>
    <t>SO0188-PD0019</t>
  </si>
  <si>
    <t>SO0198-PD0008</t>
  </si>
  <si>
    <t>SO0198-PD0010</t>
  </si>
  <si>
    <t>SO0207-PD0009</t>
  </si>
  <si>
    <t>SO0207-PD0004</t>
  </si>
  <si>
    <t>SO0207-PD0010</t>
  </si>
  <si>
    <t>SO0207-PD0003</t>
  </si>
  <si>
    <t>SO0208-PD0002</t>
  </si>
  <si>
    <t>SO0208-PD0008</t>
  </si>
  <si>
    <t>SO0210-PD0020</t>
  </si>
  <si>
    <t>SO0210-PD0004</t>
  </si>
  <si>
    <t>SO0210-PD0003</t>
  </si>
  <si>
    <t>SO0211-PD0020</t>
  </si>
  <si>
    <t>SO0211-PD0018</t>
  </si>
  <si>
    <t>SO0212-PD0003</t>
  </si>
  <si>
    <t>SO0212-PD0004</t>
  </si>
  <si>
    <t>SO0224-PD0012</t>
  </si>
  <si>
    <t>SO0224-PD0011</t>
  </si>
  <si>
    <t>SO0230-PD0001</t>
  </si>
  <si>
    <t>SO0230-PD0002</t>
  </si>
  <si>
    <t>SO0233-PD0004</t>
  </si>
  <si>
    <t>SO0233-PD0003</t>
  </si>
  <si>
    <t>SO0247-PD0019</t>
  </si>
  <si>
    <t>SO0247-PD0017</t>
  </si>
  <si>
    <t>SO0258-PD0020</t>
  </si>
  <si>
    <t>SO0258-PD0015</t>
  </si>
  <si>
    <t>SO0260-PD0010</t>
  </si>
  <si>
    <t>SO0260-PD0008</t>
  </si>
  <si>
    <t>SO0260-PD0009</t>
  </si>
  <si>
    <t>SO0269-PD0015</t>
  </si>
  <si>
    <t>SO0269-PD0018</t>
  </si>
  <si>
    <t>SO0275-PD0013</t>
  </si>
  <si>
    <t>SO0275-PD0014</t>
  </si>
  <si>
    <t>SO0281-PD0002</t>
  </si>
  <si>
    <t>SO0281-PD0008</t>
  </si>
  <si>
    <t>SO0282-PD0010</t>
  </si>
  <si>
    <t>SO0282-PD0009</t>
  </si>
  <si>
    <t>SO0284-PD0016</t>
  </si>
  <si>
    <t>SO0284-PD0018</t>
  </si>
  <si>
    <t>SO0286-PD0002</t>
  </si>
  <si>
    <t>SO0286-PD0001</t>
  </si>
  <si>
    <t>SO0293-PD0005</t>
  </si>
  <si>
    <t>SO0293-PD0007</t>
  </si>
  <si>
    <t>SO0299-PD0020</t>
  </si>
  <si>
    <t>SO0299-PD0016</t>
  </si>
  <si>
    <t>SO0300-PD0011</t>
  </si>
  <si>
    <t>SO0300-PD0018</t>
  </si>
  <si>
    <t>SO0300-PD0010</t>
  </si>
  <si>
    <t>SO0300-PD0008</t>
  </si>
  <si>
    <t>SO0300-PD0020</t>
  </si>
  <si>
    <t>SO0313-PD0016</t>
  </si>
  <si>
    <t>SO0313-PD0018</t>
  </si>
  <si>
    <t>SO0316-PD0011</t>
  </si>
  <si>
    <t>SO0316-PD0012</t>
  </si>
  <si>
    <t>SO0319-PD0005</t>
  </si>
  <si>
    <t>SO0319-PD0007</t>
  </si>
  <si>
    <t>SO0334-PD0011</t>
  </si>
  <si>
    <t>SO0334-PD0012</t>
  </si>
  <si>
    <t>SO0347-PD0004</t>
  </si>
  <si>
    <t>SO0347-PD0003</t>
  </si>
  <si>
    <t>SO0348-PD0001</t>
  </si>
  <si>
    <t>SO0348-PD0020</t>
  </si>
  <si>
    <t>SO0349-PD0011</t>
  </si>
  <si>
    <t>SO0349-PD0012</t>
  </si>
  <si>
    <t>SO0352-PD0013</t>
  </si>
  <si>
    <t>SO0352-PD0014</t>
  </si>
  <si>
    <t>SO0353-PD0001</t>
  </si>
  <si>
    <t>SO0353-PD0002</t>
  </si>
  <si>
    <t>SO0362-PD0010</t>
  </si>
  <si>
    <t>SO0362-PD0009</t>
  </si>
  <si>
    <t>SO0367-PD0020</t>
  </si>
  <si>
    <t>SO0367-PD0008</t>
  </si>
  <si>
    <t>SO0368-PD0001</t>
  </si>
  <si>
    <t>SO0368-PD0002</t>
  </si>
  <si>
    <t>SO0368-PD0018</t>
  </si>
  <si>
    <t>SO0368-PD0020</t>
  </si>
  <si>
    <t>SO0373-PD0020</t>
  </si>
  <si>
    <t>SO0373-PD0003</t>
  </si>
  <si>
    <t>SO0374-PD0015</t>
  </si>
  <si>
    <t>SO0374-PD0016</t>
  </si>
  <si>
    <t>SO0376-PD0014</t>
  </si>
  <si>
    <t>SO0376-PD0013</t>
  </si>
  <si>
    <t>SO0376-PD0017</t>
  </si>
  <si>
    <t>SO0376-PD0019</t>
  </si>
  <si>
    <t>SO0384-PD0005</t>
  </si>
  <si>
    <t>SO0384-PD0007</t>
  </si>
  <si>
    <t>SO0391-PD0020</t>
  </si>
  <si>
    <t>SO0391-PD0018</t>
  </si>
  <si>
    <t>SO0403-PD0006</t>
  </si>
  <si>
    <t>SO0403-PD0005</t>
  </si>
  <si>
    <t>SO0408-PD0013</t>
  </si>
  <si>
    <t>SO0408-PD0014</t>
  </si>
  <si>
    <t>SO0410-PD0012</t>
  </si>
  <si>
    <t>SO0410-PD0011</t>
  </si>
  <si>
    <t>SO0412-PD0014</t>
  </si>
  <si>
    <t>SO0412-PD0008</t>
  </si>
  <si>
    <t>SO0413-PD0014</t>
  </si>
  <si>
    <t>SO0413-PD0013</t>
  </si>
  <si>
    <t>SO0417-PD0007</t>
  </si>
  <si>
    <t>SO0417-PD0005</t>
  </si>
  <si>
    <t>SO0420-PD0006</t>
  </si>
  <si>
    <t>SO0420-PD0005</t>
  </si>
  <si>
    <t>SO0424-PD0020</t>
  </si>
  <si>
    <t>SO0424-PD0018</t>
  </si>
  <si>
    <t>SO0427-PD0014</t>
  </si>
  <si>
    <t>SO0427-PD0013</t>
  </si>
  <si>
    <t>SO0429-PD0007</t>
  </si>
  <si>
    <t>SO0429-PD0005</t>
  </si>
  <si>
    <t>SO0433-PD0009</t>
  </si>
  <si>
    <t>SO0433-PD0010</t>
  </si>
  <si>
    <t>SO0438-PD0010</t>
  </si>
  <si>
    <t>SO0438-PD0009</t>
  </si>
  <si>
    <t>SO0440-PD0009</t>
  </si>
  <si>
    <t>SO0440-PD0007</t>
  </si>
  <si>
    <t>SO0440-PD0010</t>
  </si>
  <si>
    <t>SO0440-PD0005</t>
  </si>
  <si>
    <t>SO0445-PD0014</t>
  </si>
  <si>
    <t>SO0445-PD0013</t>
  </si>
  <si>
    <t>SO0452-PD0008</t>
  </si>
  <si>
    <t>SO0452-PD0010</t>
  </si>
  <si>
    <t>SO0456-PD0020</t>
  </si>
  <si>
    <t>SO0456-PD0008</t>
  </si>
  <si>
    <t>SO0465-PD0002</t>
  </si>
  <si>
    <t>SO0465-PD0008</t>
  </si>
  <si>
    <t>SO0469-PD0011</t>
  </si>
  <si>
    <t>SO0469-PD0012</t>
  </si>
  <si>
    <t>SO0474-PD0005</t>
  </si>
  <si>
    <t>SO0474-PD0007</t>
  </si>
  <si>
    <t>SO0475-PD0019</t>
  </si>
  <si>
    <t>SO0475-PD0016</t>
  </si>
  <si>
    <t>SO0485-PD0012</t>
  </si>
  <si>
    <t>SO0485-PD0006</t>
  </si>
  <si>
    <t>SO0485-PD0008</t>
  </si>
  <si>
    <t>SO0485-PD0011</t>
  </si>
  <si>
    <t>SO0485-PD0015</t>
  </si>
  <si>
    <t>SO0485-PD0020</t>
  </si>
  <si>
    <t>SO0485-PD0007</t>
  </si>
  <si>
    <t>SO0493-PD0017</t>
  </si>
  <si>
    <t>SO0493-PD0012</t>
  </si>
  <si>
    <t>SO0497-PD0009</t>
  </si>
  <si>
    <t>SO0497-PD0008</t>
  </si>
  <si>
    <t>SO0497-PD0010</t>
  </si>
  <si>
    <t>SO0500-PD0007</t>
  </si>
  <si>
    <t>SO0500-PD0012</t>
  </si>
  <si>
    <t>SO0515-PD0008</t>
  </si>
  <si>
    <t>SO0515-PD0014</t>
  </si>
  <si>
    <t>SO0522-PD0006</t>
  </si>
  <si>
    <t>SO0522-PD0008</t>
  </si>
  <si>
    <t>SO0523-PD0005</t>
  </si>
  <si>
    <t>SO0523-PD0007</t>
  </si>
  <si>
    <t>SO0524-PD0016</t>
  </si>
  <si>
    <t>SO0524-PD0020</t>
  </si>
  <si>
    <t>SO0524-PD0019</t>
  </si>
  <si>
    <t>SO0524-PD0017</t>
  </si>
  <si>
    <t>SO0526-PD0005</t>
  </si>
  <si>
    <t>SO0526-PD0007</t>
  </si>
  <si>
    <t>SO0533-PD0006</t>
  </si>
  <si>
    <t>SO0533-PD0008</t>
  </si>
  <si>
    <t>SO0533-PD0020</t>
  </si>
  <si>
    <t>SO0533-PD0010</t>
  </si>
  <si>
    <t>SO0536-PD0010</t>
  </si>
  <si>
    <t>SO0536-PD0009</t>
  </si>
  <si>
    <t>SO0540-PD0018</t>
  </si>
  <si>
    <t>SO0540-PD0008</t>
  </si>
  <si>
    <t>SO0542-PD0019</t>
  </si>
  <si>
    <t>SO0542-PD0017</t>
  </si>
  <si>
    <t>SO0555-PD0008</t>
  </si>
  <si>
    <t>SO0555-PD0020</t>
  </si>
  <si>
    <t>SO0563-PD0017</t>
  </si>
  <si>
    <t>SO0563-PD0019</t>
  </si>
  <si>
    <t>SO0564-PD0012</t>
  </si>
  <si>
    <t>SO0564-PD0017</t>
  </si>
  <si>
    <t>SO0569-PD0008</t>
  </si>
  <si>
    <t>SO0569-PD0006</t>
  </si>
  <si>
    <t>SO0570-PD0020</t>
  </si>
  <si>
    <t>SO0570-PD0016</t>
  </si>
  <si>
    <t>SO0571-PD0014</t>
  </si>
  <si>
    <t>SO0571-PD0008</t>
  </si>
  <si>
    <t>SO0571-PD0013</t>
  </si>
  <si>
    <t>SO0574-PD0019</t>
  </si>
  <si>
    <t>SO0574-PD0018</t>
  </si>
  <si>
    <t>SO0575-PD0006</t>
  </si>
  <si>
    <t>SO0575-PD0020</t>
  </si>
  <si>
    <t>SO0577-PD0020</t>
  </si>
  <si>
    <t>SO0577-PD0006</t>
  </si>
  <si>
    <t>SO0596-PD0020</t>
  </si>
  <si>
    <t>SO0596-PD0004</t>
  </si>
  <si>
    <t>SO0596-PD0005</t>
  </si>
  <si>
    <t>SO0596-PD0007</t>
  </si>
  <si>
    <t>SO0597-PD0018</t>
  </si>
  <si>
    <t>SO0597-PD0020</t>
  </si>
  <si>
    <t>SO0597-PD0017</t>
  </si>
  <si>
    <t>SO0597-PD0019</t>
  </si>
  <si>
    <t>SO0603-PD0018</t>
  </si>
  <si>
    <t>SO0603-PD0020</t>
  </si>
  <si>
    <t>SO0607-PD0011</t>
  </si>
  <si>
    <t>SO0607-PD0012</t>
  </si>
  <si>
    <t>SO0615-PD0014</t>
  </si>
  <si>
    <t>SO0615-PD0013</t>
  </si>
  <si>
    <t>SO0620-PD0010</t>
  </si>
  <si>
    <t>SO0620-PD0009</t>
  </si>
  <si>
    <t>SO0621-PD0009</t>
  </si>
  <si>
    <t>SO0621-PD0010</t>
  </si>
  <si>
    <t>SO0622-PD0002</t>
  </si>
  <si>
    <t>SO0622-PD0001</t>
  </si>
  <si>
    <t>SO0632-PD0011</t>
  </si>
  <si>
    <t>SO0632-PD0012</t>
  </si>
  <si>
    <t>SO0642-PD0001</t>
  </si>
  <si>
    <t>SO0642-PD0008</t>
  </si>
  <si>
    <t>SO0646-PD0015</t>
  </si>
  <si>
    <t>SO0646-PD0016</t>
  </si>
  <si>
    <t>SO0650-PD0001</t>
  </si>
  <si>
    <t>SO0650-PD0002</t>
  </si>
  <si>
    <t>SO0652-PD0005</t>
  </si>
  <si>
    <t>SO0652-PD0007</t>
  </si>
  <si>
    <t>SO0657-PD0008</t>
  </si>
  <si>
    <t>SO0657-PD0010</t>
  </si>
  <si>
    <t>SO0659-PD0016</t>
  </si>
  <si>
    <t>SO0659-PD0015</t>
  </si>
  <si>
    <t>SO0661-PD0011</t>
  </si>
  <si>
    <t>SO0661-PD0012</t>
  </si>
  <si>
    <t>SO0662-PD0014</t>
  </si>
  <si>
    <t>SO0662-PD0013</t>
  </si>
  <si>
    <t>SO0662-PD0009</t>
  </si>
  <si>
    <t>SO0662-PD0012</t>
  </si>
  <si>
    <t>SO0666-PD0003</t>
  </si>
  <si>
    <t>SO0666-PD0004</t>
  </si>
  <si>
    <t>SO0669-PD0008</t>
  </si>
  <si>
    <t>SO0669-PD0010</t>
  </si>
  <si>
    <t>SO0675-PD0001</t>
  </si>
  <si>
    <t>SO0675-PD0008</t>
  </si>
  <si>
    <t>SO0677-PD0001</t>
  </si>
  <si>
    <t>SO0677-PD0008</t>
  </si>
  <si>
    <t>SO0678-PD0019</t>
  </si>
  <si>
    <t>SO0678-PD0018</t>
  </si>
  <si>
    <t>SO0684-PD0020</t>
  </si>
  <si>
    <t>SO0684-PD0015</t>
  </si>
  <si>
    <t>SO0684-PD0008</t>
  </si>
  <si>
    <t>SO0684-PD0006</t>
  </si>
  <si>
    <t>SO0686-PD0019</t>
  </si>
  <si>
    <t>SO0686-PD0017</t>
  </si>
  <si>
    <t>SO0688-PD0004</t>
  </si>
  <si>
    <t>SO0688-PD0008</t>
  </si>
  <si>
    <t>SO0693-PD0019</t>
  </si>
  <si>
    <t>SO0693-PD0011</t>
  </si>
  <si>
    <t>SO0695-PD0004</t>
  </si>
  <si>
    <t>SO0695-PD0020</t>
  </si>
  <si>
    <t>SO0699-PD0020</t>
  </si>
  <si>
    <t>SO0699-PD0004</t>
  </si>
  <si>
    <t>SO0703-PD0009</t>
  </si>
  <si>
    <t>SO0703-PD0010</t>
  </si>
  <si>
    <t>SO0704-PD0008</t>
  </si>
  <si>
    <t>SO0704-PD0010</t>
  </si>
  <si>
    <t>SO0704-PD0009</t>
  </si>
  <si>
    <t>SO0721-PD0019</t>
  </si>
  <si>
    <t>SO0721-PD0017</t>
  </si>
  <si>
    <t>SO0725-PD0004</t>
  </si>
  <si>
    <t>SO0725-PD0020</t>
  </si>
  <si>
    <t>SO0726-PD0011</t>
  </si>
  <si>
    <t>SO0726-PD0012</t>
  </si>
  <si>
    <t>SO0727-PD0014</t>
  </si>
  <si>
    <t>SO0727-PD0013</t>
  </si>
  <si>
    <t>SO0729-PD0020</t>
  </si>
  <si>
    <t>SO0729-PD0004</t>
  </si>
  <si>
    <t>SO0733-PD0001</t>
  </si>
  <si>
    <t>SO0733-PD0008</t>
  </si>
  <si>
    <t>SO0740-PD0001</t>
  </si>
  <si>
    <t>SO0740-PD0008</t>
  </si>
  <si>
    <t>SO0742-PD0001</t>
  </si>
  <si>
    <t>SO0742-PD0020</t>
  </si>
  <si>
    <t>SO0750-PD0020</t>
  </si>
  <si>
    <t>SO0750-PD0018</t>
  </si>
  <si>
    <t>SO0751-PD0004</t>
  </si>
  <si>
    <t>SO0751-PD0003</t>
  </si>
  <si>
    <t>SO0752-PD0004</t>
  </si>
  <si>
    <t>SO0752-PD0001</t>
  </si>
  <si>
    <t>SO0754-PD0019</t>
  </si>
  <si>
    <t>SO0754-PD0017</t>
  </si>
  <si>
    <t>SO0763-PD0001</t>
  </si>
  <si>
    <t>SO0763-PD0008</t>
  </si>
  <si>
    <t>SO0764-PD0020</t>
  </si>
  <si>
    <t>SO0764-PD0008</t>
  </si>
  <si>
    <t>SO0772-PD0014</t>
  </si>
  <si>
    <t>SO0772-PD0013</t>
  </si>
  <si>
    <t>SO0773-PD0004</t>
  </si>
  <si>
    <t>SO0773-PD0003</t>
  </si>
  <si>
    <t>SO0775-PD0015</t>
  </si>
  <si>
    <t>SO0775-PD0016</t>
  </si>
  <si>
    <t>SO0779-PD0017</t>
  </si>
  <si>
    <t>SO0779-PD0019</t>
  </si>
  <si>
    <t>SO0788-PD0018</t>
  </si>
  <si>
    <t>SO0788-PD0020</t>
  </si>
  <si>
    <t>SO0794-PD0001</t>
  </si>
  <si>
    <t>SO0794-PD0002</t>
  </si>
  <si>
    <t>SO0796-PD0020</t>
  </si>
  <si>
    <t>SO0796-PD0018</t>
  </si>
  <si>
    <t>SO0798-PD0020</t>
  </si>
  <si>
    <t>SO0798-PD0016</t>
  </si>
  <si>
    <t>SO0799-PD0018</t>
  </si>
  <si>
    <t>SO0799-PD0010</t>
  </si>
  <si>
    <t>SO0803-PD0011</t>
  </si>
  <si>
    <t>SO0803-PD0010</t>
  </si>
  <si>
    <t>SO0808-PD0008</t>
  </si>
  <si>
    <t>SO0808-PD0002</t>
  </si>
  <si>
    <t>SO0818-PD0008</t>
  </si>
  <si>
    <t>SO0818-PD0002</t>
  </si>
  <si>
    <t>SO0824-PD0011</t>
  </si>
  <si>
    <t>SO0824-PD0012</t>
  </si>
  <si>
    <t>SO0825-PD0001</t>
  </si>
  <si>
    <t>SO0825-PD0002</t>
  </si>
  <si>
    <t>SO0830-PD0011</t>
  </si>
  <si>
    <t>SO0830-PD0012</t>
  </si>
  <si>
    <t>SO0832-PD0015</t>
  </si>
  <si>
    <t>SO0832-PD0020</t>
  </si>
  <si>
    <t>SO0838-PD0004</t>
  </si>
  <si>
    <t>SO0838-PD0020</t>
  </si>
  <si>
    <t>SO0844-PD0004</t>
  </si>
  <si>
    <t>SO0844-PD0020</t>
  </si>
  <si>
    <t>SO0852-PD0010</t>
  </si>
  <si>
    <t>SO0852-PD0009</t>
  </si>
  <si>
    <t>SO0854-PD0001</t>
  </si>
  <si>
    <t>SO0854-PD0020</t>
  </si>
  <si>
    <t>SO0855-PD0016</t>
  </si>
  <si>
    <t>SO0855-PD0015</t>
  </si>
  <si>
    <t>SO0860-PD0004</t>
  </si>
  <si>
    <t>SO0860-PD0020</t>
  </si>
  <si>
    <t>SO0862-PD0014</t>
  </si>
  <si>
    <t>SO0862-PD0013</t>
  </si>
  <si>
    <t>SO0866-PD0001</t>
  </si>
  <si>
    <t>SO0866-PD0020</t>
  </si>
  <si>
    <t>SO0866-PD0010</t>
  </si>
  <si>
    <t>SO0866-PD0009</t>
  </si>
  <si>
    <t>SO0866-PD0007</t>
  </si>
  <si>
    <t>SO0866-PD0005</t>
  </si>
  <si>
    <t>SO0868-PD0020</t>
  </si>
  <si>
    <t>SO0868-PD0006</t>
  </si>
  <si>
    <t>SO0880-PD0002</t>
  </si>
  <si>
    <t>SO0880-PD0020</t>
  </si>
  <si>
    <t>SO0881-PD0010</t>
  </si>
  <si>
    <t>SO0881-PD0009</t>
  </si>
  <si>
    <t>SO0892-PD0006</t>
  </si>
  <si>
    <t>SO0892-PD0008</t>
  </si>
  <si>
    <t>SO0897-PD0009</t>
  </si>
  <si>
    <t>SO0897-PD0015</t>
  </si>
  <si>
    <t>SO0899-PD0004</t>
  </si>
  <si>
    <t>SO0899-PD0020</t>
  </si>
  <si>
    <t>SO0901-PD0018</t>
  </si>
  <si>
    <t>SO0901-PD0020</t>
  </si>
  <si>
    <t>SO0901-PD0013</t>
  </si>
  <si>
    <t>SO0901-PD0008</t>
  </si>
  <si>
    <t>SO0902-PD0010</t>
  </si>
  <si>
    <t>SO0902-PD0020</t>
  </si>
  <si>
    <t>SO0903-PD0006</t>
  </si>
  <si>
    <t>SO0903-PD0020</t>
  </si>
  <si>
    <t>SO0906-PD0020</t>
  </si>
  <si>
    <t>SO0906-PD0018</t>
  </si>
  <si>
    <t>SO0907-PD0019</t>
  </si>
  <si>
    <t>SO0907-PD0017</t>
  </si>
  <si>
    <t>SO0911-PD0007</t>
  </si>
  <si>
    <t>SO0911-PD0005</t>
  </si>
  <si>
    <t>SO0913-PD0007</t>
  </si>
  <si>
    <t>SO0913-PD0005</t>
  </si>
  <si>
    <t>SO0920-PD0019</t>
  </si>
  <si>
    <t>SO0920-PD0007</t>
  </si>
  <si>
    <t>SO0922-PD0002</t>
  </si>
  <si>
    <t>SO0922-PD0020</t>
  </si>
  <si>
    <t>SO0927-PD0016</t>
  </si>
  <si>
    <t>SO0927-PD0020</t>
  </si>
  <si>
    <t>SO0938-PD0020</t>
  </si>
  <si>
    <t>SO0938-PD0006</t>
  </si>
  <si>
    <t>SO0942-PD0020</t>
  </si>
  <si>
    <t>SO0942-PD0004</t>
  </si>
  <si>
    <t>SO0945-PD0005</t>
  </si>
  <si>
    <t>SO0945-PD0007</t>
  </si>
  <si>
    <t>SO0948-PD0011</t>
  </si>
  <si>
    <t>SO0948-PD0012</t>
  </si>
  <si>
    <t>SO0952-PD0014</t>
  </si>
  <si>
    <t>SO0952-PD0013</t>
  </si>
  <si>
    <t>SO0962-PD0008</t>
  </si>
  <si>
    <t>SO0962-PD0006</t>
  </si>
  <si>
    <t>SO0965-PD0013</t>
  </si>
  <si>
    <t>SO0965-PD0014</t>
  </si>
  <si>
    <t>SO0973-PD0001</t>
  </si>
  <si>
    <t>SO0973-PD0020</t>
  </si>
  <si>
    <t>SO0978-PD0010</t>
  </si>
  <si>
    <t>SO0978-PD0020</t>
  </si>
  <si>
    <t>SO0979-PD0020</t>
  </si>
  <si>
    <t>SO0979-PD0018</t>
  </si>
  <si>
    <t>SO0992-PD0020</t>
  </si>
  <si>
    <t>SO0992-PD0008</t>
  </si>
  <si>
    <t>SO0998-PD0014</t>
  </si>
  <si>
    <t>SO0998-PD0013</t>
  </si>
  <si>
    <t>SO1002-PD0019</t>
  </si>
  <si>
    <t>SO1002-PD0017</t>
  </si>
  <si>
    <t>SO1003-PD0004</t>
  </si>
  <si>
    <t>SO1003-PD0020</t>
  </si>
  <si>
    <t>SO1004-PD0014</t>
  </si>
  <si>
    <t>SO1004-PD0008</t>
  </si>
  <si>
    <t>SO1011-PD0020</t>
  </si>
  <si>
    <t>SO1011-PD0018</t>
  </si>
  <si>
    <t>SO1013-PD0016</t>
  </si>
  <si>
    <t>SO1013-PD0015</t>
  </si>
  <si>
    <t>SO1018-PD0014</t>
  </si>
  <si>
    <t>SO1018-PD0013</t>
  </si>
  <si>
    <t>SO1027-PD0005</t>
  </si>
  <si>
    <t>SO1027-PD0007</t>
  </si>
  <si>
    <t>Sulawesi, Maluku, North Maluku</t>
  </si>
  <si>
    <t>Bali, East &amp; West Nusa Tenggara</t>
  </si>
  <si>
    <t>Sales Java Region Team</t>
  </si>
  <si>
    <t>Margin per Product
(UnitSalesPrice - UnitBuyerPrice)</t>
  </si>
  <si>
    <t>TotalDue</t>
  </si>
  <si>
    <t>TotalDueCheckCalculation</t>
  </si>
  <si>
    <t>Check for VendorID</t>
  </si>
  <si>
    <t>Check PatnerStoreID</t>
  </si>
  <si>
    <t>Check SalesTeamID</t>
  </si>
  <si>
    <t>Check SalesOrderID</t>
  </si>
  <si>
    <t>Check ProductID</t>
  </si>
  <si>
    <t>Outlier Visualization</t>
  </si>
  <si>
    <t>Master Data Product</t>
  </si>
  <si>
    <t>Master Data Sales Team</t>
  </si>
  <si>
    <t>Data Sales Order</t>
  </si>
  <si>
    <t>Data Order Item</t>
  </si>
  <si>
    <t>Data Invoice</t>
  </si>
  <si>
    <t>Mountain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</si>
</sst>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/mm/yyyy"/>
    <numFmt numFmtId="165" formatCode="[$Rp.]#,##0.00"/>
    <numFmt numFmtId="166" formatCode="&quot;Rp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9" fontId="3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/>
    <xf numFmtId="164" fontId="3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49" fontId="3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49" fontId="4" fillId="0" borderId="1" xfId="0" applyNumberFormat="1" applyFont="1" applyBorder="1"/>
    <xf numFmtId="49" fontId="3" fillId="0" borderId="1" xfId="0" quotePrefix="1" applyNumberFormat="1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left"/>
    </xf>
    <xf numFmtId="49" fontId="5" fillId="0" borderId="0" xfId="0" applyNumberFormat="1" applyFont="1"/>
    <xf numFmtId="49" fontId="6" fillId="0" borderId="1" xfId="0" applyNumberFormat="1" applyFont="1" applyBorder="1"/>
    <xf numFmtId="49" fontId="6" fillId="0" borderId="2" xfId="0" applyNumberFormat="1" applyFont="1" applyBorder="1"/>
    <xf numFmtId="49" fontId="6" fillId="0" borderId="1" xfId="0" quotePrefix="1" applyNumberFormat="1" applyFont="1" applyBorder="1"/>
    <xf numFmtId="2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49" fontId="5" fillId="0" borderId="1" xfId="0" applyNumberFormat="1" applyFont="1" applyBorder="1"/>
    <xf numFmtId="49" fontId="3" fillId="0" borderId="5" xfId="0" applyNumberFormat="1" applyFont="1" applyBorder="1"/>
    <xf numFmtId="166" fontId="5" fillId="0" borderId="4" xfId="0" applyNumberFormat="1" applyFont="1" applyBorder="1"/>
    <xf numFmtId="166" fontId="5" fillId="0" borderId="1" xfId="0" applyNumberFormat="1" applyFont="1" applyBorder="1"/>
    <xf numFmtId="0" fontId="2" fillId="0" borderId="6" xfId="0" applyFont="1" applyBorder="1"/>
    <xf numFmtId="0" fontId="7" fillId="0" borderId="6" xfId="0" applyFont="1" applyBorder="1"/>
    <xf numFmtId="10" fontId="1" fillId="0" borderId="0" xfId="0" applyNumberFormat="1" applyFont="1"/>
    <xf numFmtId="2" fontId="5" fillId="0" borderId="1" xfId="0" applyNumberFormat="1" applyFont="1" applyBorder="1"/>
    <xf numFmtId="166" fontId="3" fillId="0" borderId="6" xfId="0" applyNumberFormat="1" applyFont="1" applyBorder="1"/>
    <xf numFmtId="166" fontId="5" fillId="0" borderId="6" xfId="0" applyNumberFormat="1" applyFont="1" applyBorder="1"/>
    <xf numFmtId="49" fontId="3" fillId="0" borderId="6" xfId="0" applyNumberFormat="1" applyFont="1" applyBorder="1"/>
    <xf numFmtId="49" fontId="3" fillId="0" borderId="1" xfId="0" applyNumberFormat="1" applyFont="1" applyBorder="1" applyAlignment="1">
      <alignment horizontal="center"/>
    </xf>
    <xf numFmtId="166" fontId="0" fillId="0" borderId="0" xfId="0" applyNumberFormat="1"/>
    <xf numFmtId="166" fontId="5" fillId="0" borderId="0" xfId="0" applyNumberFormat="1" applyFont="1"/>
    <xf numFmtId="9" fontId="3" fillId="0" borderId="4" xfId="0" applyNumberFormat="1" applyFont="1" applyBorder="1"/>
    <xf numFmtId="0" fontId="2" fillId="0" borderId="3" xfId="0" applyFont="1" applyBorder="1" applyAlignment="1">
      <alignment horizontal="center" wrapText="1"/>
    </xf>
    <xf numFmtId="49" fontId="3" fillId="0" borderId="0" xfId="0" applyNumberFormat="1" applyFont="1"/>
    <xf numFmtId="49" fontId="3" fillId="0" borderId="7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Bar</a:t>
            </a:r>
            <a:r>
              <a:rPr lang="en-ID" baseline="0"/>
              <a:t> Chart for TotalProspect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Team'!$B$1:$B$6</c:f>
              <c:strCache>
                <c:ptCount val="6"/>
                <c:pt idx="0">
                  <c:v>SalesTeamName</c:v>
                </c:pt>
                <c:pt idx="1">
                  <c:v>Online Sales Team</c:v>
                </c:pt>
                <c:pt idx="2">
                  <c:v>Sales Java Region Team</c:v>
                </c:pt>
                <c:pt idx="3">
                  <c:v>Sales Sumatera -Kalimantan Region Team</c:v>
                </c:pt>
                <c:pt idx="4">
                  <c:v>Sales Region Sulawesi - Maluku Team</c:v>
                </c:pt>
                <c:pt idx="5">
                  <c:v>Sales Region Bali - Nusa Tenggara 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Team'!$B$2:$B$6</c:f>
              <c:strCache>
                <c:ptCount val="5"/>
                <c:pt idx="0">
                  <c:v>Online Sales Team</c:v>
                </c:pt>
                <c:pt idx="1">
                  <c:v>Sales Java Region Team</c:v>
                </c:pt>
                <c:pt idx="2">
                  <c:v>Sales Sumatera -Kalimantan Region Team</c:v>
                </c:pt>
                <c:pt idx="3">
                  <c:v>Sales Region Sulawesi - Maluku Team</c:v>
                </c:pt>
                <c:pt idx="4">
                  <c:v>Sales Region Bali - Nusa Tenggara Team</c:v>
                </c:pt>
              </c:strCache>
            </c:strRef>
          </c:cat>
          <c:val>
            <c:numRef>
              <c:f>'Sales Team'!$E$2:$E$6</c:f>
              <c:numCache>
                <c:formatCode>0.00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12</c:v>
                </c:pt>
                <c:pt idx="3">
                  <c:v>16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38-471F-BF1B-710260A7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885680"/>
        <c:axId val="1628886160"/>
      </c:barChart>
      <c:catAx>
        <c:axId val="162888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86160"/>
        <c:crosses val="autoZero"/>
        <c:auto val="1"/>
        <c:lblAlgn val="ctr"/>
        <c:lblOffset val="100"/>
        <c:noMultiLvlLbl val="0"/>
      </c:catAx>
      <c:valAx>
        <c:axId val="16288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8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ID" sz="1200" i="1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UnitSalesPrice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A1C03FC8-5B4B-47BA-B8F2-215E6AA6C4D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ID" sz="1200" i="1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UnitBuyPrice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D91FE7A6-C159-4E62-AFB8-104DB639F94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Box and Whisker Plot for Quantity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1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Box and Whisker Plot for Quantity</a:t>
          </a:r>
        </a:p>
      </cx:txPr>
    </cx:title>
    <cx:plotArea>
      <cx:plotAreaRegion>
        <cx:series layoutId="boxWhisker" uniqueId="{E5CCF900-84D3-4EDC-BA97-FBAD973D6C3E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Box and Whisker Plot for DiscountProduct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1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Box and Whisker Plot for DiscountProduct</a:t>
          </a:r>
        </a:p>
      </cx:txPr>
    </cx:title>
    <cx:plotArea>
      <cx:plotAreaRegion>
        <cx:series layoutId="boxWhisker" uniqueId="{055E6990-0108-4752-9443-E087EE623E9D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TotalProspect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EA1FD824-3811-44C8-BFF7-36BE0A8AFEB1}" formatIdx="1"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TotalOrderTransaction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8267E2FA-977A-4321-B41F-9B55896A3790}">
          <cx:tx>
            <cx:txData>
              <cx:f>_xlchart.v1.4</cx:f>
              <cx:v>TotalOrderTransaction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QuantityOrder per product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30B9B9DA-BD80-47CE-9605-D2BAAF48A2E2}">
          <cx:tx>
            <cx:txData>
              <cx:f>_xlchart.v1.12</cx:f>
              <cx:v>QuantityOrder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DiscountOrder per product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/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ItemTotal per product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686D0750-E770-4409-A67A-20FBD2E324C1}">
          <cx:tx>
            <cx:txData>
              <cx:f>_xlchart.v1.9</cx:f>
              <cx:v>ItemTotal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ShippingCost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C060B4CD-EA3D-46C5-85AF-C76ADAD970A7}">
          <cx:tx>
            <cx:txData>
              <cx:f>_xlchart.v1.20</cx:f>
              <cx:v>ShippingCost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Box and Whisker Plot for TotalDue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boxWhisker" uniqueId="{0BBEE6E0-FCC7-47F4-805C-92725EE8A4B3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Histogram for data field UnitSalesPrice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UnitSalesPrice</a:t>
          </a:r>
        </a:p>
      </cx:txPr>
    </cx:title>
    <cx:plotArea>
      <cx:plotAreaRegion>
        <cx:series layoutId="clusteredColumn" uniqueId="{F4D76632-2416-42BD-90AE-A6A8136D862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Histogram for data field UnitBuyerPrice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UnitBuyerPrice</a:t>
          </a:r>
        </a:p>
      </cx:txPr>
    </cx:title>
    <cx:plotArea>
      <cx:plotAreaRegion>
        <cx:series layoutId="clusteredColumn" uniqueId="{15C4675A-94C7-497A-9275-3A4453C0318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txData>
          <cx:v>Histogram for data field Quantity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Quantity</a:t>
          </a:r>
        </a:p>
      </cx:txPr>
    </cx:title>
    <cx:plotArea>
      <cx:plotAreaRegion>
        <cx:series layoutId="clusteredColumn" uniqueId="{D4EC92F3-177E-4315-B2E7-039B2FC9D96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Histogram for data field DiscountProduct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DiscountProduct</a:t>
          </a:r>
        </a:p>
      </cx:txPr>
    </cx:title>
    <cx:plotArea>
      <cx:plotAreaRegion>
        <cx:series layoutId="clusteredColumn" uniqueId="{7895C2AF-1407-4F87-9CD7-CA298BC6672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Histogram for data field TotalOrderTransaction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A5E0A003-50DA-4A68-8614-ED2C316D4E22}">
          <cx:dataId val="0"/>
          <cx:layoutPr>
            <cx:binning intervalClosed="r" und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Histogram for data field QuantityOrder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1D450E2A-623A-4DC0-8993-EACA6166B5E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Histogram for data field DiscountOrder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/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Histogram for data field ItemTotal</a:t>
            </a:r>
            <a:endParaRPr lang="en-ID" sz="12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F3D1C434-43B4-4105-88B7-4F543D9F65C6}" formatIdx="0">
          <cx:tx>
            <cx:txData>
              <cx:f>_xlchart.v1.27</cx:f>
              <cx:v>ItemTotal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Histogram for data field ShippingCost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ShippingCost</a:t>
          </a:r>
        </a:p>
      </cx:txPr>
    </cx:title>
    <cx:plotArea>
      <cx:plotAreaRegion>
        <cx:series layoutId="clusteredColumn" uniqueId="{B2BD15C1-DDD6-40E7-92C2-7D273AC701E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Histogram for data field TotalDue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for data field TotalDue</a:t>
          </a:r>
        </a:p>
      </cx:txPr>
    </cx:title>
    <cx:plotArea>
      <cx:plotAreaRegion>
        <cx:series layoutId="clusteredColumn" uniqueId="{A0D881BB-7790-4249-A52F-C9343F902F0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8.xml"/><Relationship Id="rId3" Type="http://schemas.microsoft.com/office/2014/relationships/chartEx" Target="../charts/chartEx14.xml"/><Relationship Id="rId7" Type="http://schemas.microsoft.com/office/2014/relationships/chartEx" Target="../charts/chartEx17.xml"/><Relationship Id="rId2" Type="http://schemas.microsoft.com/office/2014/relationships/chartEx" Target="../charts/chartEx13.xml"/><Relationship Id="rId1" Type="http://schemas.microsoft.com/office/2014/relationships/chartEx" Target="../charts/chartEx12.xml"/><Relationship Id="rId6" Type="http://schemas.microsoft.com/office/2014/relationships/chartEx" Target="../charts/chartEx16.xml"/><Relationship Id="rId11" Type="http://schemas.microsoft.com/office/2014/relationships/chartEx" Target="../charts/chartEx21.xml"/><Relationship Id="rId5" Type="http://schemas.openxmlformats.org/officeDocument/2006/relationships/chart" Target="../charts/chart1.xml"/><Relationship Id="rId10" Type="http://schemas.microsoft.com/office/2014/relationships/chartEx" Target="../charts/chartEx20.xml"/><Relationship Id="rId4" Type="http://schemas.microsoft.com/office/2014/relationships/chartEx" Target="../charts/chartEx15.xml"/><Relationship Id="rId9" Type="http://schemas.microsoft.com/office/2014/relationships/chartEx" Target="../charts/chartEx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30480</xdr:rowOff>
    </xdr:from>
    <xdr:to>
      <xdr:col>8</xdr:col>
      <xdr:colOff>579120</xdr:colOff>
      <xdr:row>22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FF7AEC-1021-4101-96AF-3871D9DFE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9120"/>
              <a:ext cx="5455920" cy="3451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15240</xdr:colOff>
      <xdr:row>3</xdr:row>
      <xdr:rowOff>34290</xdr:rowOff>
    </xdr:from>
    <xdr:to>
      <xdr:col>17</xdr:col>
      <xdr:colOff>190500</xdr:colOff>
      <xdr:row>22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B4C2C28-ACFB-0D65-6DEB-DEE471CBF4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1640" y="582930"/>
              <a:ext cx="5052060" cy="344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22</xdr:row>
      <xdr:rowOff>179070</xdr:rowOff>
    </xdr:from>
    <xdr:to>
      <xdr:col>8</xdr:col>
      <xdr:colOff>601980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8A6ACB2-9EB3-F14E-953F-CA709CFC9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02430"/>
              <a:ext cx="5478780" cy="3387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7620</xdr:colOff>
      <xdr:row>23</xdr:row>
      <xdr:rowOff>26670</xdr:rowOff>
    </xdr:from>
    <xdr:to>
      <xdr:col>18</xdr:col>
      <xdr:colOff>0</xdr:colOff>
      <xdr:row>41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D83ACD4-8D37-6EAB-96A7-DBADFCAEB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4020" y="4232910"/>
              <a:ext cx="5478780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44</xdr:row>
      <xdr:rowOff>11430</xdr:rowOff>
    </xdr:from>
    <xdr:to>
      <xdr:col>8</xdr:col>
      <xdr:colOff>594360</xdr:colOff>
      <xdr:row>64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B35E9CB-39CC-8D81-4C5F-E3AA64D4DE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058150"/>
              <a:ext cx="5471160" cy="3745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67</xdr:row>
      <xdr:rowOff>22860</xdr:rowOff>
    </xdr:from>
    <xdr:to>
      <xdr:col>8</xdr:col>
      <xdr:colOff>594360</xdr:colOff>
      <xdr:row>85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43E81BE-0880-4C16-B3A2-A9916050A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275820"/>
              <a:ext cx="5471160" cy="3322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87</xdr:row>
      <xdr:rowOff>34290</xdr:rowOff>
    </xdr:from>
    <xdr:to>
      <xdr:col>8</xdr:col>
      <xdr:colOff>586740</xdr:colOff>
      <xdr:row>105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56BF07C-DC8D-D9D5-70AD-2378D3559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44850"/>
              <a:ext cx="5463540" cy="3303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22860</xdr:colOff>
      <xdr:row>87</xdr:row>
      <xdr:rowOff>11430</xdr:rowOff>
    </xdr:from>
    <xdr:to>
      <xdr:col>17</xdr:col>
      <xdr:colOff>0</xdr:colOff>
      <xdr:row>105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0C370F9-8F2C-9386-BD2F-C814606EA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9260" y="15921990"/>
              <a:ext cx="4853940" cy="3310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106</xdr:row>
      <xdr:rowOff>3810</xdr:rowOff>
    </xdr:from>
    <xdr:to>
      <xdr:col>8</xdr:col>
      <xdr:colOff>601980</xdr:colOff>
      <xdr:row>124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AFB29072-474B-228E-8103-2539A1A4F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389090"/>
              <a:ext cx="5478780" cy="3440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127</xdr:row>
      <xdr:rowOff>19050</xdr:rowOff>
    </xdr:from>
    <xdr:to>
      <xdr:col>8</xdr:col>
      <xdr:colOff>586740</xdr:colOff>
      <xdr:row>145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F955589-C7A4-CE7B-9335-4B08D6240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244810"/>
              <a:ext cx="5463540" cy="327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7620</xdr:colOff>
      <xdr:row>127</xdr:row>
      <xdr:rowOff>19050</xdr:rowOff>
    </xdr:from>
    <xdr:to>
      <xdr:col>17</xdr:col>
      <xdr:colOff>472440</xdr:colOff>
      <xdr:row>144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3E8D020C-F545-7AEF-BD83-E451C8EA8E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4020" y="23244810"/>
              <a:ext cx="5341620" cy="3265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26670</xdr:rowOff>
    </xdr:from>
    <xdr:to>
      <xdr:col>6</xdr:col>
      <xdr:colOff>601980</xdr:colOff>
      <xdr:row>16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19F2DB-B0AF-1A88-AE3B-4D198CD8BD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9550"/>
              <a:ext cx="4259580" cy="2853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</xdr:row>
      <xdr:rowOff>7620</xdr:rowOff>
    </xdr:from>
    <xdr:to>
      <xdr:col>13</xdr:col>
      <xdr:colOff>586740</xdr:colOff>
      <xdr:row>16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EF67494-8534-42C5-B497-B5BD7BDF92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90500"/>
              <a:ext cx="4244340" cy="2887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18</xdr:row>
      <xdr:rowOff>0</xdr:rowOff>
    </xdr:from>
    <xdr:to>
      <xdr:col>6</xdr:col>
      <xdr:colOff>586740</xdr:colOff>
      <xdr:row>33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A9FC5EF-987F-43CF-9E3E-D93C203164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91840"/>
              <a:ext cx="4244340" cy="2887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586740</xdr:colOff>
      <xdr:row>33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2D0BCD0-7D75-49F2-A51E-78884447E2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3291840"/>
              <a:ext cx="4244340" cy="2887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36</xdr:row>
      <xdr:rowOff>3810</xdr:rowOff>
    </xdr:from>
    <xdr:to>
      <xdr:col>7</xdr:col>
      <xdr:colOff>304800</xdr:colOff>
      <xdr:row>51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C77876-9415-4A3A-1A6B-7FEEDE56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53</xdr:row>
      <xdr:rowOff>19050</xdr:rowOff>
    </xdr:from>
    <xdr:to>
      <xdr:col>7</xdr:col>
      <xdr:colOff>304800</xdr:colOff>
      <xdr:row>68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3B0F582-99E2-B1AB-FE30-3F2141033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1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70</xdr:row>
      <xdr:rowOff>0</xdr:rowOff>
    </xdr:from>
    <xdr:to>
      <xdr:col>7</xdr:col>
      <xdr:colOff>304800</xdr:colOff>
      <xdr:row>85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EFC53BB-4BA2-44B6-9E8B-C89359188D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801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70</xdr:row>
      <xdr:rowOff>0</xdr:rowOff>
    </xdr:from>
    <xdr:to>
      <xdr:col>15</xdr:col>
      <xdr:colOff>304800</xdr:colOff>
      <xdr:row>85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8EC29C8-2523-4ADC-95B2-22E7287E93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12801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472440</xdr:colOff>
      <xdr:row>105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4160BDC-98C4-4EDB-93D5-333BA2F80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727680"/>
              <a:ext cx="6568440" cy="3566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107</xdr:row>
      <xdr:rowOff>15240</xdr:rowOff>
    </xdr:from>
    <xdr:to>
      <xdr:col>8</xdr:col>
      <xdr:colOff>22860</xdr:colOff>
      <xdr:row>124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E1F5422-43EC-4941-98AF-4C65103CBB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583400"/>
              <a:ext cx="4899660" cy="3208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107</xdr:row>
      <xdr:rowOff>0</xdr:rowOff>
    </xdr:from>
    <xdr:to>
      <xdr:col>17</xdr:col>
      <xdr:colOff>22860</xdr:colOff>
      <xdr:row>124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C61680E1-8407-44ED-9F31-1E6F8F4CC1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9568160"/>
              <a:ext cx="4899660" cy="3208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nekasport@ne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67E9-BD44-4A11-A32D-6C01696D2912}">
  <dimension ref="A1:A127"/>
  <sheetViews>
    <sheetView topLeftCell="A125" workbookViewId="0">
      <selection activeCell="J149" sqref="J149"/>
    </sheetView>
  </sheetViews>
  <sheetFormatPr defaultRowHeight="14.4" x14ac:dyDescent="0.3"/>
  <sheetData>
    <row r="1" spans="1:1" x14ac:dyDescent="0.3">
      <c r="A1" t="s">
        <v>5779</v>
      </c>
    </row>
    <row r="3" spans="1:1" x14ac:dyDescent="0.3">
      <c r="A3" t="s">
        <v>5780</v>
      </c>
    </row>
    <row r="44" spans="1:1" x14ac:dyDescent="0.3">
      <c r="A44" t="s">
        <v>5781</v>
      </c>
    </row>
    <row r="67" spans="1:1" x14ac:dyDescent="0.3">
      <c r="A67" t="s">
        <v>5782</v>
      </c>
    </row>
    <row r="87" spans="1:1" x14ac:dyDescent="0.3">
      <c r="A87" t="s">
        <v>5783</v>
      </c>
    </row>
    <row r="127" spans="1:1" x14ac:dyDescent="0.3">
      <c r="A127" t="s">
        <v>5784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D3A4-9A75-4334-8FFC-EBD5D02E62FC}">
  <dimension ref="A1:A107"/>
  <sheetViews>
    <sheetView topLeftCell="A100" workbookViewId="0">
      <selection activeCell="J108" sqref="J108"/>
    </sheetView>
  </sheetViews>
  <sheetFormatPr defaultRowHeight="14.4" x14ac:dyDescent="0.3"/>
  <sheetData>
    <row r="1" spans="1:1" x14ac:dyDescent="0.3">
      <c r="A1" t="s">
        <v>5780</v>
      </c>
    </row>
    <row r="36" spans="1:1" x14ac:dyDescent="0.3">
      <c r="A36" t="s">
        <v>5781</v>
      </c>
    </row>
    <row r="53" spans="1:1" x14ac:dyDescent="0.3">
      <c r="A53" t="s">
        <v>5782</v>
      </c>
    </row>
    <row r="70" spans="1:1" x14ac:dyDescent="0.3">
      <c r="A70" t="s">
        <v>5783</v>
      </c>
    </row>
    <row r="107" spans="1:1" x14ac:dyDescent="0.3">
      <c r="A107" t="s">
        <v>5784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D1" workbookViewId="0">
      <selection activeCell="D23" sqref="D23"/>
    </sheetView>
  </sheetViews>
  <sheetFormatPr defaultColWidth="14.44140625" defaultRowHeight="15" customHeight="1" x14ac:dyDescent="0.3"/>
  <cols>
    <col min="1" max="1" width="12.6640625" customWidth="1"/>
    <col min="2" max="2" width="12.109375" customWidth="1"/>
    <col min="3" max="3" width="44.77734375" bestFit="1" customWidth="1"/>
    <col min="4" max="4" width="23.5546875" customWidth="1"/>
    <col min="5" max="5" width="18" hidden="1" customWidth="1"/>
    <col min="6" max="6" width="19.44140625" bestFit="1" customWidth="1"/>
    <col min="7" max="7" width="15.33203125" customWidth="1"/>
    <col min="8" max="8" width="22" bestFit="1" customWidth="1"/>
    <col min="9" max="9" width="11.6640625" customWidth="1"/>
    <col min="10" max="10" width="13.33203125" customWidth="1"/>
    <col min="11" max="11" width="18.44140625" customWidth="1"/>
    <col min="12" max="12" width="90.5546875" customWidth="1"/>
    <col min="13" max="27" width="8.6640625" customWidth="1"/>
  </cols>
  <sheetData>
    <row r="1" spans="1:12" ht="43.2" x14ac:dyDescent="0.3">
      <c r="A1" s="47" t="s">
        <v>0</v>
      </c>
      <c r="B1" s="47" t="s">
        <v>15</v>
      </c>
      <c r="C1" s="47" t="s">
        <v>5774</v>
      </c>
      <c r="D1" s="47" t="s">
        <v>3</v>
      </c>
      <c r="E1" s="47" t="s">
        <v>5</v>
      </c>
      <c r="F1" s="13" t="s">
        <v>16</v>
      </c>
      <c r="G1" s="13" t="s">
        <v>10</v>
      </c>
      <c r="H1" s="48" t="s">
        <v>5771</v>
      </c>
      <c r="I1" s="1" t="s">
        <v>6</v>
      </c>
      <c r="J1" s="1" t="s">
        <v>17</v>
      </c>
      <c r="K1" s="1" t="s">
        <v>18</v>
      </c>
      <c r="L1" s="1" t="s">
        <v>13</v>
      </c>
    </row>
    <row r="2" spans="1:12" ht="14.4" x14ac:dyDescent="0.3">
      <c r="A2" s="17" t="s">
        <v>19</v>
      </c>
      <c r="B2" s="17" t="s">
        <v>20</v>
      </c>
      <c r="C2" s="50" t="str">
        <f>VLOOKUP(B2,Vendor!A$2:B$4,1,0)</f>
        <v>VD0002</v>
      </c>
      <c r="D2" s="17" t="s">
        <v>21</v>
      </c>
      <c r="E2" s="17" t="s">
        <v>22</v>
      </c>
      <c r="F2" s="18">
        <v>249000</v>
      </c>
      <c r="G2" s="18">
        <v>180000</v>
      </c>
      <c r="H2" s="18">
        <f>F2-G2</f>
        <v>69000</v>
      </c>
      <c r="I2" s="19">
        <v>12547</v>
      </c>
      <c r="J2" s="17" t="s">
        <v>23</v>
      </c>
      <c r="K2" s="4">
        <v>0.3</v>
      </c>
      <c r="L2" s="17" t="s">
        <v>24</v>
      </c>
    </row>
    <row r="3" spans="1:12" ht="14.4" x14ac:dyDescent="0.3">
      <c r="A3" s="17" t="s">
        <v>25</v>
      </c>
      <c r="B3" s="17" t="s">
        <v>20</v>
      </c>
      <c r="C3" s="50" t="str">
        <f>VLOOKUP(B3,Vendor!A$2:B$4,1,0)</f>
        <v>VD0002</v>
      </c>
      <c r="D3" s="17" t="s">
        <v>26</v>
      </c>
      <c r="E3" s="17" t="s">
        <v>22</v>
      </c>
      <c r="F3" s="18">
        <v>20000</v>
      </c>
      <c r="G3" s="18">
        <v>14000</v>
      </c>
      <c r="H3" s="18">
        <f t="shared" ref="H3:H21" si="0">F3-G3</f>
        <v>6000</v>
      </c>
      <c r="I3" s="19">
        <v>14769</v>
      </c>
      <c r="J3" s="17" t="s">
        <v>27</v>
      </c>
      <c r="K3" s="4">
        <v>0.1</v>
      </c>
      <c r="L3" s="17"/>
    </row>
    <row r="4" spans="1:12" ht="14.4" x14ac:dyDescent="0.3">
      <c r="A4" s="17" t="s">
        <v>28</v>
      </c>
      <c r="B4" s="17" t="s">
        <v>29</v>
      </c>
      <c r="C4" s="50" t="str">
        <f>VLOOKUP(B4,Vendor!A$2:B$4,1,0)</f>
        <v>VD0003</v>
      </c>
      <c r="D4" s="17" t="s">
        <v>30</v>
      </c>
      <c r="E4" s="17" t="s">
        <v>31</v>
      </c>
      <c r="F4" s="18">
        <v>931000</v>
      </c>
      <c r="G4" s="18">
        <v>785000</v>
      </c>
      <c r="H4" s="18">
        <f t="shared" si="0"/>
        <v>146000</v>
      </c>
      <c r="I4" s="19">
        <v>5654</v>
      </c>
      <c r="J4" s="17" t="s">
        <v>27</v>
      </c>
      <c r="K4" s="4">
        <v>0.2</v>
      </c>
      <c r="L4" s="17" t="s">
        <v>32</v>
      </c>
    </row>
    <row r="5" spans="1:12" ht="14.4" x14ac:dyDescent="0.3">
      <c r="A5" s="17" t="s">
        <v>33</v>
      </c>
      <c r="B5" s="17" t="s">
        <v>29</v>
      </c>
      <c r="C5" s="50" t="str">
        <f>VLOOKUP(B5,Vendor!A$2:B$4,1,0)</f>
        <v>VD0003</v>
      </c>
      <c r="D5" s="17" t="s">
        <v>34</v>
      </c>
      <c r="E5" s="17" t="s">
        <v>31</v>
      </c>
      <c r="F5" s="18">
        <v>220000</v>
      </c>
      <c r="G5" s="18">
        <v>175000</v>
      </c>
      <c r="H5" s="18">
        <f t="shared" si="0"/>
        <v>45000</v>
      </c>
      <c r="I5" s="19">
        <v>3275</v>
      </c>
      <c r="J5" s="17" t="s">
        <v>27</v>
      </c>
      <c r="K5" s="4">
        <v>0.25</v>
      </c>
      <c r="L5" s="17"/>
    </row>
    <row r="6" spans="1:12" ht="14.4" x14ac:dyDescent="0.3">
      <c r="A6" s="17" t="s">
        <v>35</v>
      </c>
      <c r="B6" s="17" t="s">
        <v>36</v>
      </c>
      <c r="C6" s="50" t="str">
        <f>VLOOKUP(B6,Vendor!A$2:B$4,1,0)</f>
        <v>VD0001</v>
      </c>
      <c r="D6" s="17" t="s">
        <v>37</v>
      </c>
      <c r="E6" s="17" t="s">
        <v>38</v>
      </c>
      <c r="F6" s="18">
        <v>2195000</v>
      </c>
      <c r="G6" s="18">
        <v>1785000</v>
      </c>
      <c r="H6" s="18">
        <f t="shared" si="0"/>
        <v>410000</v>
      </c>
      <c r="I6" s="19">
        <v>3431</v>
      </c>
      <c r="J6" s="17" t="s">
        <v>27</v>
      </c>
      <c r="K6" s="4">
        <v>0.2</v>
      </c>
      <c r="L6" s="17" t="s">
        <v>39</v>
      </c>
    </row>
    <row r="7" spans="1:12" ht="14.4" x14ac:dyDescent="0.3">
      <c r="A7" s="17" t="s">
        <v>40</v>
      </c>
      <c r="B7" s="17" t="s">
        <v>36</v>
      </c>
      <c r="C7" s="50" t="str">
        <f>VLOOKUP(B7,Vendor!A$2:B$4,1,0)</f>
        <v>VD0001</v>
      </c>
      <c r="D7" s="17" t="s">
        <v>41</v>
      </c>
      <c r="E7" s="17" t="s">
        <v>38</v>
      </c>
      <c r="F7" s="18">
        <v>209000</v>
      </c>
      <c r="G7" s="18">
        <v>195000</v>
      </c>
      <c r="H7" s="18">
        <f t="shared" si="0"/>
        <v>14000</v>
      </c>
      <c r="I7" s="19">
        <v>8123</v>
      </c>
      <c r="J7" s="17" t="s">
        <v>23</v>
      </c>
      <c r="K7" s="4">
        <v>0.2</v>
      </c>
      <c r="L7" s="17" t="s">
        <v>42</v>
      </c>
    </row>
    <row r="8" spans="1:12" ht="14.4" x14ac:dyDescent="0.3">
      <c r="A8" s="17" t="s">
        <v>43</v>
      </c>
      <c r="B8" s="17" t="s">
        <v>36</v>
      </c>
      <c r="C8" s="50" t="str">
        <f>VLOOKUP(B8,Vendor!A$2:B$4,1,0)</f>
        <v>VD0001</v>
      </c>
      <c r="D8" s="17" t="s">
        <v>44</v>
      </c>
      <c r="E8" s="17" t="s">
        <v>38</v>
      </c>
      <c r="F8" s="18">
        <v>3200000</v>
      </c>
      <c r="G8" s="18">
        <v>2800000</v>
      </c>
      <c r="H8" s="18">
        <f t="shared" si="0"/>
        <v>400000</v>
      </c>
      <c r="I8" s="19">
        <v>2288</v>
      </c>
      <c r="J8" s="17" t="s">
        <v>27</v>
      </c>
      <c r="K8" s="4">
        <v>0.2</v>
      </c>
      <c r="L8" s="17"/>
    </row>
    <row r="9" spans="1:12" ht="14.4" x14ac:dyDescent="0.3">
      <c r="A9" s="17" t="s">
        <v>45</v>
      </c>
      <c r="B9" s="17" t="s">
        <v>20</v>
      </c>
      <c r="C9" s="50" t="str">
        <f>VLOOKUP(B9,Vendor!A$2:B$4,1,0)</f>
        <v>VD0002</v>
      </c>
      <c r="D9" s="17" t="s">
        <v>46</v>
      </c>
      <c r="E9" s="17" t="s">
        <v>47</v>
      </c>
      <c r="F9" s="18">
        <v>149000</v>
      </c>
      <c r="G9" s="18">
        <v>118000</v>
      </c>
      <c r="H9" s="18">
        <f t="shared" si="0"/>
        <v>31000</v>
      </c>
      <c r="I9" s="19">
        <v>11023</v>
      </c>
      <c r="J9" s="17" t="s">
        <v>27</v>
      </c>
      <c r="K9" s="4">
        <v>0.15</v>
      </c>
      <c r="L9" s="17"/>
    </row>
    <row r="10" spans="1:12" ht="14.4" x14ac:dyDescent="0.3">
      <c r="A10" s="17" t="s">
        <v>48</v>
      </c>
      <c r="B10" s="17" t="s">
        <v>20</v>
      </c>
      <c r="C10" s="50" t="str">
        <f>VLOOKUP(B10,Vendor!A$2:B$4,1,0)</f>
        <v>VD0002</v>
      </c>
      <c r="D10" s="17" t="s">
        <v>49</v>
      </c>
      <c r="E10" s="17" t="s">
        <v>50</v>
      </c>
      <c r="F10" s="18">
        <v>129000</v>
      </c>
      <c r="G10" s="18">
        <v>105000</v>
      </c>
      <c r="H10" s="18">
        <f t="shared" si="0"/>
        <v>24000</v>
      </c>
      <c r="I10" s="19">
        <v>1418</v>
      </c>
      <c r="J10" s="17" t="s">
        <v>27</v>
      </c>
      <c r="K10" s="4">
        <v>0.15</v>
      </c>
      <c r="L10" s="17" t="s">
        <v>51</v>
      </c>
    </row>
    <row r="11" spans="1:12" ht="14.4" x14ac:dyDescent="0.3">
      <c r="A11" s="17" t="s">
        <v>52</v>
      </c>
      <c r="B11" s="17" t="s">
        <v>20</v>
      </c>
      <c r="C11" s="50" t="str">
        <f>VLOOKUP(B11,Vendor!A$2:B$4,1,0)</f>
        <v>VD0002</v>
      </c>
      <c r="D11" s="17" t="s">
        <v>53</v>
      </c>
      <c r="E11" s="17" t="s">
        <v>50</v>
      </c>
      <c r="F11" s="18">
        <v>325000</v>
      </c>
      <c r="G11" s="18">
        <v>250000</v>
      </c>
      <c r="H11" s="18">
        <f t="shared" si="0"/>
        <v>75000</v>
      </c>
      <c r="I11" s="19">
        <v>3361</v>
      </c>
      <c r="J11" s="17" t="s">
        <v>27</v>
      </c>
      <c r="K11" s="4">
        <v>0.25</v>
      </c>
      <c r="L11" s="17" t="s">
        <v>54</v>
      </c>
    </row>
    <row r="12" spans="1:12" ht="14.4" x14ac:dyDescent="0.3">
      <c r="A12" s="17" t="s">
        <v>55</v>
      </c>
      <c r="B12" s="17" t="s">
        <v>29</v>
      </c>
      <c r="C12" s="50" t="str">
        <f>VLOOKUP(B12,Vendor!A$2:B$4,1,0)</f>
        <v>VD0003</v>
      </c>
      <c r="D12" s="17" t="s">
        <v>5785</v>
      </c>
      <c r="E12" s="17" t="s">
        <v>56</v>
      </c>
      <c r="F12" s="18">
        <v>2359000</v>
      </c>
      <c r="G12" s="18">
        <v>2000000</v>
      </c>
      <c r="H12" s="18">
        <f t="shared" si="0"/>
        <v>359000</v>
      </c>
      <c r="I12" s="19">
        <v>2393</v>
      </c>
      <c r="J12" s="17" t="s">
        <v>27</v>
      </c>
      <c r="K12" s="4">
        <v>0.2</v>
      </c>
      <c r="L12" s="17" t="s">
        <v>57</v>
      </c>
    </row>
    <row r="13" spans="1:12" ht="14.4" x14ac:dyDescent="0.3">
      <c r="A13" s="17" t="s">
        <v>58</v>
      </c>
      <c r="B13" s="17" t="s">
        <v>29</v>
      </c>
      <c r="C13" s="50" t="str">
        <f>VLOOKUP(B13,Vendor!A$2:B$4,1,0)</f>
        <v>VD0003</v>
      </c>
      <c r="D13" s="17" t="s">
        <v>59</v>
      </c>
      <c r="E13" s="17" t="s">
        <v>56</v>
      </c>
      <c r="F13" s="18">
        <v>5639000</v>
      </c>
      <c r="G13" s="18">
        <v>4800000</v>
      </c>
      <c r="H13" s="18">
        <f t="shared" si="0"/>
        <v>839000</v>
      </c>
      <c r="I13" s="19">
        <v>2710</v>
      </c>
      <c r="J13" s="17" t="s">
        <v>27</v>
      </c>
      <c r="K13" s="4">
        <v>0.2</v>
      </c>
      <c r="L13" s="17" t="s">
        <v>60</v>
      </c>
    </row>
    <row r="14" spans="1:12" ht="14.4" x14ac:dyDescent="0.3">
      <c r="A14" s="17" t="s">
        <v>61</v>
      </c>
      <c r="B14" s="17" t="s">
        <v>36</v>
      </c>
      <c r="C14" s="50" t="str">
        <f>VLOOKUP(B14,Vendor!A$2:B$4,1,0)</f>
        <v>VD0001</v>
      </c>
      <c r="D14" s="17" t="s">
        <v>62</v>
      </c>
      <c r="E14" s="17" t="s">
        <v>63</v>
      </c>
      <c r="F14" s="18">
        <v>479000</v>
      </c>
      <c r="G14" s="18">
        <v>395000</v>
      </c>
      <c r="H14" s="18">
        <f t="shared" si="0"/>
        <v>84000</v>
      </c>
      <c r="I14" s="19">
        <v>17561</v>
      </c>
      <c r="J14" s="17" t="s">
        <v>23</v>
      </c>
      <c r="K14" s="4">
        <v>0.3</v>
      </c>
      <c r="L14" s="17" t="s">
        <v>64</v>
      </c>
    </row>
    <row r="15" spans="1:12" ht="14.4" x14ac:dyDescent="0.3">
      <c r="A15" s="17" t="s">
        <v>65</v>
      </c>
      <c r="B15" s="17" t="s">
        <v>36</v>
      </c>
      <c r="C15" s="50" t="str">
        <f>VLOOKUP(B15,Vendor!A$2:B$4,1,0)</f>
        <v>VD0001</v>
      </c>
      <c r="D15" s="17" t="s">
        <v>66</v>
      </c>
      <c r="E15" s="17" t="s">
        <v>67</v>
      </c>
      <c r="F15" s="18">
        <v>267000</v>
      </c>
      <c r="G15" s="18">
        <v>225000</v>
      </c>
      <c r="H15" s="18">
        <f t="shared" si="0"/>
        <v>42000</v>
      </c>
      <c r="I15" s="19">
        <v>17743</v>
      </c>
      <c r="J15" s="17" t="s">
        <v>23</v>
      </c>
      <c r="K15" s="4">
        <v>0.3</v>
      </c>
      <c r="L15" s="17" t="s">
        <v>68</v>
      </c>
    </row>
    <row r="16" spans="1:12" ht="14.4" x14ac:dyDescent="0.3">
      <c r="A16" s="17" t="s">
        <v>69</v>
      </c>
      <c r="B16" s="17" t="s">
        <v>20</v>
      </c>
      <c r="C16" s="50" t="str">
        <f>VLOOKUP(B16,Vendor!A$2:B$4,1,0)</f>
        <v>VD0002</v>
      </c>
      <c r="D16" s="17" t="s">
        <v>70</v>
      </c>
      <c r="E16" s="17" t="s">
        <v>71</v>
      </c>
      <c r="F16" s="18">
        <v>135900</v>
      </c>
      <c r="G16" s="18">
        <v>95000</v>
      </c>
      <c r="H16" s="18">
        <f t="shared" si="0"/>
        <v>40900</v>
      </c>
      <c r="I16" s="19">
        <v>3479</v>
      </c>
      <c r="J16" s="17" t="s">
        <v>27</v>
      </c>
      <c r="K16" s="4">
        <v>0.25</v>
      </c>
      <c r="L16" s="17"/>
    </row>
    <row r="17" spans="1:12" ht="14.4" x14ac:dyDescent="0.3">
      <c r="A17" s="17" t="s">
        <v>72</v>
      </c>
      <c r="B17" s="17" t="s">
        <v>20</v>
      </c>
      <c r="C17" s="50" t="str">
        <f>VLOOKUP(B17,Vendor!A$2:B$4,1,0)</f>
        <v>VD0002</v>
      </c>
      <c r="D17" s="17" t="s">
        <v>73</v>
      </c>
      <c r="E17" s="17" t="s">
        <v>71</v>
      </c>
      <c r="F17" s="18">
        <v>267000</v>
      </c>
      <c r="G17" s="18">
        <v>210000</v>
      </c>
      <c r="H17" s="18">
        <f t="shared" si="0"/>
        <v>57000</v>
      </c>
      <c r="I17" s="19">
        <v>5101</v>
      </c>
      <c r="J17" s="17" t="s">
        <v>27</v>
      </c>
      <c r="K17" s="4">
        <v>0.25</v>
      </c>
      <c r="L17" s="17" t="s">
        <v>74</v>
      </c>
    </row>
    <row r="18" spans="1:12" ht="14.4" x14ac:dyDescent="0.3">
      <c r="A18" s="17" t="s">
        <v>75</v>
      </c>
      <c r="B18" s="17" t="s">
        <v>20</v>
      </c>
      <c r="C18" s="50" t="str">
        <f>VLOOKUP(B18,Vendor!A$2:B$4,1,0)</f>
        <v>VD0002</v>
      </c>
      <c r="D18" s="17" t="s">
        <v>76</v>
      </c>
      <c r="E18" s="17" t="s">
        <v>71</v>
      </c>
      <c r="F18" s="18">
        <v>2650000</v>
      </c>
      <c r="G18" s="18">
        <v>2200000</v>
      </c>
      <c r="H18" s="18">
        <f t="shared" si="0"/>
        <v>450000</v>
      </c>
      <c r="I18" s="19">
        <v>2546</v>
      </c>
      <c r="J18" s="17" t="s">
        <v>27</v>
      </c>
      <c r="K18" s="4">
        <v>0.1</v>
      </c>
      <c r="L18" s="17" t="s">
        <v>77</v>
      </c>
    </row>
    <row r="19" spans="1:12" ht="14.4" x14ac:dyDescent="0.3">
      <c r="A19" s="17" t="s">
        <v>78</v>
      </c>
      <c r="B19" s="17" t="s">
        <v>20</v>
      </c>
      <c r="C19" s="50" t="str">
        <f>VLOOKUP(B19,Vendor!A$2:B$4,1,0)</f>
        <v>VD0002</v>
      </c>
      <c r="D19" s="17" t="s">
        <v>79</v>
      </c>
      <c r="E19" s="17" t="s">
        <v>71</v>
      </c>
      <c r="F19" s="18">
        <v>532000</v>
      </c>
      <c r="G19" s="18">
        <v>485000</v>
      </c>
      <c r="H19" s="18">
        <f t="shared" si="0"/>
        <v>47000</v>
      </c>
      <c r="I19" s="19">
        <v>11648</v>
      </c>
      <c r="J19" s="17" t="s">
        <v>27</v>
      </c>
      <c r="K19" s="4">
        <v>0.1</v>
      </c>
      <c r="L19" s="17" t="s">
        <v>80</v>
      </c>
    </row>
    <row r="20" spans="1:12" ht="14.4" x14ac:dyDescent="0.3">
      <c r="A20" s="17" t="s">
        <v>81</v>
      </c>
      <c r="B20" s="17" t="s">
        <v>36</v>
      </c>
      <c r="C20" s="50" t="str">
        <f>VLOOKUP(B20,Vendor!A$2:B$4,1,0)</f>
        <v>VD0001</v>
      </c>
      <c r="D20" s="17" t="s">
        <v>82</v>
      </c>
      <c r="E20" s="17" t="s">
        <v>71</v>
      </c>
      <c r="F20" s="18">
        <v>2549000</v>
      </c>
      <c r="G20" s="18">
        <v>2250000</v>
      </c>
      <c r="H20" s="18">
        <f t="shared" si="0"/>
        <v>299000</v>
      </c>
      <c r="I20" s="19">
        <v>3106</v>
      </c>
      <c r="J20" s="17" t="s">
        <v>27</v>
      </c>
      <c r="K20" s="4">
        <v>0.25</v>
      </c>
      <c r="L20" s="17"/>
    </row>
    <row r="21" spans="1:12" ht="15.75" customHeight="1" x14ac:dyDescent="0.3">
      <c r="A21" s="46" t="s">
        <v>83</v>
      </c>
      <c r="B21" s="46" t="s">
        <v>36</v>
      </c>
      <c r="C21" s="50" t="str">
        <f>VLOOKUP(B21,Vendor!A$2:B$4,1,0)</f>
        <v>VD0001</v>
      </c>
      <c r="D21" s="46" t="s">
        <v>84</v>
      </c>
      <c r="E21" s="17" t="s">
        <v>71</v>
      </c>
      <c r="F21" s="18">
        <v>321000</v>
      </c>
      <c r="G21" s="18">
        <v>275000</v>
      </c>
      <c r="H21" s="18">
        <f t="shared" si="0"/>
        <v>46000</v>
      </c>
      <c r="I21" s="19">
        <v>3151</v>
      </c>
      <c r="J21" s="17" t="s">
        <v>27</v>
      </c>
      <c r="K21" s="4">
        <v>0.25</v>
      </c>
      <c r="L21" s="17"/>
    </row>
    <row r="22" spans="1:12" ht="15.75" customHeight="1" x14ac:dyDescent="0.3">
      <c r="A22" s="45"/>
      <c r="B22" s="45"/>
      <c r="C22" s="45"/>
      <c r="D22" s="45"/>
    </row>
    <row r="23" spans="1:12" ht="15.75" customHeight="1" x14ac:dyDescent="0.3">
      <c r="F23" s="45"/>
    </row>
    <row r="24" spans="1:12" ht="15.75" customHeight="1" x14ac:dyDescent="0.3">
      <c r="A24" s="45"/>
      <c r="K24" s="14"/>
    </row>
    <row r="25" spans="1:12" ht="15.75" customHeight="1" x14ac:dyDescent="0.3">
      <c r="A25" s="45"/>
      <c r="K25" s="14"/>
    </row>
    <row r="26" spans="1:12" ht="15.75" customHeight="1" x14ac:dyDescent="0.3">
      <c r="A26" s="45"/>
      <c r="K26" s="15"/>
    </row>
    <row r="27" spans="1:12" ht="15.75" customHeight="1" x14ac:dyDescent="0.3">
      <c r="K27" s="14"/>
    </row>
    <row r="28" spans="1:12" ht="15.75" customHeight="1" x14ac:dyDescent="0.3">
      <c r="K28" s="14"/>
    </row>
    <row r="29" spans="1:12" ht="15.75" customHeight="1" x14ac:dyDescent="0.3">
      <c r="K29" s="15"/>
    </row>
    <row r="30" spans="1:12" ht="15.75" customHeight="1" x14ac:dyDescent="0.3">
      <c r="K30" s="15"/>
    </row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21" xr:uid="{00000000-0009-0000-0000-000001000000}"/>
  <conditionalFormatting sqref="A24:A26 A2:A22">
    <cfRule type="duplicateValues" dxfId="4" priority="2"/>
  </conditionalFormatting>
  <conditionalFormatting sqref="D2:D22">
    <cfRule type="duplicateValues" dxfId="3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A2" sqref="A2:A4"/>
    </sheetView>
  </sheetViews>
  <sheetFormatPr defaultColWidth="14.44140625" defaultRowHeight="15" customHeight="1" x14ac:dyDescent="0.3"/>
  <cols>
    <col min="1" max="1" width="9.33203125" customWidth="1"/>
    <col min="2" max="2" width="22" customWidth="1"/>
    <col min="3" max="3" width="28.6640625" customWidth="1"/>
    <col min="4" max="4" width="13.88671875" customWidth="1"/>
    <col min="5" max="5" width="14" customWidth="1"/>
    <col min="6" max="6" width="18.5546875" customWidth="1"/>
    <col min="7" max="7" width="17.109375" customWidth="1"/>
    <col min="8" max="26" width="8.6640625" customWidth="1"/>
  </cols>
  <sheetData>
    <row r="1" spans="1:7" ht="14.4" x14ac:dyDescent="0.3">
      <c r="A1" s="2" t="s">
        <v>15</v>
      </c>
      <c r="B1" s="2" t="s">
        <v>85</v>
      </c>
      <c r="C1" s="2" t="s">
        <v>86</v>
      </c>
      <c r="D1" s="2" t="s">
        <v>87</v>
      </c>
      <c r="E1" s="1" t="s">
        <v>8</v>
      </c>
      <c r="F1" s="2" t="s">
        <v>88</v>
      </c>
      <c r="G1" s="2" t="s">
        <v>89</v>
      </c>
    </row>
    <row r="2" spans="1:7" ht="14.4" x14ac:dyDescent="0.3">
      <c r="A2" s="17" t="s">
        <v>36</v>
      </c>
      <c r="B2" s="17" t="s">
        <v>90</v>
      </c>
      <c r="C2" s="17" t="s">
        <v>91</v>
      </c>
      <c r="D2" s="17" t="s">
        <v>92</v>
      </c>
      <c r="E2" s="17" t="s">
        <v>118</v>
      </c>
      <c r="F2" s="20" t="s">
        <v>93</v>
      </c>
      <c r="G2" s="21" t="s">
        <v>2309</v>
      </c>
    </row>
    <row r="3" spans="1:7" ht="14.4" x14ac:dyDescent="0.3">
      <c r="A3" s="17" t="s">
        <v>20</v>
      </c>
      <c r="B3" s="17" t="s">
        <v>94</v>
      </c>
      <c r="C3" s="17" t="s">
        <v>95</v>
      </c>
      <c r="D3" s="17" t="s">
        <v>96</v>
      </c>
      <c r="E3" s="17" t="s">
        <v>97</v>
      </c>
      <c r="F3" s="17" t="s">
        <v>98</v>
      </c>
      <c r="G3" s="22" t="s">
        <v>2310</v>
      </c>
    </row>
    <row r="4" spans="1:7" ht="14.4" x14ac:dyDescent="0.3">
      <c r="A4" s="17" t="s">
        <v>29</v>
      </c>
      <c r="B4" s="17" t="s">
        <v>99</v>
      </c>
      <c r="C4" s="17" t="s">
        <v>100</v>
      </c>
      <c r="D4" s="17" t="s">
        <v>101</v>
      </c>
      <c r="E4" s="17" t="s">
        <v>118</v>
      </c>
      <c r="F4" s="17" t="s">
        <v>102</v>
      </c>
      <c r="G4" s="22" t="s">
        <v>2311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2" r:id="rId1" xr:uid="{00000000-0004-0000-02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27" workbookViewId="0">
      <selection activeCell="I9" sqref="I9"/>
    </sheetView>
  </sheetViews>
  <sheetFormatPr defaultColWidth="14.44140625" defaultRowHeight="15" customHeight="1" x14ac:dyDescent="0.3"/>
  <cols>
    <col min="1" max="1" width="16.109375" customWidth="1"/>
    <col min="2" max="2" width="37.109375" customWidth="1"/>
    <col min="3" max="3" width="23.33203125" customWidth="1"/>
    <col min="4" max="4" width="19.6640625" customWidth="1"/>
    <col min="5" max="5" width="17.88671875" bestFit="1" customWidth="1"/>
    <col min="6" max="6" width="19.33203125" customWidth="1"/>
    <col min="9" max="9" width="8.6640625" customWidth="1"/>
    <col min="10" max="10" width="10.6640625" customWidth="1"/>
    <col min="11" max="25" width="8.6640625" customWidth="1"/>
  </cols>
  <sheetData>
    <row r="1" spans="1:10" ht="14.4" x14ac:dyDescent="0.3">
      <c r="A1" s="2" t="s">
        <v>2</v>
      </c>
      <c r="B1" s="2" t="s">
        <v>4</v>
      </c>
      <c r="C1" s="5" t="s">
        <v>103</v>
      </c>
      <c r="D1" s="2" t="s">
        <v>104</v>
      </c>
      <c r="E1" s="6" t="s">
        <v>8</v>
      </c>
      <c r="F1" s="3" t="s">
        <v>11</v>
      </c>
    </row>
    <row r="2" spans="1:10" ht="14.4" x14ac:dyDescent="0.3">
      <c r="A2" s="17" t="s">
        <v>105</v>
      </c>
      <c r="B2" s="17" t="s">
        <v>106</v>
      </c>
      <c r="C2" s="17" t="s">
        <v>107</v>
      </c>
      <c r="D2" s="17" t="s">
        <v>108</v>
      </c>
      <c r="E2" s="17" t="s">
        <v>108</v>
      </c>
      <c r="F2" s="26" t="s">
        <v>2321</v>
      </c>
      <c r="J2" s="7"/>
    </row>
    <row r="3" spans="1:10" ht="14.4" x14ac:dyDescent="0.3">
      <c r="A3" s="17" t="s">
        <v>109</v>
      </c>
      <c r="B3" s="17" t="s">
        <v>110</v>
      </c>
      <c r="C3" s="17" t="s">
        <v>111</v>
      </c>
      <c r="D3" s="17" t="s">
        <v>112</v>
      </c>
      <c r="E3" s="17" t="s">
        <v>2312</v>
      </c>
      <c r="F3" s="26" t="s">
        <v>2322</v>
      </c>
      <c r="J3" s="7"/>
    </row>
    <row r="4" spans="1:10" ht="14.4" x14ac:dyDescent="0.3">
      <c r="A4" s="17" t="s">
        <v>113</v>
      </c>
      <c r="B4" s="17" t="s">
        <v>114</v>
      </c>
      <c r="C4" s="17" t="s">
        <v>111</v>
      </c>
      <c r="D4" s="17" t="s">
        <v>115</v>
      </c>
      <c r="E4" s="23" t="s">
        <v>2314</v>
      </c>
      <c r="F4" s="26" t="s">
        <v>2323</v>
      </c>
      <c r="J4" s="7"/>
    </row>
    <row r="5" spans="1:10" ht="14.4" x14ac:dyDescent="0.3">
      <c r="A5" s="17" t="s">
        <v>116</v>
      </c>
      <c r="B5" s="17" t="s">
        <v>117</v>
      </c>
      <c r="C5" s="17" t="s">
        <v>111</v>
      </c>
      <c r="D5" s="17" t="s">
        <v>112</v>
      </c>
      <c r="E5" s="17" t="s">
        <v>118</v>
      </c>
      <c r="F5" s="26" t="s">
        <v>2324</v>
      </c>
      <c r="J5" s="7"/>
    </row>
    <row r="6" spans="1:10" ht="14.4" x14ac:dyDescent="0.3">
      <c r="A6" s="17" t="s">
        <v>119</v>
      </c>
      <c r="B6" s="17" t="s">
        <v>120</v>
      </c>
      <c r="C6" s="17" t="s">
        <v>107</v>
      </c>
      <c r="D6" s="17" t="s">
        <v>121</v>
      </c>
      <c r="E6" s="24" t="s">
        <v>2317</v>
      </c>
      <c r="F6" s="26" t="s">
        <v>2325</v>
      </c>
      <c r="J6" s="7"/>
    </row>
    <row r="7" spans="1:10" ht="14.4" x14ac:dyDescent="0.3">
      <c r="A7" s="17" t="s">
        <v>122</v>
      </c>
      <c r="B7" s="17" t="s">
        <v>123</v>
      </c>
      <c r="C7" s="17" t="s">
        <v>111</v>
      </c>
      <c r="D7" s="17" t="s">
        <v>115</v>
      </c>
      <c r="E7" s="23" t="s">
        <v>2314</v>
      </c>
      <c r="F7" s="26" t="s">
        <v>2326</v>
      </c>
      <c r="J7" s="7"/>
    </row>
    <row r="8" spans="1:10" ht="14.4" x14ac:dyDescent="0.3">
      <c r="A8" s="17" t="s">
        <v>124</v>
      </c>
      <c r="B8" s="17" t="s">
        <v>125</v>
      </c>
      <c r="C8" s="17" t="s">
        <v>111</v>
      </c>
      <c r="D8" s="17" t="s">
        <v>112</v>
      </c>
      <c r="E8" s="17" t="s">
        <v>118</v>
      </c>
      <c r="F8" s="26" t="s">
        <v>2327</v>
      </c>
      <c r="J8" s="7"/>
    </row>
    <row r="9" spans="1:10" ht="14.4" x14ac:dyDescent="0.3">
      <c r="A9" s="17" t="s">
        <v>126</v>
      </c>
      <c r="B9" s="17" t="s">
        <v>127</v>
      </c>
      <c r="C9" s="17" t="s">
        <v>111</v>
      </c>
      <c r="D9" s="17" t="s">
        <v>121</v>
      </c>
      <c r="E9" s="24" t="s">
        <v>2318</v>
      </c>
      <c r="F9" s="26" t="s">
        <v>2328</v>
      </c>
      <c r="J9" s="7"/>
    </row>
    <row r="10" spans="1:10" ht="14.4" x14ac:dyDescent="0.3">
      <c r="A10" s="17" t="s">
        <v>128</v>
      </c>
      <c r="B10" s="17" t="s">
        <v>129</v>
      </c>
      <c r="C10" s="17" t="s">
        <v>107</v>
      </c>
      <c r="D10" s="17" t="s">
        <v>130</v>
      </c>
      <c r="E10" s="25" t="s">
        <v>2319</v>
      </c>
      <c r="F10" s="26" t="s">
        <v>2329</v>
      </c>
      <c r="J10" s="7"/>
    </row>
    <row r="11" spans="1:10" ht="14.4" x14ac:dyDescent="0.3">
      <c r="A11" s="17" t="s">
        <v>131</v>
      </c>
      <c r="B11" s="17" t="s">
        <v>132</v>
      </c>
      <c r="C11" s="17" t="s">
        <v>111</v>
      </c>
      <c r="D11" s="17" t="s">
        <v>112</v>
      </c>
      <c r="E11" s="17" t="s">
        <v>118</v>
      </c>
      <c r="F11" s="26" t="s">
        <v>2330</v>
      </c>
      <c r="J11" s="7"/>
    </row>
    <row r="12" spans="1:10" ht="14.4" x14ac:dyDescent="0.3">
      <c r="A12" s="17" t="s">
        <v>133</v>
      </c>
      <c r="B12" s="17" t="s">
        <v>134</v>
      </c>
      <c r="C12" s="17" t="s">
        <v>111</v>
      </c>
      <c r="D12" s="17" t="s">
        <v>112</v>
      </c>
      <c r="E12" s="17" t="s">
        <v>2312</v>
      </c>
      <c r="F12" s="26" t="s">
        <v>2331</v>
      </c>
      <c r="J12" s="7"/>
    </row>
    <row r="13" spans="1:10" ht="14.4" x14ac:dyDescent="0.3">
      <c r="A13" s="17" t="s">
        <v>135</v>
      </c>
      <c r="B13" s="17" t="s">
        <v>136</v>
      </c>
      <c r="C13" s="17" t="s">
        <v>111</v>
      </c>
      <c r="D13" s="17" t="s">
        <v>115</v>
      </c>
      <c r="E13" s="17" t="s">
        <v>2313</v>
      </c>
      <c r="F13" s="26" t="s">
        <v>2332</v>
      </c>
      <c r="J13" s="7"/>
    </row>
    <row r="14" spans="1:10" ht="14.4" x14ac:dyDescent="0.3">
      <c r="A14" s="17" t="s">
        <v>137</v>
      </c>
      <c r="B14" s="17" t="s">
        <v>138</v>
      </c>
      <c r="C14" s="17" t="s">
        <v>111</v>
      </c>
      <c r="D14" s="17" t="s">
        <v>112</v>
      </c>
      <c r="E14" s="17" t="s">
        <v>118</v>
      </c>
      <c r="F14" s="26" t="s">
        <v>2333</v>
      </c>
      <c r="J14" s="7"/>
    </row>
    <row r="15" spans="1:10" ht="14.4" x14ac:dyDescent="0.3">
      <c r="A15" s="17" t="s">
        <v>139</v>
      </c>
      <c r="B15" s="17" t="s">
        <v>140</v>
      </c>
      <c r="C15" s="17" t="s">
        <v>107</v>
      </c>
      <c r="D15" s="17" t="s">
        <v>130</v>
      </c>
      <c r="E15" s="24" t="s">
        <v>2320</v>
      </c>
      <c r="F15" s="26" t="s">
        <v>2334</v>
      </c>
      <c r="J15" s="7"/>
    </row>
    <row r="16" spans="1:10" ht="14.4" x14ac:dyDescent="0.3">
      <c r="A16" s="17" t="s">
        <v>141</v>
      </c>
      <c r="B16" s="17" t="s">
        <v>142</v>
      </c>
      <c r="C16" s="17" t="s">
        <v>111</v>
      </c>
      <c r="D16" s="17" t="s">
        <v>143</v>
      </c>
      <c r="E16" s="17" t="s">
        <v>143</v>
      </c>
      <c r="F16" s="26" t="s">
        <v>2335</v>
      </c>
      <c r="J16" s="7"/>
    </row>
    <row r="17" spans="1:10" ht="14.4" x14ac:dyDescent="0.3">
      <c r="A17" s="17" t="s">
        <v>144</v>
      </c>
      <c r="B17" s="17" t="s">
        <v>145</v>
      </c>
      <c r="C17" s="17" t="s">
        <v>111</v>
      </c>
      <c r="D17" s="17" t="s">
        <v>115</v>
      </c>
      <c r="E17" s="23" t="s">
        <v>2314</v>
      </c>
      <c r="F17" s="26" t="s">
        <v>2336</v>
      </c>
      <c r="J17" s="7"/>
    </row>
    <row r="18" spans="1:10" ht="14.4" x14ac:dyDescent="0.3">
      <c r="A18" s="17" t="s">
        <v>146</v>
      </c>
      <c r="B18" s="17" t="s">
        <v>147</v>
      </c>
      <c r="C18" s="17" t="s">
        <v>111</v>
      </c>
      <c r="D18" s="17" t="s">
        <v>112</v>
      </c>
      <c r="E18" s="17" t="s">
        <v>118</v>
      </c>
      <c r="F18" s="26" t="s">
        <v>2337</v>
      </c>
      <c r="J18" s="7"/>
    </row>
    <row r="19" spans="1:10" ht="14.4" x14ac:dyDescent="0.3">
      <c r="A19" s="17" t="s">
        <v>148</v>
      </c>
      <c r="B19" s="17" t="s">
        <v>149</v>
      </c>
      <c r="C19" s="17" t="s">
        <v>107</v>
      </c>
      <c r="D19" s="17" t="s">
        <v>112</v>
      </c>
      <c r="E19" s="17" t="s">
        <v>150</v>
      </c>
      <c r="F19" s="26" t="s">
        <v>2338</v>
      </c>
      <c r="J19" s="7"/>
    </row>
    <row r="20" spans="1:10" ht="14.4" x14ac:dyDescent="0.3">
      <c r="A20" s="17" t="s">
        <v>151</v>
      </c>
      <c r="B20" s="17" t="s">
        <v>152</v>
      </c>
      <c r="C20" s="17" t="s">
        <v>111</v>
      </c>
      <c r="D20" s="17" t="s">
        <v>153</v>
      </c>
      <c r="E20" s="24" t="s">
        <v>2316</v>
      </c>
      <c r="F20" s="26" t="s">
        <v>2339</v>
      </c>
      <c r="J20" s="7"/>
    </row>
    <row r="21" spans="1:10" ht="15.75" customHeight="1" x14ac:dyDescent="0.3">
      <c r="A21" s="17" t="s">
        <v>154</v>
      </c>
      <c r="B21" s="17" t="s">
        <v>155</v>
      </c>
      <c r="C21" s="17" t="s">
        <v>111</v>
      </c>
      <c r="D21" s="17" t="s">
        <v>121</v>
      </c>
      <c r="E21" s="24" t="s">
        <v>2318</v>
      </c>
      <c r="F21" s="26" t="s">
        <v>2340</v>
      </c>
      <c r="J21" s="7"/>
    </row>
    <row r="22" spans="1:10" ht="15.75" customHeight="1" x14ac:dyDescent="0.3">
      <c r="A22" s="17" t="s">
        <v>156</v>
      </c>
      <c r="B22" s="17" t="s">
        <v>157</v>
      </c>
      <c r="C22" s="17" t="s">
        <v>111</v>
      </c>
      <c r="D22" s="17" t="s">
        <v>112</v>
      </c>
      <c r="E22" s="17" t="s">
        <v>118</v>
      </c>
      <c r="F22" s="26" t="s">
        <v>2341</v>
      </c>
      <c r="J22" s="7"/>
    </row>
    <row r="23" spans="1:10" ht="15.75" customHeight="1" x14ac:dyDescent="0.3">
      <c r="A23" s="17" t="s">
        <v>158</v>
      </c>
      <c r="B23" s="17" t="s">
        <v>159</v>
      </c>
      <c r="C23" s="17" t="s">
        <v>111</v>
      </c>
      <c r="D23" s="17" t="s">
        <v>143</v>
      </c>
      <c r="E23" s="17" t="s">
        <v>143</v>
      </c>
      <c r="F23" s="26" t="s">
        <v>2342</v>
      </c>
      <c r="J23" s="7"/>
    </row>
    <row r="24" spans="1:10" ht="15.75" customHeight="1" x14ac:dyDescent="0.3">
      <c r="A24" s="17" t="s">
        <v>160</v>
      </c>
      <c r="B24" s="17" t="s">
        <v>161</v>
      </c>
      <c r="C24" s="17" t="s">
        <v>111</v>
      </c>
      <c r="D24" s="17" t="s">
        <v>115</v>
      </c>
      <c r="E24" s="23" t="s">
        <v>2314</v>
      </c>
      <c r="F24" s="26" t="s">
        <v>2343</v>
      </c>
      <c r="J24" s="7"/>
    </row>
    <row r="25" spans="1:10" ht="15.75" customHeight="1" x14ac:dyDescent="0.3">
      <c r="A25" s="17" t="s">
        <v>162</v>
      </c>
      <c r="B25" s="17" t="s">
        <v>163</v>
      </c>
      <c r="C25" s="17" t="s">
        <v>111</v>
      </c>
      <c r="D25" s="17" t="s">
        <v>112</v>
      </c>
      <c r="E25" s="17" t="s">
        <v>118</v>
      </c>
      <c r="F25" s="26" t="s">
        <v>2344</v>
      </c>
      <c r="J25" s="7"/>
    </row>
    <row r="26" spans="1:10" ht="15.75" customHeight="1" x14ac:dyDescent="0.3">
      <c r="A26" s="17" t="s">
        <v>164</v>
      </c>
      <c r="B26" s="17" t="s">
        <v>165</v>
      </c>
      <c r="C26" s="17" t="s">
        <v>111</v>
      </c>
      <c r="D26" s="17" t="s">
        <v>115</v>
      </c>
      <c r="E26" s="17" t="s">
        <v>2313</v>
      </c>
      <c r="F26" s="26" t="s">
        <v>2345</v>
      </c>
      <c r="J26" s="7"/>
    </row>
    <row r="27" spans="1:10" ht="15.75" customHeight="1" x14ac:dyDescent="0.3">
      <c r="A27" s="17" t="s">
        <v>166</v>
      </c>
      <c r="B27" s="17" t="s">
        <v>167</v>
      </c>
      <c r="C27" s="17" t="s">
        <v>111</v>
      </c>
      <c r="D27" s="17" t="s">
        <v>143</v>
      </c>
      <c r="E27" s="17" t="s">
        <v>143</v>
      </c>
      <c r="F27" s="26" t="s">
        <v>2346</v>
      </c>
      <c r="J27" s="7"/>
    </row>
    <row r="28" spans="1:10" ht="15.75" customHeight="1" x14ac:dyDescent="0.3">
      <c r="A28" s="17" t="s">
        <v>168</v>
      </c>
      <c r="B28" s="17" t="s">
        <v>169</v>
      </c>
      <c r="C28" s="17" t="s">
        <v>111</v>
      </c>
      <c r="D28" s="17" t="s">
        <v>170</v>
      </c>
      <c r="E28" s="23" t="s">
        <v>170</v>
      </c>
      <c r="F28" s="26" t="s">
        <v>2347</v>
      </c>
      <c r="J28" s="7"/>
    </row>
    <row r="29" spans="1:10" ht="15.75" customHeight="1" x14ac:dyDescent="0.3">
      <c r="A29" s="17" t="s">
        <v>171</v>
      </c>
      <c r="B29" s="17" t="s">
        <v>172</v>
      </c>
      <c r="C29" s="17" t="s">
        <v>111</v>
      </c>
      <c r="D29" s="17" t="s">
        <v>153</v>
      </c>
      <c r="E29" s="24" t="s">
        <v>2316</v>
      </c>
      <c r="F29" s="26" t="s">
        <v>2348</v>
      </c>
      <c r="J29" s="7"/>
    </row>
    <row r="30" spans="1:10" ht="15.75" customHeight="1" x14ac:dyDescent="0.3">
      <c r="A30" s="17" t="s">
        <v>173</v>
      </c>
      <c r="B30" s="17" t="s">
        <v>174</v>
      </c>
      <c r="C30" s="17" t="s">
        <v>111</v>
      </c>
      <c r="D30" s="17" t="s">
        <v>143</v>
      </c>
      <c r="E30" s="17" t="s">
        <v>143</v>
      </c>
      <c r="F30" s="26" t="s">
        <v>2349</v>
      </c>
      <c r="J30" s="7"/>
    </row>
    <row r="31" spans="1:10" ht="15.75" customHeight="1" x14ac:dyDescent="0.3">
      <c r="A31" s="17" t="s">
        <v>175</v>
      </c>
      <c r="B31" s="17" t="s">
        <v>176</v>
      </c>
      <c r="C31" s="17" t="s">
        <v>111</v>
      </c>
      <c r="D31" s="17" t="s">
        <v>170</v>
      </c>
      <c r="E31" s="23" t="s">
        <v>170</v>
      </c>
      <c r="F31" s="26" t="s">
        <v>2350</v>
      </c>
      <c r="J31" s="7"/>
    </row>
    <row r="32" spans="1:10" ht="15.75" customHeight="1" x14ac:dyDescent="0.3">
      <c r="A32" s="17" t="s">
        <v>177</v>
      </c>
      <c r="B32" s="17" t="s">
        <v>178</v>
      </c>
      <c r="C32" s="17" t="s">
        <v>111</v>
      </c>
      <c r="D32" s="17" t="s">
        <v>112</v>
      </c>
      <c r="E32" s="17" t="s">
        <v>2312</v>
      </c>
      <c r="F32" s="26" t="s">
        <v>2351</v>
      </c>
      <c r="J32" s="7"/>
    </row>
    <row r="33" spans="1:10" ht="15.75" customHeight="1" x14ac:dyDescent="0.3">
      <c r="A33" s="17" t="s">
        <v>179</v>
      </c>
      <c r="B33" s="17" t="s">
        <v>180</v>
      </c>
      <c r="C33" s="17" t="s">
        <v>111</v>
      </c>
      <c r="D33" s="17" t="s">
        <v>121</v>
      </c>
      <c r="E33" s="24" t="s">
        <v>2318</v>
      </c>
      <c r="F33" s="26" t="s">
        <v>2352</v>
      </c>
      <c r="J33" s="7"/>
    </row>
    <row r="34" spans="1:10" ht="15.75" customHeight="1" x14ac:dyDescent="0.3">
      <c r="A34" s="17" t="s">
        <v>181</v>
      </c>
      <c r="B34" s="17" t="s">
        <v>182</v>
      </c>
      <c r="C34" s="17" t="s">
        <v>111</v>
      </c>
      <c r="D34" s="17" t="s">
        <v>153</v>
      </c>
      <c r="E34" s="24" t="s">
        <v>2316</v>
      </c>
      <c r="F34" s="26" t="s">
        <v>2353</v>
      </c>
      <c r="J34" s="7"/>
    </row>
    <row r="35" spans="1:10" ht="15.75" customHeight="1" x14ac:dyDescent="0.3">
      <c r="A35" s="17" t="s">
        <v>183</v>
      </c>
      <c r="B35" s="17" t="s">
        <v>184</v>
      </c>
      <c r="C35" s="17" t="s">
        <v>111</v>
      </c>
      <c r="D35" s="17" t="s">
        <v>112</v>
      </c>
      <c r="E35" s="17" t="s">
        <v>118</v>
      </c>
      <c r="F35" s="26" t="s">
        <v>2354</v>
      </c>
      <c r="J35" s="7"/>
    </row>
    <row r="36" spans="1:10" ht="15.75" customHeight="1" x14ac:dyDescent="0.3">
      <c r="A36" s="17" t="s">
        <v>185</v>
      </c>
      <c r="B36" s="17" t="s">
        <v>186</v>
      </c>
      <c r="C36" s="17" t="s">
        <v>111</v>
      </c>
      <c r="D36" s="17" t="s">
        <v>170</v>
      </c>
      <c r="E36" s="23" t="s">
        <v>170</v>
      </c>
      <c r="F36" s="26" t="s">
        <v>2355</v>
      </c>
      <c r="J36" s="7"/>
    </row>
    <row r="37" spans="1:10" ht="15.75" customHeight="1" x14ac:dyDescent="0.3">
      <c r="A37" s="17" t="s">
        <v>187</v>
      </c>
      <c r="B37" s="17" t="s">
        <v>188</v>
      </c>
      <c r="C37" s="17" t="s">
        <v>111</v>
      </c>
      <c r="D37" s="17" t="s">
        <v>153</v>
      </c>
      <c r="E37" s="24" t="s">
        <v>2315</v>
      </c>
      <c r="F37" s="26" t="s">
        <v>2356</v>
      </c>
      <c r="J37" s="7"/>
    </row>
    <row r="38" spans="1:10" ht="15.75" customHeight="1" x14ac:dyDescent="0.3">
      <c r="A38" s="17" t="s">
        <v>189</v>
      </c>
      <c r="B38" s="17" t="s">
        <v>190</v>
      </c>
      <c r="C38" s="17" t="s">
        <v>111</v>
      </c>
      <c r="D38" s="17" t="s">
        <v>112</v>
      </c>
      <c r="E38" s="17" t="s">
        <v>2312</v>
      </c>
      <c r="F38" s="26" t="s">
        <v>2357</v>
      </c>
      <c r="J38" s="7"/>
    </row>
    <row r="39" spans="1:10" ht="15.75" customHeight="1" x14ac:dyDescent="0.3">
      <c r="A39" s="17" t="s">
        <v>191</v>
      </c>
      <c r="B39" s="17" t="s">
        <v>192</v>
      </c>
      <c r="C39" s="17" t="s">
        <v>111</v>
      </c>
      <c r="D39" s="17" t="s">
        <v>170</v>
      </c>
      <c r="E39" s="23" t="s">
        <v>170</v>
      </c>
      <c r="F39" s="26" t="s">
        <v>2358</v>
      </c>
      <c r="J39" s="7"/>
    </row>
    <row r="40" spans="1:10" ht="15.75" customHeight="1" x14ac:dyDescent="0.3">
      <c r="A40" s="17" t="s">
        <v>193</v>
      </c>
      <c r="B40" s="17" t="s">
        <v>194</v>
      </c>
      <c r="C40" s="17" t="s">
        <v>111</v>
      </c>
      <c r="D40" s="17" t="s">
        <v>115</v>
      </c>
      <c r="E40" s="17" t="s">
        <v>2313</v>
      </c>
      <c r="F40" s="26" t="s">
        <v>2359</v>
      </c>
      <c r="J40" s="7"/>
    </row>
    <row r="41" spans="1:10" ht="15.75" customHeight="1" x14ac:dyDescent="0.3">
      <c r="A41" s="17" t="s">
        <v>195</v>
      </c>
      <c r="B41" s="17" t="s">
        <v>196</v>
      </c>
      <c r="C41" s="17" t="s">
        <v>111</v>
      </c>
      <c r="D41" s="17" t="s">
        <v>115</v>
      </c>
      <c r="E41" s="23" t="s">
        <v>2314</v>
      </c>
      <c r="F41" s="26" t="s">
        <v>2360</v>
      </c>
      <c r="J41" s="7"/>
    </row>
    <row r="42" spans="1:10" ht="15.75" customHeight="1" x14ac:dyDescent="0.3">
      <c r="A42" s="17" t="s">
        <v>197</v>
      </c>
      <c r="B42" s="17" t="s">
        <v>198</v>
      </c>
      <c r="C42" s="17" t="s">
        <v>111</v>
      </c>
      <c r="D42" s="17" t="s">
        <v>112</v>
      </c>
      <c r="E42" s="17" t="s">
        <v>118</v>
      </c>
      <c r="F42" s="26" t="s">
        <v>2361</v>
      </c>
      <c r="J42" s="7"/>
    </row>
    <row r="43" spans="1:10" ht="15.75" customHeight="1" x14ac:dyDescent="0.3">
      <c r="A43" s="17" t="s">
        <v>199</v>
      </c>
      <c r="B43" s="17" t="s">
        <v>200</v>
      </c>
      <c r="C43" s="17" t="s">
        <v>111</v>
      </c>
      <c r="D43" s="17" t="s">
        <v>112</v>
      </c>
      <c r="E43" s="17" t="s">
        <v>2312</v>
      </c>
      <c r="F43" s="26" t="s">
        <v>2362</v>
      </c>
      <c r="J43" s="7"/>
    </row>
    <row r="44" spans="1:10" ht="15.75" customHeight="1" x14ac:dyDescent="0.3">
      <c r="A44" s="17" t="s">
        <v>201</v>
      </c>
      <c r="B44" s="17" t="s">
        <v>202</v>
      </c>
      <c r="C44" s="17" t="s">
        <v>111</v>
      </c>
      <c r="D44" s="17" t="s">
        <v>143</v>
      </c>
      <c r="E44" s="17" t="s">
        <v>143</v>
      </c>
      <c r="F44" s="26" t="s">
        <v>2363</v>
      </c>
      <c r="J44" s="7"/>
    </row>
    <row r="45" spans="1:10" ht="15.75" customHeight="1" x14ac:dyDescent="0.3">
      <c r="A45" s="17" t="s">
        <v>203</v>
      </c>
      <c r="B45" s="17" t="s">
        <v>204</v>
      </c>
      <c r="C45" s="17" t="s">
        <v>111</v>
      </c>
      <c r="D45" s="17" t="s">
        <v>121</v>
      </c>
      <c r="E45" s="24" t="s">
        <v>2318</v>
      </c>
      <c r="F45" s="26" t="s">
        <v>2364</v>
      </c>
      <c r="J45" s="7"/>
    </row>
    <row r="46" spans="1:10" ht="15.75" customHeight="1" x14ac:dyDescent="0.3">
      <c r="A46" s="17" t="s">
        <v>205</v>
      </c>
      <c r="B46" s="17" t="s">
        <v>206</v>
      </c>
      <c r="C46" s="17" t="s">
        <v>111</v>
      </c>
      <c r="D46" s="17" t="s">
        <v>153</v>
      </c>
      <c r="E46" s="24" t="s">
        <v>2315</v>
      </c>
      <c r="F46" s="26" t="s">
        <v>2365</v>
      </c>
      <c r="J46" s="7"/>
    </row>
    <row r="47" spans="1:10" ht="15.75" customHeight="1" x14ac:dyDescent="0.3">
      <c r="A47" s="17" t="s">
        <v>207</v>
      </c>
      <c r="B47" s="17" t="s">
        <v>208</v>
      </c>
      <c r="C47" s="17" t="s">
        <v>111</v>
      </c>
      <c r="D47" s="17" t="s">
        <v>115</v>
      </c>
      <c r="E47" s="17" t="s">
        <v>2313</v>
      </c>
      <c r="F47" s="26" t="s">
        <v>2366</v>
      </c>
      <c r="J47" s="7"/>
    </row>
    <row r="48" spans="1:10" ht="15.75" customHeight="1" x14ac:dyDescent="0.3">
      <c r="A48" s="17" t="s">
        <v>209</v>
      </c>
      <c r="B48" s="17" t="s">
        <v>210</v>
      </c>
      <c r="C48" s="17" t="s">
        <v>111</v>
      </c>
      <c r="D48" s="17" t="s">
        <v>112</v>
      </c>
      <c r="E48" s="17" t="s">
        <v>118</v>
      </c>
      <c r="F48" s="26" t="s">
        <v>2367</v>
      </c>
      <c r="J48" s="7"/>
    </row>
    <row r="49" spans="1:10" ht="15.75" customHeight="1" x14ac:dyDescent="0.3">
      <c r="A49" s="17" t="s">
        <v>211</v>
      </c>
      <c r="B49" s="17" t="s">
        <v>212</v>
      </c>
      <c r="C49" s="17" t="s">
        <v>111</v>
      </c>
      <c r="D49" s="17" t="s">
        <v>115</v>
      </c>
      <c r="E49" s="17" t="s">
        <v>2313</v>
      </c>
      <c r="F49" s="26" t="s">
        <v>2368</v>
      </c>
      <c r="J49" s="7"/>
    </row>
    <row r="50" spans="1:10" ht="15.75" customHeight="1" x14ac:dyDescent="0.3">
      <c r="A50" s="17" t="s">
        <v>213</v>
      </c>
      <c r="B50" s="17" t="s">
        <v>214</v>
      </c>
      <c r="C50" s="17" t="s">
        <v>111</v>
      </c>
      <c r="D50" s="17" t="s">
        <v>121</v>
      </c>
      <c r="E50" s="24" t="s">
        <v>2318</v>
      </c>
      <c r="F50" s="26" t="s">
        <v>2369</v>
      </c>
      <c r="J50" s="7"/>
    </row>
    <row r="51" spans="1:10" ht="15.75" customHeight="1" x14ac:dyDescent="0.3">
      <c r="A51" s="17" t="s">
        <v>215</v>
      </c>
      <c r="B51" s="17" t="s">
        <v>216</v>
      </c>
      <c r="C51" s="17" t="s">
        <v>111</v>
      </c>
      <c r="D51" s="17" t="s">
        <v>170</v>
      </c>
      <c r="E51" s="17" t="s">
        <v>170</v>
      </c>
      <c r="F51" s="26" t="s">
        <v>2370</v>
      </c>
      <c r="J51" s="7"/>
    </row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1" xr:uid="{00000000-0009-0000-0000-000003000000}">
    <sortState xmlns:xlrd2="http://schemas.microsoft.com/office/spreadsheetml/2017/richdata2" ref="A2:I51">
      <sortCondition ref="A1:A51"/>
    </sortState>
  </autoFilter>
  <conditionalFormatting sqref="A2:A51">
    <cfRule type="duplicateValues" dxfId="2" priority="1"/>
  </conditionalFormatting>
  <conditionalFormatting sqref="B2:B51">
    <cfRule type="duplicateValues" dxfId="1" priority="2"/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12.33203125" customWidth="1"/>
    <col min="2" max="2" width="34.44140625" customWidth="1"/>
    <col min="3" max="3" width="31.33203125" customWidth="1"/>
    <col min="4" max="4" width="54.88671875" customWidth="1"/>
    <col min="5" max="5" width="13.33203125" customWidth="1"/>
    <col min="6" max="26" width="8.6640625" customWidth="1"/>
  </cols>
  <sheetData>
    <row r="1" spans="1:5" ht="14.4" x14ac:dyDescent="0.3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</row>
    <row r="2" spans="1:5" ht="14.4" x14ac:dyDescent="0.3">
      <c r="A2" s="17" t="s">
        <v>222</v>
      </c>
      <c r="B2" s="17" t="s">
        <v>223</v>
      </c>
      <c r="C2" s="17" t="s">
        <v>118</v>
      </c>
      <c r="D2" s="17" t="s">
        <v>224</v>
      </c>
      <c r="E2" s="27">
        <v>10</v>
      </c>
    </row>
    <row r="3" spans="1:5" ht="14.4" x14ac:dyDescent="0.3">
      <c r="A3" s="17" t="s">
        <v>225</v>
      </c>
      <c r="B3" s="24" t="s">
        <v>5770</v>
      </c>
      <c r="C3" s="24" t="s">
        <v>112</v>
      </c>
      <c r="D3" s="17" t="s">
        <v>226</v>
      </c>
      <c r="E3" s="27">
        <v>6</v>
      </c>
    </row>
    <row r="4" spans="1:5" ht="14.4" x14ac:dyDescent="0.3">
      <c r="A4" s="17" t="s">
        <v>227</v>
      </c>
      <c r="B4" s="17" t="s">
        <v>2371</v>
      </c>
      <c r="C4" s="17" t="s">
        <v>228</v>
      </c>
      <c r="D4" s="17" t="s">
        <v>226</v>
      </c>
      <c r="E4" s="27">
        <v>12</v>
      </c>
    </row>
    <row r="5" spans="1:5" ht="14.4" x14ac:dyDescent="0.3">
      <c r="A5" s="17" t="s">
        <v>229</v>
      </c>
      <c r="B5" s="17" t="s">
        <v>2373</v>
      </c>
      <c r="C5" s="24" t="s">
        <v>5768</v>
      </c>
      <c r="D5" s="17" t="s">
        <v>230</v>
      </c>
      <c r="E5" s="27">
        <v>16</v>
      </c>
    </row>
    <row r="6" spans="1:5" ht="14.4" x14ac:dyDescent="0.3">
      <c r="A6" s="17" t="s">
        <v>231</v>
      </c>
      <c r="B6" s="17" t="s">
        <v>2372</v>
      </c>
      <c r="C6" s="24" t="s">
        <v>5769</v>
      </c>
      <c r="D6" s="17" t="s">
        <v>230</v>
      </c>
      <c r="E6" s="27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44"/>
  <sheetViews>
    <sheetView zoomScale="81" workbookViewId="0">
      <selection activeCell="G1" sqref="G1"/>
    </sheetView>
  </sheetViews>
  <sheetFormatPr defaultColWidth="14.44140625" defaultRowHeight="15" customHeight="1" x14ac:dyDescent="0.3"/>
  <cols>
    <col min="1" max="1" width="18.44140625" customWidth="1"/>
    <col min="2" max="3" width="17" customWidth="1"/>
    <col min="4" max="6" width="18" customWidth="1"/>
    <col min="7" max="7" width="19.6640625" customWidth="1"/>
    <col min="8" max="8" width="23.33203125" customWidth="1"/>
    <col min="9" max="9" width="74.5546875" bestFit="1" customWidth="1"/>
    <col min="10" max="10" width="17.109375" customWidth="1"/>
    <col min="11" max="28" width="8.6640625" customWidth="1"/>
  </cols>
  <sheetData>
    <row r="1" spans="1:10" ht="14.4" x14ac:dyDescent="0.3">
      <c r="A1" s="9" t="s">
        <v>1</v>
      </c>
      <c r="B1" s="1" t="s">
        <v>2</v>
      </c>
      <c r="C1" s="1" t="s">
        <v>5775</v>
      </c>
      <c r="D1" s="1" t="s">
        <v>217</v>
      </c>
      <c r="E1" s="1" t="s">
        <v>5776</v>
      </c>
      <c r="F1" s="1" t="s">
        <v>7</v>
      </c>
      <c r="G1" s="1" t="s">
        <v>12</v>
      </c>
      <c r="H1" s="10" t="s">
        <v>14</v>
      </c>
      <c r="I1" s="1" t="s">
        <v>232</v>
      </c>
      <c r="J1" s="11"/>
    </row>
    <row r="2" spans="1:10" ht="14.4" x14ac:dyDescent="0.3">
      <c r="A2" s="17" t="s">
        <v>233</v>
      </c>
      <c r="B2" s="17" t="s">
        <v>195</v>
      </c>
      <c r="C2" s="50" t="str">
        <f>VLOOKUP(B2,'Patner Store'!A$2:A$51,1,0)</f>
        <v>PS0040</v>
      </c>
      <c r="D2" s="29" t="s">
        <v>227</v>
      </c>
      <c r="E2" s="50" t="str">
        <f>VLOOKUP(D2,'Sales Team'!A$2:B$6,1,0)</f>
        <v>ST0003</v>
      </c>
      <c r="F2" s="28">
        <v>43832</v>
      </c>
      <c r="G2" s="29" t="s">
        <v>234</v>
      </c>
      <c r="H2" s="31">
        <v>114641676</v>
      </c>
      <c r="I2" s="17"/>
      <c r="J2" s="12"/>
    </row>
    <row r="3" spans="1:10" ht="14.4" x14ac:dyDescent="0.3">
      <c r="A3" s="17" t="s">
        <v>235</v>
      </c>
      <c r="B3" s="17" t="s">
        <v>207</v>
      </c>
      <c r="C3" s="50" t="str">
        <f>VLOOKUP(B3,'Patner Store'!A$2:A$51,1,0)</f>
        <v>PS0046</v>
      </c>
      <c r="D3" s="29" t="s">
        <v>227</v>
      </c>
      <c r="E3" s="50" t="str">
        <f>VLOOKUP(D3,'Sales Team'!A$2:B$6,1,0)</f>
        <v>ST0003</v>
      </c>
      <c r="F3" s="28">
        <v>43832</v>
      </c>
      <c r="G3" s="17" t="s">
        <v>234</v>
      </c>
      <c r="H3" s="31">
        <v>44870970</v>
      </c>
      <c r="I3" s="17"/>
    </row>
    <row r="4" spans="1:10" ht="14.4" x14ac:dyDescent="0.3">
      <c r="A4" s="17" t="s">
        <v>236</v>
      </c>
      <c r="B4" s="17" t="s">
        <v>162</v>
      </c>
      <c r="C4" s="50" t="str">
        <f>VLOOKUP(B4,'Patner Store'!A$2:A$51,1,0)</f>
        <v>PS0024</v>
      </c>
      <c r="D4" s="29" t="s">
        <v>222</v>
      </c>
      <c r="E4" s="50" t="str">
        <f>VLOOKUP(D4,'Sales Team'!A$2:B$6,1,0)</f>
        <v>ST0001</v>
      </c>
      <c r="F4" s="28">
        <v>43833</v>
      </c>
      <c r="G4" s="29" t="s">
        <v>237</v>
      </c>
      <c r="H4" s="31">
        <v>1101806050</v>
      </c>
      <c r="I4" s="17" t="s">
        <v>238</v>
      </c>
    </row>
    <row r="5" spans="1:10" ht="14.4" x14ac:dyDescent="0.3">
      <c r="A5" s="17" t="s">
        <v>239</v>
      </c>
      <c r="B5" s="17" t="s">
        <v>211</v>
      </c>
      <c r="C5" s="50" t="str">
        <f>VLOOKUP(B5,'Patner Store'!A$2:A$51,1,0)</f>
        <v>PS0048</v>
      </c>
      <c r="D5" s="29" t="s">
        <v>227</v>
      </c>
      <c r="E5" s="50" t="str">
        <f>VLOOKUP(D5,'Sales Team'!A$2:B$6,1,0)</f>
        <v>ST0003</v>
      </c>
      <c r="F5" s="28">
        <v>43834</v>
      </c>
      <c r="G5" s="17" t="s">
        <v>234</v>
      </c>
      <c r="H5" s="31">
        <v>10698048</v>
      </c>
      <c r="I5" s="17"/>
    </row>
    <row r="6" spans="1:10" ht="14.4" x14ac:dyDescent="0.3">
      <c r="A6" s="17" t="s">
        <v>240</v>
      </c>
      <c r="B6" s="17" t="s">
        <v>162</v>
      </c>
      <c r="C6" s="50" t="str">
        <f>VLOOKUP(B6,'Patner Store'!A$2:A$51,1,0)</f>
        <v>PS0024</v>
      </c>
      <c r="D6" s="29" t="s">
        <v>222</v>
      </c>
      <c r="E6" s="50" t="str">
        <f>VLOOKUP(D6,'Sales Team'!A$2:B$6,1,0)</f>
        <v>ST0001</v>
      </c>
      <c r="F6" s="28">
        <v>43835</v>
      </c>
      <c r="G6" s="29" t="s">
        <v>237</v>
      </c>
      <c r="H6" s="31">
        <v>250560000</v>
      </c>
      <c r="I6" s="17"/>
    </row>
    <row r="7" spans="1:10" ht="14.4" x14ac:dyDescent="0.3">
      <c r="A7" s="17" t="s">
        <v>241</v>
      </c>
      <c r="B7" s="17" t="s">
        <v>135</v>
      </c>
      <c r="C7" s="50" t="str">
        <f>VLOOKUP(B7,'Patner Store'!A$2:A$51,1,0)</f>
        <v>PS0012</v>
      </c>
      <c r="D7" s="29" t="s">
        <v>227</v>
      </c>
      <c r="E7" s="50" t="str">
        <f>VLOOKUP(D7,'Sales Team'!A$2:B$6,1,0)</f>
        <v>ST0003</v>
      </c>
      <c r="F7" s="28">
        <v>43837</v>
      </c>
      <c r="G7" s="17" t="s">
        <v>234</v>
      </c>
      <c r="H7" s="31">
        <v>11269440</v>
      </c>
      <c r="I7" s="17"/>
    </row>
    <row r="8" spans="1:10" ht="14.4" x14ac:dyDescent="0.3">
      <c r="A8" s="17" t="s">
        <v>242</v>
      </c>
      <c r="B8" s="17" t="s">
        <v>162</v>
      </c>
      <c r="C8" s="50" t="str">
        <f>VLOOKUP(B8,'Patner Store'!A$2:A$51,1,0)</f>
        <v>PS0024</v>
      </c>
      <c r="D8" s="29" t="s">
        <v>222</v>
      </c>
      <c r="E8" s="50" t="str">
        <f>VLOOKUP(D8,'Sales Team'!A$2:B$6,1,0)</f>
        <v>ST0001</v>
      </c>
      <c r="F8" s="28">
        <v>43839</v>
      </c>
      <c r="G8" s="29" t="s">
        <v>237</v>
      </c>
      <c r="H8" s="31">
        <v>427027780</v>
      </c>
      <c r="I8" s="17"/>
    </row>
    <row r="9" spans="1:10" ht="14.4" x14ac:dyDescent="0.3">
      <c r="A9" s="17" t="s">
        <v>243</v>
      </c>
      <c r="B9" s="17" t="s">
        <v>205</v>
      </c>
      <c r="C9" s="50" t="str">
        <f>VLOOKUP(B9,'Patner Store'!A$2:A$51,1,0)</f>
        <v>PS0045</v>
      </c>
      <c r="D9" s="29" t="s">
        <v>231</v>
      </c>
      <c r="E9" s="50" t="str">
        <f>VLOOKUP(D9,'Sales Team'!A$2:B$6,1,0)</f>
        <v>ST0005</v>
      </c>
      <c r="F9" s="28">
        <v>43840</v>
      </c>
      <c r="G9" s="29" t="s">
        <v>237</v>
      </c>
      <c r="H9" s="31">
        <v>614116940</v>
      </c>
      <c r="I9" s="17"/>
    </row>
    <row r="10" spans="1:10" ht="14.4" x14ac:dyDescent="0.3">
      <c r="A10" s="17" t="s">
        <v>244</v>
      </c>
      <c r="B10" s="17" t="s">
        <v>189</v>
      </c>
      <c r="C10" s="50" t="str">
        <f>VLOOKUP(B10,'Patner Store'!A$2:A$51,1,0)</f>
        <v>PS0037</v>
      </c>
      <c r="D10" s="29" t="s">
        <v>225</v>
      </c>
      <c r="E10" s="50" t="str">
        <f>VLOOKUP(D10,'Sales Team'!A$2:B$6,1,0)</f>
        <v>ST0002</v>
      </c>
      <c r="F10" s="28">
        <v>43841</v>
      </c>
      <c r="G10" s="17" t="s">
        <v>234</v>
      </c>
      <c r="H10" s="31">
        <v>175419850</v>
      </c>
      <c r="I10" s="17"/>
    </row>
    <row r="11" spans="1:10" ht="14.4" x14ac:dyDescent="0.3">
      <c r="A11" s="17" t="s">
        <v>245</v>
      </c>
      <c r="B11" s="17" t="s">
        <v>189</v>
      </c>
      <c r="C11" s="50" t="str">
        <f>VLOOKUP(B11,'Patner Store'!A$2:A$51,1,0)</f>
        <v>PS0037</v>
      </c>
      <c r="D11" s="29" t="s">
        <v>225</v>
      </c>
      <c r="E11" s="50" t="str">
        <f>VLOOKUP(D11,'Sales Team'!A$2:B$6,1,0)</f>
        <v>ST0002</v>
      </c>
      <c r="F11" s="28">
        <v>43841</v>
      </c>
      <c r="G11" s="29" t="s">
        <v>237</v>
      </c>
      <c r="H11" s="31">
        <v>669084987</v>
      </c>
      <c r="I11" s="17"/>
      <c r="J11" s="8"/>
    </row>
    <row r="12" spans="1:10" ht="14.4" x14ac:dyDescent="0.3">
      <c r="A12" s="17" t="s">
        <v>246</v>
      </c>
      <c r="B12" s="17" t="s">
        <v>113</v>
      </c>
      <c r="C12" s="50" t="str">
        <f>VLOOKUP(B12,'Patner Store'!A$2:A$51,1,0)</f>
        <v>PS0003</v>
      </c>
      <c r="D12" s="29" t="s">
        <v>227</v>
      </c>
      <c r="E12" s="50" t="str">
        <f>VLOOKUP(D12,'Sales Team'!A$2:B$6,1,0)</f>
        <v>ST0003</v>
      </c>
      <c r="F12" s="28">
        <v>43843</v>
      </c>
      <c r="G12" s="17" t="s">
        <v>234</v>
      </c>
      <c r="H12" s="31">
        <v>70191310</v>
      </c>
      <c r="I12" s="17" t="s">
        <v>247</v>
      </c>
    </row>
    <row r="13" spans="1:10" ht="14.4" x14ac:dyDescent="0.3">
      <c r="A13" s="17" t="s">
        <v>248</v>
      </c>
      <c r="B13" s="17" t="s">
        <v>201</v>
      </c>
      <c r="C13" s="50" t="str">
        <f>VLOOKUP(B13,'Patner Store'!A$2:A$51,1,0)</f>
        <v>PS0043</v>
      </c>
      <c r="D13" s="29" t="s">
        <v>229</v>
      </c>
      <c r="E13" s="50" t="str">
        <f>VLOOKUP(D13,'Sales Team'!A$2:B$6,1,0)</f>
        <v>ST0004</v>
      </c>
      <c r="F13" s="28">
        <v>43847</v>
      </c>
      <c r="G13" s="17" t="s">
        <v>234</v>
      </c>
      <c r="H13" s="31">
        <v>97549900</v>
      </c>
      <c r="I13" s="17"/>
    </row>
    <row r="14" spans="1:10" ht="14.4" x14ac:dyDescent="0.3">
      <c r="A14" s="17" t="s">
        <v>249</v>
      </c>
      <c r="B14" s="17" t="s">
        <v>215</v>
      </c>
      <c r="C14" s="50" t="str">
        <f>VLOOKUP(B14,'Patner Store'!A$2:A$51,1,0)</f>
        <v>PS0050</v>
      </c>
      <c r="D14" s="29" t="s">
        <v>229</v>
      </c>
      <c r="E14" s="50" t="str">
        <f>VLOOKUP(D14,'Sales Team'!A$2:B$6,1,0)</f>
        <v>ST0004</v>
      </c>
      <c r="F14" s="28">
        <v>43848</v>
      </c>
      <c r="G14" s="29" t="s">
        <v>237</v>
      </c>
      <c r="H14" s="31">
        <v>637102960</v>
      </c>
      <c r="I14" s="17"/>
    </row>
    <row r="15" spans="1:10" ht="14.4" x14ac:dyDescent="0.3">
      <c r="A15" s="17" t="s">
        <v>250</v>
      </c>
      <c r="B15" s="17" t="s">
        <v>179</v>
      </c>
      <c r="C15" s="50" t="str">
        <f>VLOOKUP(B15,'Patner Store'!A$2:A$51,1,0)</f>
        <v>PS0032</v>
      </c>
      <c r="D15" s="29" t="s">
        <v>229</v>
      </c>
      <c r="E15" s="50" t="str">
        <f>VLOOKUP(D15,'Sales Team'!A$2:B$6,1,0)</f>
        <v>ST0004</v>
      </c>
      <c r="F15" s="28">
        <v>43849</v>
      </c>
      <c r="G15" s="29" t="s">
        <v>237</v>
      </c>
      <c r="H15" s="31">
        <v>290103980</v>
      </c>
      <c r="I15" s="17"/>
    </row>
    <row r="16" spans="1:10" ht="14.4" x14ac:dyDescent="0.3">
      <c r="A16" s="17" t="s">
        <v>251</v>
      </c>
      <c r="B16" s="17" t="s">
        <v>139</v>
      </c>
      <c r="C16" s="50" t="str">
        <f>VLOOKUP(B16,'Patner Store'!A$2:A$51,1,0)</f>
        <v>PS0014</v>
      </c>
      <c r="D16" s="29" t="s">
        <v>227</v>
      </c>
      <c r="E16" s="50" t="str">
        <f>VLOOKUP(D16,'Sales Team'!A$2:B$6,1,0)</f>
        <v>ST0003</v>
      </c>
      <c r="F16" s="28">
        <v>43850</v>
      </c>
      <c r="G16" s="29" t="s">
        <v>237</v>
      </c>
      <c r="H16" s="31">
        <v>644706190</v>
      </c>
      <c r="I16" s="17" t="s">
        <v>238</v>
      </c>
    </row>
    <row r="17" spans="1:9" ht="14.4" x14ac:dyDescent="0.3">
      <c r="A17" s="17" t="s">
        <v>252</v>
      </c>
      <c r="B17" s="17" t="s">
        <v>126</v>
      </c>
      <c r="C17" s="50" t="str">
        <f>VLOOKUP(B17,'Patner Store'!A$2:A$51,1,0)</f>
        <v>PS0008</v>
      </c>
      <c r="D17" s="29" t="s">
        <v>229</v>
      </c>
      <c r="E17" s="50" t="str">
        <f>VLOOKUP(D17,'Sales Team'!A$2:B$6,1,0)</f>
        <v>ST0004</v>
      </c>
      <c r="F17" s="28">
        <v>43850</v>
      </c>
      <c r="G17" s="17" t="s">
        <v>234</v>
      </c>
      <c r="H17" s="31">
        <v>248020740</v>
      </c>
      <c r="I17" s="17" t="s">
        <v>253</v>
      </c>
    </row>
    <row r="18" spans="1:9" ht="14.4" x14ac:dyDescent="0.3">
      <c r="A18" s="17" t="s">
        <v>254</v>
      </c>
      <c r="B18" s="17" t="s">
        <v>137</v>
      </c>
      <c r="C18" s="50" t="str">
        <f>VLOOKUP(B18,'Patner Store'!A$2:A$51,1,0)</f>
        <v>PS0013</v>
      </c>
      <c r="D18" s="29" t="s">
        <v>222</v>
      </c>
      <c r="E18" s="50" t="str">
        <f>VLOOKUP(D18,'Sales Team'!A$2:B$6,1,0)</f>
        <v>ST0001</v>
      </c>
      <c r="F18" s="28">
        <v>43853</v>
      </c>
      <c r="G18" s="29" t="s">
        <v>237</v>
      </c>
      <c r="H18" s="31">
        <v>688063360</v>
      </c>
      <c r="I18" s="17"/>
    </row>
    <row r="19" spans="1:9" ht="14.4" x14ac:dyDescent="0.3">
      <c r="A19" s="17" t="s">
        <v>255</v>
      </c>
      <c r="B19" s="17" t="s">
        <v>193</v>
      </c>
      <c r="C19" s="50" t="str">
        <f>VLOOKUP(B19,'Patner Store'!A$2:A$51,1,0)</f>
        <v>PS0039</v>
      </c>
      <c r="D19" s="29" t="s">
        <v>227</v>
      </c>
      <c r="E19" s="50" t="str">
        <f>VLOOKUP(D19,'Sales Team'!A$2:B$6,1,0)</f>
        <v>ST0003</v>
      </c>
      <c r="F19" s="28">
        <v>43853</v>
      </c>
      <c r="G19" s="17" t="s">
        <v>234</v>
      </c>
      <c r="H19" s="31">
        <v>44061600</v>
      </c>
      <c r="I19" s="17"/>
    </row>
    <row r="20" spans="1:9" ht="14.4" x14ac:dyDescent="0.3">
      <c r="A20" s="17" t="s">
        <v>256</v>
      </c>
      <c r="B20" s="17" t="s">
        <v>154</v>
      </c>
      <c r="C20" s="50" t="str">
        <f>VLOOKUP(B20,'Patner Store'!A$2:A$51,1,0)</f>
        <v>PS0020</v>
      </c>
      <c r="D20" s="29" t="s">
        <v>229</v>
      </c>
      <c r="E20" s="50" t="str">
        <f>VLOOKUP(D20,'Sales Team'!A$2:B$6,1,0)</f>
        <v>ST0004</v>
      </c>
      <c r="F20" s="28">
        <v>43854</v>
      </c>
      <c r="G20" s="29" t="s">
        <v>237</v>
      </c>
      <c r="H20" s="31">
        <v>301033270</v>
      </c>
      <c r="I20" s="17"/>
    </row>
    <row r="21" spans="1:9" ht="15.75" customHeight="1" x14ac:dyDescent="0.3">
      <c r="A21" s="17" t="s">
        <v>257</v>
      </c>
      <c r="B21" s="17" t="s">
        <v>151</v>
      </c>
      <c r="C21" s="50" t="str">
        <f>VLOOKUP(B21,'Patner Store'!A$2:A$51,1,0)</f>
        <v>PS0019</v>
      </c>
      <c r="D21" s="29" t="s">
        <v>231</v>
      </c>
      <c r="E21" s="50" t="str">
        <f>VLOOKUP(D21,'Sales Team'!A$2:B$6,1,0)</f>
        <v>ST0005</v>
      </c>
      <c r="F21" s="28">
        <v>43856</v>
      </c>
      <c r="G21" s="17" t="s">
        <v>234</v>
      </c>
      <c r="H21" s="31">
        <v>70487380</v>
      </c>
      <c r="I21" s="17"/>
    </row>
    <row r="22" spans="1:9" ht="15.75" customHeight="1" x14ac:dyDescent="0.3">
      <c r="A22" s="17" t="s">
        <v>258</v>
      </c>
      <c r="B22" s="17" t="s">
        <v>189</v>
      </c>
      <c r="C22" s="50" t="str">
        <f>VLOOKUP(B22,'Patner Store'!A$2:A$51,1,0)</f>
        <v>PS0037</v>
      </c>
      <c r="D22" s="29" t="s">
        <v>225</v>
      </c>
      <c r="E22" s="50" t="str">
        <f>VLOOKUP(D22,'Sales Team'!A$2:B$6,1,0)</f>
        <v>ST0002</v>
      </c>
      <c r="F22" s="28">
        <v>43856</v>
      </c>
      <c r="G22" s="17" t="s">
        <v>234</v>
      </c>
      <c r="H22" s="31">
        <v>219754110</v>
      </c>
      <c r="I22" s="17"/>
    </row>
    <row r="23" spans="1:9" ht="15.75" customHeight="1" x14ac:dyDescent="0.3">
      <c r="A23" s="17" t="s">
        <v>259</v>
      </c>
      <c r="B23" s="17" t="s">
        <v>148</v>
      </c>
      <c r="C23" s="50" t="str">
        <f>VLOOKUP(B23,'Patner Store'!A$2:A$51,1,0)</f>
        <v>PS0018</v>
      </c>
      <c r="D23" s="29" t="s">
        <v>225</v>
      </c>
      <c r="E23" s="50" t="str">
        <f>VLOOKUP(D23,'Sales Team'!A$2:B$6,1,0)</f>
        <v>ST0002</v>
      </c>
      <c r="F23" s="28">
        <v>43856</v>
      </c>
      <c r="G23" s="29" t="s">
        <v>237</v>
      </c>
      <c r="H23" s="31">
        <v>473835924</v>
      </c>
      <c r="I23" s="17" t="s">
        <v>260</v>
      </c>
    </row>
    <row r="24" spans="1:9" ht="15.75" customHeight="1" x14ac:dyDescent="0.3">
      <c r="A24" s="17" t="s">
        <v>261</v>
      </c>
      <c r="B24" s="17" t="s">
        <v>137</v>
      </c>
      <c r="C24" s="50" t="str">
        <f>VLOOKUP(B24,'Patner Store'!A$2:A$51,1,0)</f>
        <v>PS0013</v>
      </c>
      <c r="D24" s="29" t="s">
        <v>222</v>
      </c>
      <c r="E24" s="50" t="str">
        <f>VLOOKUP(D24,'Sales Team'!A$2:B$6,1,0)</f>
        <v>ST0001</v>
      </c>
      <c r="F24" s="28">
        <v>43857</v>
      </c>
      <c r="G24" s="17" t="s">
        <v>234</v>
      </c>
      <c r="H24" s="31">
        <v>177937976</v>
      </c>
      <c r="I24" s="17"/>
    </row>
    <row r="25" spans="1:9" ht="15.75" customHeight="1" x14ac:dyDescent="0.3">
      <c r="A25" s="17" t="s">
        <v>262</v>
      </c>
      <c r="B25" s="17" t="s">
        <v>195</v>
      </c>
      <c r="C25" s="50" t="str">
        <f>VLOOKUP(B25,'Patner Store'!A$2:A$51,1,0)</f>
        <v>PS0040</v>
      </c>
      <c r="D25" s="29" t="s">
        <v>227</v>
      </c>
      <c r="E25" s="50" t="str">
        <f>VLOOKUP(D25,'Sales Team'!A$2:B$6,1,0)</f>
        <v>ST0003</v>
      </c>
      <c r="F25" s="28">
        <v>43859</v>
      </c>
      <c r="G25" s="17" t="s">
        <v>234</v>
      </c>
      <c r="H25" s="31">
        <v>43468350</v>
      </c>
      <c r="I25" s="17"/>
    </row>
    <row r="26" spans="1:9" ht="15.75" customHeight="1" x14ac:dyDescent="0.3">
      <c r="A26" s="17" t="s">
        <v>263</v>
      </c>
      <c r="B26" s="17" t="s">
        <v>183</v>
      </c>
      <c r="C26" s="50" t="str">
        <f>VLOOKUP(B26,'Patner Store'!A$2:A$51,1,0)</f>
        <v>PS0034</v>
      </c>
      <c r="D26" s="29" t="s">
        <v>222</v>
      </c>
      <c r="E26" s="50" t="str">
        <f>VLOOKUP(D26,'Sales Team'!A$2:B$6,1,0)</f>
        <v>ST0001</v>
      </c>
      <c r="F26" s="28">
        <v>43860</v>
      </c>
      <c r="G26" s="17" t="s">
        <v>234</v>
      </c>
      <c r="H26" s="31">
        <v>72692150</v>
      </c>
      <c r="I26" s="17"/>
    </row>
    <row r="27" spans="1:9" ht="15.75" customHeight="1" x14ac:dyDescent="0.3">
      <c r="A27" s="17" t="s">
        <v>264</v>
      </c>
      <c r="B27" s="17" t="s">
        <v>156</v>
      </c>
      <c r="C27" s="50" t="str">
        <f>VLOOKUP(B27,'Patner Store'!A$2:A$51,1,0)</f>
        <v>PS0021</v>
      </c>
      <c r="D27" s="29" t="s">
        <v>222</v>
      </c>
      <c r="E27" s="50" t="str">
        <f>VLOOKUP(D27,'Sales Team'!A$2:B$6,1,0)</f>
        <v>ST0001</v>
      </c>
      <c r="F27" s="28">
        <v>43861</v>
      </c>
      <c r="G27" s="17" t="s">
        <v>234</v>
      </c>
      <c r="H27" s="31">
        <v>249589510</v>
      </c>
      <c r="I27" s="17" t="s">
        <v>260</v>
      </c>
    </row>
    <row r="28" spans="1:9" ht="15.75" customHeight="1" x14ac:dyDescent="0.3">
      <c r="A28" s="17" t="s">
        <v>265</v>
      </c>
      <c r="B28" s="17" t="s">
        <v>209</v>
      </c>
      <c r="C28" s="50" t="str">
        <f>VLOOKUP(B28,'Patner Store'!A$2:A$51,1,0)</f>
        <v>PS0047</v>
      </c>
      <c r="D28" s="29" t="s">
        <v>222</v>
      </c>
      <c r="E28" s="50" t="str">
        <f>VLOOKUP(D28,'Sales Team'!A$2:B$6,1,0)</f>
        <v>ST0001</v>
      </c>
      <c r="F28" s="28">
        <v>43861</v>
      </c>
      <c r="G28" s="29" t="s">
        <v>237</v>
      </c>
      <c r="H28" s="31">
        <v>665340650</v>
      </c>
      <c r="I28" s="17" t="s">
        <v>238</v>
      </c>
    </row>
    <row r="29" spans="1:9" ht="15.75" customHeight="1" x14ac:dyDescent="0.3">
      <c r="A29" s="17" t="s">
        <v>266</v>
      </c>
      <c r="B29" s="17" t="s">
        <v>185</v>
      </c>
      <c r="C29" s="50" t="str">
        <f>VLOOKUP(B29,'Patner Store'!A$2:A$51,1,0)</f>
        <v>PS0035</v>
      </c>
      <c r="D29" s="29" t="s">
        <v>229</v>
      </c>
      <c r="E29" s="50" t="str">
        <f>VLOOKUP(D29,'Sales Team'!A$2:B$6,1,0)</f>
        <v>ST0004</v>
      </c>
      <c r="F29" s="28">
        <v>43866</v>
      </c>
      <c r="G29" s="17" t="s">
        <v>234</v>
      </c>
      <c r="H29" s="31">
        <v>110695360</v>
      </c>
      <c r="I29" s="17" t="s">
        <v>253</v>
      </c>
    </row>
    <row r="30" spans="1:9" ht="15.75" customHeight="1" x14ac:dyDescent="0.3">
      <c r="A30" s="17" t="s">
        <v>267</v>
      </c>
      <c r="B30" s="17" t="s">
        <v>171</v>
      </c>
      <c r="C30" s="50" t="str">
        <f>VLOOKUP(B30,'Patner Store'!A$2:A$51,1,0)</f>
        <v>PS0028</v>
      </c>
      <c r="D30" s="29" t="s">
        <v>231</v>
      </c>
      <c r="E30" s="50" t="str">
        <f>VLOOKUP(D30,'Sales Team'!A$2:B$6,1,0)</f>
        <v>ST0005</v>
      </c>
      <c r="F30" s="28">
        <v>43866</v>
      </c>
      <c r="G30" s="17" t="s">
        <v>234</v>
      </c>
      <c r="H30" s="31">
        <v>48219680</v>
      </c>
      <c r="I30" s="17"/>
    </row>
    <row r="31" spans="1:9" ht="15.75" customHeight="1" x14ac:dyDescent="0.3">
      <c r="A31" s="17" t="s">
        <v>268</v>
      </c>
      <c r="B31" s="17" t="s">
        <v>158</v>
      </c>
      <c r="C31" s="50" t="str">
        <f>VLOOKUP(B31,'Patner Store'!A$2:A$51,1,0)</f>
        <v>PS0022</v>
      </c>
      <c r="D31" s="29" t="s">
        <v>229</v>
      </c>
      <c r="E31" s="50" t="str">
        <f>VLOOKUP(D31,'Sales Team'!A$2:B$6,1,0)</f>
        <v>ST0004</v>
      </c>
      <c r="F31" s="28">
        <v>43868</v>
      </c>
      <c r="G31" s="17" t="s">
        <v>234</v>
      </c>
      <c r="H31" s="31">
        <v>80974010</v>
      </c>
      <c r="I31" s="17"/>
    </row>
    <row r="32" spans="1:9" ht="15.75" customHeight="1" x14ac:dyDescent="0.3">
      <c r="A32" s="17" t="s">
        <v>269</v>
      </c>
      <c r="B32" s="17" t="s">
        <v>124</v>
      </c>
      <c r="C32" s="50" t="str">
        <f>VLOOKUP(B32,'Patner Store'!A$2:A$51,1,0)</f>
        <v>PS0007</v>
      </c>
      <c r="D32" s="29" t="s">
        <v>222</v>
      </c>
      <c r="E32" s="50" t="str">
        <f>VLOOKUP(D32,'Sales Team'!A$2:B$6,1,0)</f>
        <v>ST0001</v>
      </c>
      <c r="F32" s="28">
        <v>43874</v>
      </c>
      <c r="G32" s="17" t="s">
        <v>234</v>
      </c>
      <c r="H32" s="31">
        <v>21634158</v>
      </c>
      <c r="I32" s="17" t="s">
        <v>247</v>
      </c>
    </row>
    <row r="33" spans="1:9" ht="15.75" customHeight="1" x14ac:dyDescent="0.3">
      <c r="A33" s="17" t="s">
        <v>270</v>
      </c>
      <c r="B33" s="17" t="s">
        <v>131</v>
      </c>
      <c r="C33" s="50" t="str">
        <f>VLOOKUP(B33,'Patner Store'!A$2:A$51,1,0)</f>
        <v>PS0010</v>
      </c>
      <c r="D33" s="29" t="s">
        <v>222</v>
      </c>
      <c r="E33" s="50" t="str">
        <f>VLOOKUP(D33,'Sales Team'!A$2:B$6,1,0)</f>
        <v>ST0001</v>
      </c>
      <c r="F33" s="28">
        <v>43875</v>
      </c>
      <c r="G33" s="17" t="s">
        <v>234</v>
      </c>
      <c r="H33" s="31">
        <v>38254350</v>
      </c>
      <c r="I33" s="17"/>
    </row>
    <row r="34" spans="1:9" ht="15.75" customHeight="1" x14ac:dyDescent="0.3">
      <c r="A34" s="17" t="s">
        <v>271</v>
      </c>
      <c r="B34" s="17" t="s">
        <v>135</v>
      </c>
      <c r="C34" s="50" t="str">
        <f>VLOOKUP(B34,'Patner Store'!A$2:A$51,1,0)</f>
        <v>PS0012</v>
      </c>
      <c r="D34" s="29" t="s">
        <v>227</v>
      </c>
      <c r="E34" s="50" t="str">
        <f>VLOOKUP(D34,'Sales Team'!A$2:B$6,1,0)</f>
        <v>ST0003</v>
      </c>
      <c r="F34" s="28">
        <v>43875</v>
      </c>
      <c r="G34" s="29" t="s">
        <v>237</v>
      </c>
      <c r="H34" s="31">
        <v>274768110</v>
      </c>
      <c r="I34" s="17" t="s">
        <v>247</v>
      </c>
    </row>
    <row r="35" spans="1:9" ht="15.75" customHeight="1" x14ac:dyDescent="0.3">
      <c r="A35" s="17" t="s">
        <v>272</v>
      </c>
      <c r="B35" s="17" t="s">
        <v>105</v>
      </c>
      <c r="C35" s="50" t="str">
        <f>VLOOKUP(B35,'Patner Store'!A$2:A$51,1,0)</f>
        <v>PS0001</v>
      </c>
      <c r="D35" s="29" t="s">
        <v>231</v>
      </c>
      <c r="E35" s="50" t="str">
        <f>VLOOKUP(D35,'Sales Team'!A$2:B$6,1,0)</f>
        <v>ST0005</v>
      </c>
      <c r="F35" s="28">
        <v>43876</v>
      </c>
      <c r="G35" s="17" t="s">
        <v>234</v>
      </c>
      <c r="H35" s="31">
        <v>156249110</v>
      </c>
      <c r="I35" s="17"/>
    </row>
    <row r="36" spans="1:9" ht="15.75" customHeight="1" x14ac:dyDescent="0.3">
      <c r="A36" s="17" t="s">
        <v>273</v>
      </c>
      <c r="B36" s="17" t="s">
        <v>181</v>
      </c>
      <c r="C36" s="50" t="str">
        <f>VLOOKUP(B36,'Patner Store'!A$2:A$51,1,0)</f>
        <v>PS0033</v>
      </c>
      <c r="D36" s="29" t="s">
        <v>231</v>
      </c>
      <c r="E36" s="50" t="str">
        <f>VLOOKUP(D36,'Sales Team'!A$2:B$6,1,0)</f>
        <v>ST0005</v>
      </c>
      <c r="F36" s="28">
        <v>43877</v>
      </c>
      <c r="G36" s="29" t="s">
        <v>237</v>
      </c>
      <c r="H36" s="31">
        <v>473491910</v>
      </c>
      <c r="I36" s="17"/>
    </row>
    <row r="37" spans="1:9" ht="15.75" customHeight="1" x14ac:dyDescent="0.3">
      <c r="A37" s="17" t="s">
        <v>274</v>
      </c>
      <c r="B37" s="17" t="s">
        <v>183</v>
      </c>
      <c r="C37" s="50" t="str">
        <f>VLOOKUP(B37,'Patner Store'!A$2:A$51,1,0)</f>
        <v>PS0034</v>
      </c>
      <c r="D37" s="29" t="s">
        <v>222</v>
      </c>
      <c r="E37" s="50" t="str">
        <f>VLOOKUP(D37,'Sales Team'!A$2:B$6,1,0)</f>
        <v>ST0001</v>
      </c>
      <c r="F37" s="28">
        <v>43878</v>
      </c>
      <c r="G37" s="29" t="s">
        <v>237</v>
      </c>
      <c r="H37" s="31">
        <v>376525700</v>
      </c>
      <c r="I37" s="17"/>
    </row>
    <row r="38" spans="1:9" ht="15.75" customHeight="1" x14ac:dyDescent="0.3">
      <c r="A38" s="17" t="s">
        <v>275</v>
      </c>
      <c r="B38" s="17" t="s">
        <v>171</v>
      </c>
      <c r="C38" s="50" t="str">
        <f>VLOOKUP(B38,'Patner Store'!A$2:A$51,1,0)</f>
        <v>PS0028</v>
      </c>
      <c r="D38" s="29" t="s">
        <v>231</v>
      </c>
      <c r="E38" s="50" t="str">
        <f>VLOOKUP(D38,'Sales Team'!A$2:B$6,1,0)</f>
        <v>ST0005</v>
      </c>
      <c r="F38" s="28">
        <v>43881</v>
      </c>
      <c r="G38" s="29" t="s">
        <v>237</v>
      </c>
      <c r="H38" s="31">
        <v>1038581420</v>
      </c>
      <c r="I38" s="17" t="s">
        <v>238</v>
      </c>
    </row>
    <row r="39" spans="1:9" ht="15.75" customHeight="1" x14ac:dyDescent="0.3">
      <c r="A39" s="17" t="s">
        <v>276</v>
      </c>
      <c r="B39" s="17" t="s">
        <v>187</v>
      </c>
      <c r="C39" s="50" t="str">
        <f>VLOOKUP(B39,'Patner Store'!A$2:A$51,1,0)</f>
        <v>PS0036</v>
      </c>
      <c r="D39" s="29" t="s">
        <v>231</v>
      </c>
      <c r="E39" s="50" t="str">
        <f>VLOOKUP(D39,'Sales Team'!A$2:B$6,1,0)</f>
        <v>ST0005</v>
      </c>
      <c r="F39" s="28">
        <v>43882</v>
      </c>
      <c r="G39" s="17" t="s">
        <v>234</v>
      </c>
      <c r="H39" s="31">
        <v>130531820</v>
      </c>
      <c r="I39" s="17"/>
    </row>
    <row r="40" spans="1:9" ht="15.75" customHeight="1" x14ac:dyDescent="0.3">
      <c r="A40" s="17" t="s">
        <v>277</v>
      </c>
      <c r="B40" s="17" t="s">
        <v>137</v>
      </c>
      <c r="C40" s="50" t="str">
        <f>VLOOKUP(B40,'Patner Store'!A$2:A$51,1,0)</f>
        <v>PS0013</v>
      </c>
      <c r="D40" s="29" t="s">
        <v>222</v>
      </c>
      <c r="E40" s="50" t="str">
        <f>VLOOKUP(D40,'Sales Team'!A$2:B$6,1,0)</f>
        <v>ST0001</v>
      </c>
      <c r="F40" s="28">
        <v>43883</v>
      </c>
      <c r="G40" s="29" t="s">
        <v>237</v>
      </c>
      <c r="H40" s="31">
        <v>1115480621</v>
      </c>
      <c r="I40" s="17" t="s">
        <v>238</v>
      </c>
    </row>
    <row r="41" spans="1:9" ht="15.75" customHeight="1" x14ac:dyDescent="0.3">
      <c r="A41" s="17" t="s">
        <v>278</v>
      </c>
      <c r="B41" s="17" t="s">
        <v>148</v>
      </c>
      <c r="C41" s="50" t="str">
        <f>VLOOKUP(B41,'Patner Store'!A$2:A$51,1,0)</f>
        <v>PS0018</v>
      </c>
      <c r="D41" s="29" t="s">
        <v>225</v>
      </c>
      <c r="E41" s="50" t="str">
        <f>VLOOKUP(D41,'Sales Team'!A$2:B$6,1,0)</f>
        <v>ST0002</v>
      </c>
      <c r="F41" s="28">
        <v>43885</v>
      </c>
      <c r="G41" s="29" t="s">
        <v>237</v>
      </c>
      <c r="H41" s="31">
        <v>348772960</v>
      </c>
      <c r="I41" s="17"/>
    </row>
    <row r="42" spans="1:9" ht="15.75" customHeight="1" x14ac:dyDescent="0.3">
      <c r="A42" s="17" t="s">
        <v>279</v>
      </c>
      <c r="B42" s="17" t="s">
        <v>181</v>
      </c>
      <c r="C42" s="50" t="str">
        <f>VLOOKUP(B42,'Patner Store'!A$2:A$51,1,0)</f>
        <v>PS0033</v>
      </c>
      <c r="D42" s="29" t="s">
        <v>231</v>
      </c>
      <c r="E42" s="50" t="str">
        <f>VLOOKUP(D42,'Sales Team'!A$2:B$6,1,0)</f>
        <v>ST0005</v>
      </c>
      <c r="F42" s="28">
        <v>43886</v>
      </c>
      <c r="G42" s="29" t="s">
        <v>237</v>
      </c>
      <c r="H42" s="31">
        <v>771270590</v>
      </c>
      <c r="I42" s="17"/>
    </row>
    <row r="43" spans="1:9" ht="15.75" customHeight="1" x14ac:dyDescent="0.3">
      <c r="A43" s="17" t="s">
        <v>280</v>
      </c>
      <c r="B43" s="17" t="s">
        <v>175</v>
      </c>
      <c r="C43" s="50" t="str">
        <f>VLOOKUP(B43,'Patner Store'!A$2:A$51,1,0)</f>
        <v>PS0030</v>
      </c>
      <c r="D43" s="29" t="s">
        <v>229</v>
      </c>
      <c r="E43" s="50" t="str">
        <f>VLOOKUP(D43,'Sales Team'!A$2:B$6,1,0)</f>
        <v>ST0004</v>
      </c>
      <c r="F43" s="28">
        <v>43887</v>
      </c>
      <c r="G43" s="29" t="s">
        <v>237</v>
      </c>
      <c r="H43" s="31">
        <v>536592260</v>
      </c>
      <c r="I43" s="17"/>
    </row>
    <row r="44" spans="1:9" ht="15.75" customHeight="1" x14ac:dyDescent="0.3">
      <c r="A44" s="17" t="s">
        <v>281</v>
      </c>
      <c r="B44" s="17" t="s">
        <v>137</v>
      </c>
      <c r="C44" s="50" t="str">
        <f>VLOOKUP(B44,'Patner Store'!A$2:A$51,1,0)</f>
        <v>PS0013</v>
      </c>
      <c r="D44" s="29" t="s">
        <v>222</v>
      </c>
      <c r="E44" s="50" t="str">
        <f>VLOOKUP(D44,'Sales Team'!A$2:B$6,1,0)</f>
        <v>ST0001</v>
      </c>
      <c r="F44" s="28">
        <v>43887</v>
      </c>
      <c r="G44" s="17" t="s">
        <v>234</v>
      </c>
      <c r="H44" s="31">
        <v>123668650</v>
      </c>
      <c r="I44" s="17"/>
    </row>
    <row r="45" spans="1:9" ht="15.75" customHeight="1" x14ac:dyDescent="0.3">
      <c r="A45" s="17" t="s">
        <v>282</v>
      </c>
      <c r="B45" s="17" t="s">
        <v>151</v>
      </c>
      <c r="C45" s="50" t="str">
        <f>VLOOKUP(B45,'Patner Store'!A$2:A$51,1,0)</f>
        <v>PS0019</v>
      </c>
      <c r="D45" s="29" t="s">
        <v>231</v>
      </c>
      <c r="E45" s="50" t="str">
        <f>VLOOKUP(D45,'Sales Team'!A$2:B$6,1,0)</f>
        <v>ST0005</v>
      </c>
      <c r="F45" s="28">
        <v>43887</v>
      </c>
      <c r="G45" s="29" t="s">
        <v>237</v>
      </c>
      <c r="H45" s="31">
        <v>1067431930</v>
      </c>
      <c r="I45" s="17"/>
    </row>
    <row r="46" spans="1:9" ht="15.75" customHeight="1" x14ac:dyDescent="0.3">
      <c r="A46" s="17" t="s">
        <v>283</v>
      </c>
      <c r="B46" s="17" t="s">
        <v>160</v>
      </c>
      <c r="C46" s="50" t="str">
        <f>VLOOKUP(B46,'Patner Store'!A$2:A$51,1,0)</f>
        <v>PS0023</v>
      </c>
      <c r="D46" s="29" t="s">
        <v>227</v>
      </c>
      <c r="E46" s="50" t="str">
        <f>VLOOKUP(D46,'Sales Team'!A$2:B$6,1,0)</f>
        <v>ST0003</v>
      </c>
      <c r="F46" s="28">
        <v>43888</v>
      </c>
      <c r="G46" s="17" t="s">
        <v>234</v>
      </c>
      <c r="H46" s="31">
        <v>217941590</v>
      </c>
      <c r="I46" s="17" t="s">
        <v>247</v>
      </c>
    </row>
    <row r="47" spans="1:9" ht="15.75" customHeight="1" x14ac:dyDescent="0.3">
      <c r="A47" s="17" t="s">
        <v>284</v>
      </c>
      <c r="B47" s="17" t="s">
        <v>124</v>
      </c>
      <c r="C47" s="50" t="str">
        <f>VLOOKUP(B47,'Patner Store'!A$2:A$51,1,0)</f>
        <v>PS0007</v>
      </c>
      <c r="D47" s="29" t="s">
        <v>222</v>
      </c>
      <c r="E47" s="50" t="str">
        <f>VLOOKUP(D47,'Sales Team'!A$2:B$6,1,0)</f>
        <v>ST0001</v>
      </c>
      <c r="F47" s="28">
        <v>43889</v>
      </c>
      <c r="G47" s="29" t="s">
        <v>237</v>
      </c>
      <c r="H47" s="31">
        <v>311577560</v>
      </c>
      <c r="I47" s="17"/>
    </row>
    <row r="48" spans="1:9" ht="15.75" customHeight="1" x14ac:dyDescent="0.3">
      <c r="A48" s="17" t="s">
        <v>285</v>
      </c>
      <c r="B48" s="17" t="s">
        <v>105</v>
      </c>
      <c r="C48" s="50" t="str">
        <f>VLOOKUP(B48,'Patner Store'!A$2:A$51,1,0)</f>
        <v>PS0001</v>
      </c>
      <c r="D48" s="29" t="s">
        <v>231</v>
      </c>
      <c r="E48" s="50" t="str">
        <f>VLOOKUP(D48,'Sales Team'!A$2:B$6,1,0)</f>
        <v>ST0005</v>
      </c>
      <c r="F48" s="28">
        <v>43889</v>
      </c>
      <c r="G48" s="29" t="s">
        <v>237</v>
      </c>
      <c r="H48" s="31">
        <v>1147156860</v>
      </c>
      <c r="I48" s="17" t="s">
        <v>238</v>
      </c>
    </row>
    <row r="49" spans="1:9" ht="15.75" customHeight="1" x14ac:dyDescent="0.3">
      <c r="A49" s="17" t="s">
        <v>286</v>
      </c>
      <c r="B49" s="17" t="s">
        <v>173</v>
      </c>
      <c r="C49" s="50" t="str">
        <f>VLOOKUP(B49,'Patner Store'!A$2:A$51,1,0)</f>
        <v>PS0029</v>
      </c>
      <c r="D49" s="29" t="s">
        <v>229</v>
      </c>
      <c r="E49" s="50" t="str">
        <f>VLOOKUP(D49,'Sales Team'!A$2:B$6,1,0)</f>
        <v>ST0004</v>
      </c>
      <c r="F49" s="28">
        <v>43889</v>
      </c>
      <c r="G49" s="17" t="s">
        <v>234</v>
      </c>
      <c r="H49" s="31">
        <v>240900870</v>
      </c>
      <c r="I49" s="17"/>
    </row>
    <row r="50" spans="1:9" ht="15.75" customHeight="1" x14ac:dyDescent="0.3">
      <c r="A50" s="17" t="s">
        <v>287</v>
      </c>
      <c r="B50" s="17" t="s">
        <v>211</v>
      </c>
      <c r="C50" s="50" t="str">
        <f>VLOOKUP(B50,'Patner Store'!A$2:A$51,1,0)</f>
        <v>PS0048</v>
      </c>
      <c r="D50" s="29" t="s">
        <v>227</v>
      </c>
      <c r="E50" s="50" t="str">
        <f>VLOOKUP(D50,'Sales Team'!A$2:B$6,1,0)</f>
        <v>ST0003</v>
      </c>
      <c r="F50" s="28">
        <v>43889</v>
      </c>
      <c r="G50" s="17" t="s">
        <v>234</v>
      </c>
      <c r="H50" s="31">
        <v>37095840</v>
      </c>
      <c r="I50" s="17"/>
    </row>
    <row r="51" spans="1:9" ht="15.75" customHeight="1" x14ac:dyDescent="0.3">
      <c r="A51" s="17" t="s">
        <v>288</v>
      </c>
      <c r="B51" s="17" t="s">
        <v>131</v>
      </c>
      <c r="C51" s="50" t="str">
        <f>VLOOKUP(B51,'Patner Store'!A$2:A$51,1,0)</f>
        <v>PS0010</v>
      </c>
      <c r="D51" s="29" t="s">
        <v>222</v>
      </c>
      <c r="E51" s="50" t="str">
        <f>VLOOKUP(D51,'Sales Team'!A$2:B$6,1,0)</f>
        <v>ST0001</v>
      </c>
      <c r="F51" s="28">
        <v>43890</v>
      </c>
      <c r="G51" s="17" t="s">
        <v>234</v>
      </c>
      <c r="H51" s="31">
        <v>129203710</v>
      </c>
      <c r="I51" s="17" t="s">
        <v>260</v>
      </c>
    </row>
    <row r="52" spans="1:9" ht="15.75" customHeight="1" x14ac:dyDescent="0.3">
      <c r="A52" s="17" t="s">
        <v>289</v>
      </c>
      <c r="B52" s="17" t="s">
        <v>183</v>
      </c>
      <c r="C52" s="50" t="str">
        <f>VLOOKUP(B52,'Patner Store'!A$2:A$51,1,0)</f>
        <v>PS0034</v>
      </c>
      <c r="D52" s="29" t="s">
        <v>222</v>
      </c>
      <c r="E52" s="50" t="str">
        <f>VLOOKUP(D52,'Sales Team'!A$2:B$6,1,0)</f>
        <v>ST0001</v>
      </c>
      <c r="F52" s="28">
        <v>43890</v>
      </c>
      <c r="G52" s="17" t="s">
        <v>234</v>
      </c>
      <c r="H52" s="31">
        <v>76098970</v>
      </c>
      <c r="I52" s="17"/>
    </row>
    <row r="53" spans="1:9" ht="15.75" customHeight="1" x14ac:dyDescent="0.3">
      <c r="A53" s="17" t="s">
        <v>290</v>
      </c>
      <c r="B53" s="17" t="s">
        <v>162</v>
      </c>
      <c r="C53" s="50" t="str">
        <f>VLOOKUP(B53,'Patner Store'!A$2:A$51,1,0)</f>
        <v>PS0024</v>
      </c>
      <c r="D53" s="29" t="s">
        <v>222</v>
      </c>
      <c r="E53" s="50" t="str">
        <f>VLOOKUP(D53,'Sales Team'!A$2:B$6,1,0)</f>
        <v>ST0001</v>
      </c>
      <c r="F53" s="28">
        <v>43892</v>
      </c>
      <c r="G53" s="29" t="s">
        <v>237</v>
      </c>
      <c r="H53" s="31">
        <v>465515470</v>
      </c>
      <c r="I53" s="17" t="s">
        <v>247</v>
      </c>
    </row>
    <row r="54" spans="1:9" ht="15.75" customHeight="1" x14ac:dyDescent="0.3">
      <c r="A54" s="17" t="s">
        <v>291</v>
      </c>
      <c r="B54" s="17" t="s">
        <v>211</v>
      </c>
      <c r="C54" s="50" t="str">
        <f>VLOOKUP(B54,'Patner Store'!A$2:A$51,1,0)</f>
        <v>PS0048</v>
      </c>
      <c r="D54" s="29" t="s">
        <v>227</v>
      </c>
      <c r="E54" s="50" t="str">
        <f>VLOOKUP(D54,'Sales Team'!A$2:B$6,1,0)</f>
        <v>ST0003</v>
      </c>
      <c r="F54" s="28">
        <v>43894</v>
      </c>
      <c r="G54" s="29" t="s">
        <v>237</v>
      </c>
      <c r="H54" s="31">
        <v>464354520</v>
      </c>
      <c r="I54" s="17"/>
    </row>
    <row r="55" spans="1:9" ht="15.75" customHeight="1" x14ac:dyDescent="0.3">
      <c r="A55" s="17" t="s">
        <v>292</v>
      </c>
      <c r="B55" s="17" t="s">
        <v>137</v>
      </c>
      <c r="C55" s="50" t="str">
        <f>VLOOKUP(B55,'Patner Store'!A$2:A$51,1,0)</f>
        <v>PS0013</v>
      </c>
      <c r="D55" s="29" t="s">
        <v>222</v>
      </c>
      <c r="E55" s="50" t="str">
        <f>VLOOKUP(D55,'Sales Team'!A$2:B$6,1,0)</f>
        <v>ST0001</v>
      </c>
      <c r="F55" s="28">
        <v>43896</v>
      </c>
      <c r="G55" s="29" t="s">
        <v>237</v>
      </c>
      <c r="H55" s="31">
        <v>284343460</v>
      </c>
      <c r="I55" s="17"/>
    </row>
    <row r="56" spans="1:9" ht="15.75" customHeight="1" x14ac:dyDescent="0.3">
      <c r="A56" s="17" t="s">
        <v>293</v>
      </c>
      <c r="B56" s="17" t="s">
        <v>109</v>
      </c>
      <c r="C56" s="50" t="str">
        <f>VLOOKUP(B56,'Patner Store'!A$2:A$51,1,0)</f>
        <v>PS0002</v>
      </c>
      <c r="D56" s="29" t="s">
        <v>225</v>
      </c>
      <c r="E56" s="50" t="str">
        <f>VLOOKUP(D56,'Sales Team'!A$2:B$6,1,0)</f>
        <v>ST0002</v>
      </c>
      <c r="F56" s="28">
        <v>43898</v>
      </c>
      <c r="G56" s="17" t="s">
        <v>234</v>
      </c>
      <c r="H56" s="31">
        <v>77442120</v>
      </c>
      <c r="I56" s="17"/>
    </row>
    <row r="57" spans="1:9" ht="15.75" customHeight="1" x14ac:dyDescent="0.3">
      <c r="A57" s="17" t="s">
        <v>294</v>
      </c>
      <c r="B57" s="17" t="s">
        <v>203</v>
      </c>
      <c r="C57" s="50" t="str">
        <f>VLOOKUP(B57,'Patner Store'!A$2:A$51,1,0)</f>
        <v>PS0044</v>
      </c>
      <c r="D57" s="29" t="s">
        <v>229</v>
      </c>
      <c r="E57" s="50" t="str">
        <f>VLOOKUP(D57,'Sales Team'!A$2:B$6,1,0)</f>
        <v>ST0004</v>
      </c>
      <c r="F57" s="28">
        <v>43898</v>
      </c>
      <c r="G57" s="29" t="s">
        <v>237</v>
      </c>
      <c r="H57" s="31">
        <v>382553210</v>
      </c>
      <c r="I57" s="17"/>
    </row>
    <row r="58" spans="1:9" ht="15.75" customHeight="1" x14ac:dyDescent="0.3">
      <c r="A58" s="17" t="s">
        <v>295</v>
      </c>
      <c r="B58" s="17" t="s">
        <v>183</v>
      </c>
      <c r="C58" s="50" t="str">
        <f>VLOOKUP(B58,'Patner Store'!A$2:A$51,1,0)</f>
        <v>PS0034</v>
      </c>
      <c r="D58" s="29" t="s">
        <v>222</v>
      </c>
      <c r="E58" s="50" t="str">
        <f>VLOOKUP(D58,'Sales Team'!A$2:B$6,1,0)</f>
        <v>ST0001</v>
      </c>
      <c r="F58" s="28">
        <v>43899</v>
      </c>
      <c r="G58" s="17" t="s">
        <v>234</v>
      </c>
      <c r="H58" s="31">
        <v>61818400</v>
      </c>
      <c r="I58" s="17"/>
    </row>
    <row r="59" spans="1:9" ht="15.75" customHeight="1" x14ac:dyDescent="0.3">
      <c r="A59" s="17" t="s">
        <v>296</v>
      </c>
      <c r="B59" s="17" t="s">
        <v>191</v>
      </c>
      <c r="C59" s="50" t="str">
        <f>VLOOKUP(B59,'Patner Store'!A$2:A$51,1,0)</f>
        <v>PS0038</v>
      </c>
      <c r="D59" s="29" t="s">
        <v>229</v>
      </c>
      <c r="E59" s="50" t="str">
        <f>VLOOKUP(D59,'Sales Team'!A$2:B$6,1,0)</f>
        <v>ST0004</v>
      </c>
      <c r="F59" s="28">
        <v>43900</v>
      </c>
      <c r="G59" s="29" t="s">
        <v>237</v>
      </c>
      <c r="H59" s="31">
        <v>757026440</v>
      </c>
      <c r="I59" s="17"/>
    </row>
    <row r="60" spans="1:9" ht="15.75" customHeight="1" x14ac:dyDescent="0.3">
      <c r="A60" s="17" t="s">
        <v>297</v>
      </c>
      <c r="B60" s="17" t="s">
        <v>207</v>
      </c>
      <c r="C60" s="50" t="str">
        <f>VLOOKUP(B60,'Patner Store'!A$2:A$51,1,0)</f>
        <v>PS0046</v>
      </c>
      <c r="D60" s="29" t="s">
        <v>227</v>
      </c>
      <c r="E60" s="50" t="str">
        <f>VLOOKUP(D60,'Sales Team'!A$2:B$6,1,0)</f>
        <v>ST0003</v>
      </c>
      <c r="F60" s="28">
        <v>43900</v>
      </c>
      <c r="G60" s="29" t="s">
        <v>237</v>
      </c>
      <c r="H60" s="31">
        <v>312940260</v>
      </c>
      <c r="I60" s="17"/>
    </row>
    <row r="61" spans="1:9" ht="15.75" customHeight="1" x14ac:dyDescent="0.3">
      <c r="A61" s="17" t="s">
        <v>298</v>
      </c>
      <c r="B61" s="17" t="s">
        <v>122</v>
      </c>
      <c r="C61" s="50" t="str">
        <f>VLOOKUP(B61,'Patner Store'!A$2:A$51,1,0)</f>
        <v>PS0006</v>
      </c>
      <c r="D61" s="29" t="s">
        <v>227</v>
      </c>
      <c r="E61" s="50" t="str">
        <f>VLOOKUP(D61,'Sales Team'!A$2:B$6,1,0)</f>
        <v>ST0003</v>
      </c>
      <c r="F61" s="28">
        <v>43903</v>
      </c>
      <c r="G61" s="29" t="s">
        <v>237</v>
      </c>
      <c r="H61" s="31">
        <v>331282420</v>
      </c>
      <c r="I61" s="17"/>
    </row>
    <row r="62" spans="1:9" ht="15.75" customHeight="1" x14ac:dyDescent="0.3">
      <c r="A62" s="17" t="s">
        <v>299</v>
      </c>
      <c r="B62" s="17" t="s">
        <v>205</v>
      </c>
      <c r="C62" s="50" t="str">
        <f>VLOOKUP(B62,'Patner Store'!A$2:A$51,1,0)</f>
        <v>PS0045</v>
      </c>
      <c r="D62" s="29" t="s">
        <v>231</v>
      </c>
      <c r="E62" s="50" t="str">
        <f>VLOOKUP(D62,'Sales Team'!A$2:B$6,1,0)</f>
        <v>ST0005</v>
      </c>
      <c r="F62" s="28">
        <v>43903</v>
      </c>
      <c r="G62" s="29" t="s">
        <v>237</v>
      </c>
      <c r="H62" s="31">
        <v>398127800</v>
      </c>
      <c r="I62" s="17" t="s">
        <v>253</v>
      </c>
    </row>
    <row r="63" spans="1:9" ht="15.75" customHeight="1" x14ac:dyDescent="0.3">
      <c r="A63" s="17" t="s">
        <v>300</v>
      </c>
      <c r="B63" s="17" t="s">
        <v>215</v>
      </c>
      <c r="C63" s="50" t="str">
        <f>VLOOKUP(B63,'Patner Store'!A$2:A$51,1,0)</f>
        <v>PS0050</v>
      </c>
      <c r="D63" s="29" t="s">
        <v>229</v>
      </c>
      <c r="E63" s="50" t="str">
        <f>VLOOKUP(D63,'Sales Team'!A$2:B$6,1,0)</f>
        <v>ST0004</v>
      </c>
      <c r="F63" s="28">
        <v>43904</v>
      </c>
      <c r="G63" s="17" t="s">
        <v>234</v>
      </c>
      <c r="H63" s="31">
        <v>157292976</v>
      </c>
      <c r="I63" s="17" t="s">
        <v>247</v>
      </c>
    </row>
    <row r="64" spans="1:9" ht="15.75" customHeight="1" x14ac:dyDescent="0.3">
      <c r="A64" s="17" t="s">
        <v>301</v>
      </c>
      <c r="B64" s="17" t="s">
        <v>141</v>
      </c>
      <c r="C64" s="50" t="str">
        <f>VLOOKUP(B64,'Patner Store'!A$2:A$51,1,0)</f>
        <v>PS0015</v>
      </c>
      <c r="D64" s="29" t="s">
        <v>229</v>
      </c>
      <c r="E64" s="50" t="str">
        <f>VLOOKUP(D64,'Sales Team'!A$2:B$6,1,0)</f>
        <v>ST0004</v>
      </c>
      <c r="F64" s="28">
        <v>43905</v>
      </c>
      <c r="G64" s="17" t="s">
        <v>234</v>
      </c>
      <c r="H64" s="31">
        <v>259271600</v>
      </c>
      <c r="I64" s="17" t="s">
        <v>253</v>
      </c>
    </row>
    <row r="65" spans="1:9" ht="15.75" customHeight="1" x14ac:dyDescent="0.3">
      <c r="A65" s="17" t="s">
        <v>302</v>
      </c>
      <c r="B65" s="17" t="s">
        <v>116</v>
      </c>
      <c r="C65" s="50" t="str">
        <f>VLOOKUP(B65,'Patner Store'!A$2:A$51,1,0)</f>
        <v>PS0004</v>
      </c>
      <c r="D65" s="29" t="s">
        <v>222</v>
      </c>
      <c r="E65" s="50" t="str">
        <f>VLOOKUP(D65,'Sales Team'!A$2:B$6,1,0)</f>
        <v>ST0001</v>
      </c>
      <c r="F65" s="28">
        <v>43906</v>
      </c>
      <c r="G65" s="29" t="s">
        <v>237</v>
      </c>
      <c r="H65" s="31">
        <v>750000080</v>
      </c>
      <c r="I65" s="17" t="s">
        <v>247</v>
      </c>
    </row>
    <row r="66" spans="1:9" ht="15.75" customHeight="1" x14ac:dyDescent="0.3">
      <c r="A66" s="17" t="s">
        <v>303</v>
      </c>
      <c r="B66" s="17" t="s">
        <v>201</v>
      </c>
      <c r="C66" s="50" t="str">
        <f>VLOOKUP(B66,'Patner Store'!A$2:A$51,1,0)</f>
        <v>PS0043</v>
      </c>
      <c r="D66" s="29" t="s">
        <v>229</v>
      </c>
      <c r="E66" s="50" t="str">
        <f>VLOOKUP(D66,'Sales Team'!A$2:B$6,1,0)</f>
        <v>ST0004</v>
      </c>
      <c r="F66" s="28">
        <v>43907</v>
      </c>
      <c r="G66" s="29" t="s">
        <v>237</v>
      </c>
      <c r="H66" s="31">
        <v>919658870</v>
      </c>
      <c r="I66" s="17" t="s">
        <v>238</v>
      </c>
    </row>
    <row r="67" spans="1:9" ht="15.75" customHeight="1" x14ac:dyDescent="0.3">
      <c r="A67" s="17" t="s">
        <v>304</v>
      </c>
      <c r="B67" s="17" t="s">
        <v>160</v>
      </c>
      <c r="C67" s="50" t="str">
        <f>VLOOKUP(B67,'Patner Store'!A$2:A$51,1,0)</f>
        <v>PS0023</v>
      </c>
      <c r="D67" s="29" t="s">
        <v>227</v>
      </c>
      <c r="E67" s="50" t="str">
        <f>VLOOKUP(D67,'Sales Team'!A$2:B$6,1,0)</f>
        <v>ST0003</v>
      </c>
      <c r="F67" s="28">
        <v>43909</v>
      </c>
      <c r="G67" s="17" t="s">
        <v>234</v>
      </c>
      <c r="H67" s="31">
        <v>181153520</v>
      </c>
      <c r="I67" s="17"/>
    </row>
    <row r="68" spans="1:9" ht="15.75" customHeight="1" x14ac:dyDescent="0.3">
      <c r="A68" s="17" t="s">
        <v>305</v>
      </c>
      <c r="B68" s="17" t="s">
        <v>213</v>
      </c>
      <c r="C68" s="50" t="str">
        <f>VLOOKUP(B68,'Patner Store'!A$2:A$51,1,0)</f>
        <v>PS0049</v>
      </c>
      <c r="D68" s="29" t="s">
        <v>229</v>
      </c>
      <c r="E68" s="50" t="str">
        <f>VLOOKUP(D68,'Sales Team'!A$2:B$6,1,0)</f>
        <v>ST0004</v>
      </c>
      <c r="F68" s="28">
        <v>43910</v>
      </c>
      <c r="G68" s="29" t="s">
        <v>237</v>
      </c>
      <c r="H68" s="31">
        <v>299483548</v>
      </c>
      <c r="I68" s="17" t="s">
        <v>247</v>
      </c>
    </row>
    <row r="69" spans="1:9" ht="15.75" customHeight="1" x14ac:dyDescent="0.3">
      <c r="A69" s="17" t="s">
        <v>306</v>
      </c>
      <c r="B69" s="17" t="s">
        <v>193</v>
      </c>
      <c r="C69" s="50" t="str">
        <f>VLOOKUP(B69,'Patner Store'!A$2:A$51,1,0)</f>
        <v>PS0039</v>
      </c>
      <c r="D69" s="29" t="s">
        <v>227</v>
      </c>
      <c r="E69" s="50" t="str">
        <f>VLOOKUP(D69,'Sales Team'!A$2:B$6,1,0)</f>
        <v>ST0003</v>
      </c>
      <c r="F69" s="28">
        <v>43910</v>
      </c>
      <c r="G69" s="17" t="s">
        <v>234</v>
      </c>
      <c r="H69" s="31">
        <v>23910534</v>
      </c>
      <c r="I69" s="17"/>
    </row>
    <row r="70" spans="1:9" ht="15.75" customHeight="1" x14ac:dyDescent="0.3">
      <c r="A70" s="17" t="s">
        <v>307</v>
      </c>
      <c r="B70" s="17" t="s">
        <v>181</v>
      </c>
      <c r="C70" s="50" t="str">
        <f>VLOOKUP(B70,'Patner Store'!A$2:A$51,1,0)</f>
        <v>PS0033</v>
      </c>
      <c r="D70" s="29" t="s">
        <v>231</v>
      </c>
      <c r="E70" s="50" t="str">
        <f>VLOOKUP(D70,'Sales Team'!A$2:B$6,1,0)</f>
        <v>ST0005</v>
      </c>
      <c r="F70" s="28">
        <v>43911</v>
      </c>
      <c r="G70" s="29" t="s">
        <v>237</v>
      </c>
      <c r="H70" s="31">
        <v>781515220</v>
      </c>
      <c r="I70" s="17"/>
    </row>
    <row r="71" spans="1:9" ht="15.75" customHeight="1" x14ac:dyDescent="0.3">
      <c r="A71" s="17" t="s">
        <v>308</v>
      </c>
      <c r="B71" s="17" t="s">
        <v>131</v>
      </c>
      <c r="C71" s="50" t="str">
        <f>VLOOKUP(B71,'Patner Store'!A$2:A$51,1,0)</f>
        <v>PS0010</v>
      </c>
      <c r="D71" s="29" t="s">
        <v>222</v>
      </c>
      <c r="E71" s="50" t="str">
        <f>VLOOKUP(D71,'Sales Team'!A$2:B$6,1,0)</f>
        <v>ST0001</v>
      </c>
      <c r="F71" s="28">
        <v>43912</v>
      </c>
      <c r="G71" s="29" t="s">
        <v>237</v>
      </c>
      <c r="H71" s="31">
        <v>559930221</v>
      </c>
      <c r="I71" s="17"/>
    </row>
    <row r="72" spans="1:9" ht="15.75" customHeight="1" x14ac:dyDescent="0.3">
      <c r="A72" s="17" t="s">
        <v>309</v>
      </c>
      <c r="B72" s="17" t="s">
        <v>139</v>
      </c>
      <c r="C72" s="50" t="str">
        <f>VLOOKUP(B72,'Patner Store'!A$2:A$51,1,0)</f>
        <v>PS0014</v>
      </c>
      <c r="D72" s="29" t="s">
        <v>227</v>
      </c>
      <c r="E72" s="50" t="str">
        <f>VLOOKUP(D72,'Sales Team'!A$2:B$6,1,0)</f>
        <v>ST0003</v>
      </c>
      <c r="F72" s="28">
        <v>43914</v>
      </c>
      <c r="G72" s="17" t="s">
        <v>234</v>
      </c>
      <c r="H72" s="31">
        <v>247944360</v>
      </c>
      <c r="I72" s="17" t="s">
        <v>253</v>
      </c>
    </row>
    <row r="73" spans="1:9" ht="15.75" customHeight="1" x14ac:dyDescent="0.3">
      <c r="A73" s="17" t="s">
        <v>310</v>
      </c>
      <c r="B73" s="17" t="s">
        <v>109</v>
      </c>
      <c r="C73" s="50" t="str">
        <f>VLOOKUP(B73,'Patner Store'!A$2:A$51,1,0)</f>
        <v>PS0002</v>
      </c>
      <c r="D73" s="29" t="s">
        <v>225</v>
      </c>
      <c r="E73" s="50" t="str">
        <f>VLOOKUP(D73,'Sales Team'!A$2:B$6,1,0)</f>
        <v>ST0002</v>
      </c>
      <c r="F73" s="28">
        <v>43915</v>
      </c>
      <c r="G73" s="29" t="s">
        <v>237</v>
      </c>
      <c r="H73" s="31">
        <v>494604260</v>
      </c>
      <c r="I73" s="17"/>
    </row>
    <row r="74" spans="1:9" ht="15.75" customHeight="1" x14ac:dyDescent="0.3">
      <c r="A74" s="17" t="s">
        <v>311</v>
      </c>
      <c r="B74" s="17" t="s">
        <v>122</v>
      </c>
      <c r="C74" s="50" t="str">
        <f>VLOOKUP(B74,'Patner Store'!A$2:A$51,1,0)</f>
        <v>PS0006</v>
      </c>
      <c r="D74" s="29" t="s">
        <v>227</v>
      </c>
      <c r="E74" s="50" t="str">
        <f>VLOOKUP(D74,'Sales Team'!A$2:B$6,1,0)</f>
        <v>ST0003</v>
      </c>
      <c r="F74" s="28">
        <v>43918</v>
      </c>
      <c r="G74" s="29" t="s">
        <v>237</v>
      </c>
      <c r="H74" s="31">
        <v>545147080</v>
      </c>
      <c r="I74" s="17" t="s">
        <v>260</v>
      </c>
    </row>
    <row r="75" spans="1:9" ht="15.75" customHeight="1" x14ac:dyDescent="0.3">
      <c r="A75" s="17" t="s">
        <v>312</v>
      </c>
      <c r="B75" s="17" t="s">
        <v>205</v>
      </c>
      <c r="C75" s="50" t="str">
        <f>VLOOKUP(B75,'Patner Store'!A$2:A$51,1,0)</f>
        <v>PS0045</v>
      </c>
      <c r="D75" s="29" t="s">
        <v>231</v>
      </c>
      <c r="E75" s="50" t="str">
        <f>VLOOKUP(D75,'Sales Team'!A$2:B$6,1,0)</f>
        <v>ST0005</v>
      </c>
      <c r="F75" s="28">
        <v>43918</v>
      </c>
      <c r="G75" s="29" t="s">
        <v>237</v>
      </c>
      <c r="H75" s="31">
        <v>270630790</v>
      </c>
      <c r="I75" s="17"/>
    </row>
    <row r="76" spans="1:9" ht="15.75" customHeight="1" x14ac:dyDescent="0.3">
      <c r="A76" s="17" t="s">
        <v>313</v>
      </c>
      <c r="B76" s="17" t="s">
        <v>209</v>
      </c>
      <c r="C76" s="50" t="str">
        <f>VLOOKUP(B76,'Patner Store'!A$2:A$51,1,0)</f>
        <v>PS0047</v>
      </c>
      <c r="D76" s="29" t="s">
        <v>222</v>
      </c>
      <c r="E76" s="50" t="str">
        <f>VLOOKUP(D76,'Sales Team'!A$2:B$6,1,0)</f>
        <v>ST0001</v>
      </c>
      <c r="F76" s="28">
        <v>43918</v>
      </c>
      <c r="G76" s="29" t="s">
        <v>237</v>
      </c>
      <c r="H76" s="31">
        <v>377959410</v>
      </c>
      <c r="I76" s="17" t="s">
        <v>247</v>
      </c>
    </row>
    <row r="77" spans="1:9" ht="15.75" customHeight="1" x14ac:dyDescent="0.3">
      <c r="A77" s="17" t="s">
        <v>314</v>
      </c>
      <c r="B77" s="17" t="s">
        <v>203</v>
      </c>
      <c r="C77" s="50" t="str">
        <f>VLOOKUP(B77,'Patner Store'!A$2:A$51,1,0)</f>
        <v>PS0044</v>
      </c>
      <c r="D77" s="29" t="s">
        <v>229</v>
      </c>
      <c r="E77" s="50" t="str">
        <f>VLOOKUP(D77,'Sales Team'!A$2:B$6,1,0)</f>
        <v>ST0004</v>
      </c>
      <c r="F77" s="28">
        <v>43922</v>
      </c>
      <c r="G77" s="29" t="s">
        <v>237</v>
      </c>
      <c r="H77" s="31">
        <v>876499000</v>
      </c>
      <c r="I77" s="17"/>
    </row>
    <row r="78" spans="1:9" ht="15.75" customHeight="1" x14ac:dyDescent="0.3">
      <c r="A78" s="17" t="s">
        <v>315</v>
      </c>
      <c r="B78" s="17" t="s">
        <v>189</v>
      </c>
      <c r="C78" s="50" t="str">
        <f>VLOOKUP(B78,'Patner Store'!A$2:A$51,1,0)</f>
        <v>PS0037</v>
      </c>
      <c r="D78" s="29" t="s">
        <v>225</v>
      </c>
      <c r="E78" s="50" t="str">
        <f>VLOOKUP(D78,'Sales Team'!A$2:B$6,1,0)</f>
        <v>ST0002</v>
      </c>
      <c r="F78" s="28">
        <v>43922</v>
      </c>
      <c r="G78" s="17" t="s">
        <v>234</v>
      </c>
      <c r="H78" s="31">
        <v>131974560</v>
      </c>
      <c r="I78" s="17"/>
    </row>
    <row r="79" spans="1:9" ht="15.75" customHeight="1" x14ac:dyDescent="0.3">
      <c r="A79" s="17" t="s">
        <v>316</v>
      </c>
      <c r="B79" s="17" t="s">
        <v>156</v>
      </c>
      <c r="C79" s="50" t="str">
        <f>VLOOKUP(B79,'Patner Store'!A$2:A$51,1,0)</f>
        <v>PS0021</v>
      </c>
      <c r="D79" s="29" t="s">
        <v>222</v>
      </c>
      <c r="E79" s="50" t="str">
        <f>VLOOKUP(D79,'Sales Team'!A$2:B$6,1,0)</f>
        <v>ST0001</v>
      </c>
      <c r="F79" s="28">
        <v>43923</v>
      </c>
      <c r="G79" s="29" t="s">
        <v>237</v>
      </c>
      <c r="H79" s="31">
        <v>765396800</v>
      </c>
      <c r="I79" s="17"/>
    </row>
    <row r="80" spans="1:9" ht="15.75" customHeight="1" x14ac:dyDescent="0.3">
      <c r="A80" s="17" t="s">
        <v>317</v>
      </c>
      <c r="B80" s="17" t="s">
        <v>156</v>
      </c>
      <c r="C80" s="50" t="str">
        <f>VLOOKUP(B80,'Patner Store'!A$2:A$51,1,0)</f>
        <v>PS0021</v>
      </c>
      <c r="D80" s="29" t="s">
        <v>222</v>
      </c>
      <c r="E80" s="50" t="str">
        <f>VLOOKUP(D80,'Sales Team'!A$2:B$6,1,0)</f>
        <v>ST0001</v>
      </c>
      <c r="F80" s="28">
        <v>43924</v>
      </c>
      <c r="G80" s="29" t="s">
        <v>237</v>
      </c>
      <c r="H80" s="31">
        <v>573244800</v>
      </c>
      <c r="I80" s="17"/>
    </row>
    <row r="81" spans="1:9" ht="15.75" customHeight="1" x14ac:dyDescent="0.3">
      <c r="A81" s="17" t="s">
        <v>318</v>
      </c>
      <c r="B81" s="17" t="s">
        <v>168</v>
      </c>
      <c r="C81" s="50" t="str">
        <f>VLOOKUP(B81,'Patner Store'!A$2:A$51,1,0)</f>
        <v>PS0027</v>
      </c>
      <c r="D81" s="29" t="s">
        <v>229</v>
      </c>
      <c r="E81" s="50" t="str">
        <f>VLOOKUP(D81,'Sales Team'!A$2:B$6,1,0)</f>
        <v>ST0004</v>
      </c>
      <c r="F81" s="28">
        <v>43924</v>
      </c>
      <c r="G81" s="17" t="s">
        <v>234</v>
      </c>
      <c r="H81" s="31">
        <v>244735950</v>
      </c>
      <c r="I81" s="17" t="s">
        <v>260</v>
      </c>
    </row>
    <row r="82" spans="1:9" ht="15.75" customHeight="1" x14ac:dyDescent="0.3">
      <c r="A82" s="17" t="s">
        <v>319</v>
      </c>
      <c r="B82" s="17" t="s">
        <v>197</v>
      </c>
      <c r="C82" s="50" t="str">
        <f>VLOOKUP(B82,'Patner Store'!A$2:A$51,1,0)</f>
        <v>PS0041</v>
      </c>
      <c r="D82" s="29" t="s">
        <v>222</v>
      </c>
      <c r="E82" s="50" t="str">
        <f>VLOOKUP(D82,'Sales Team'!A$2:B$6,1,0)</f>
        <v>ST0001</v>
      </c>
      <c r="F82" s="28">
        <v>43926</v>
      </c>
      <c r="G82" s="29" t="s">
        <v>237</v>
      </c>
      <c r="H82" s="31">
        <v>271572380</v>
      </c>
      <c r="I82" s="17"/>
    </row>
    <row r="83" spans="1:9" ht="15.75" customHeight="1" x14ac:dyDescent="0.3">
      <c r="A83" s="17" t="s">
        <v>320</v>
      </c>
      <c r="B83" s="17" t="s">
        <v>154</v>
      </c>
      <c r="C83" s="50" t="str">
        <f>VLOOKUP(B83,'Patner Store'!A$2:A$51,1,0)</f>
        <v>PS0020</v>
      </c>
      <c r="D83" s="29" t="s">
        <v>229</v>
      </c>
      <c r="E83" s="50" t="str">
        <f>VLOOKUP(D83,'Sales Team'!A$2:B$6,1,0)</f>
        <v>ST0004</v>
      </c>
      <c r="F83" s="28">
        <v>43927</v>
      </c>
      <c r="G83" s="29" t="s">
        <v>237</v>
      </c>
      <c r="H83" s="31">
        <v>490183780</v>
      </c>
      <c r="I83" s="17"/>
    </row>
    <row r="84" spans="1:9" ht="15.75" customHeight="1" x14ac:dyDescent="0.3">
      <c r="A84" s="17" t="s">
        <v>321</v>
      </c>
      <c r="B84" s="17" t="s">
        <v>181</v>
      </c>
      <c r="C84" s="50" t="str">
        <f>VLOOKUP(B84,'Patner Store'!A$2:A$51,1,0)</f>
        <v>PS0033</v>
      </c>
      <c r="D84" s="29" t="s">
        <v>231</v>
      </c>
      <c r="E84" s="50" t="str">
        <f>VLOOKUP(D84,'Sales Team'!A$2:B$6,1,0)</f>
        <v>ST0005</v>
      </c>
      <c r="F84" s="28">
        <v>43927</v>
      </c>
      <c r="G84" s="29" t="s">
        <v>237</v>
      </c>
      <c r="H84" s="31">
        <v>276751040</v>
      </c>
      <c r="I84" s="17" t="s">
        <v>260</v>
      </c>
    </row>
    <row r="85" spans="1:9" ht="15.75" customHeight="1" x14ac:dyDescent="0.3">
      <c r="A85" s="17" t="s">
        <v>322</v>
      </c>
      <c r="B85" s="17" t="s">
        <v>197</v>
      </c>
      <c r="C85" s="50" t="str">
        <f>VLOOKUP(B85,'Patner Store'!A$2:A$51,1,0)</f>
        <v>PS0041</v>
      </c>
      <c r="D85" s="29" t="s">
        <v>222</v>
      </c>
      <c r="E85" s="50" t="str">
        <f>VLOOKUP(D85,'Sales Team'!A$2:B$6,1,0)</f>
        <v>ST0001</v>
      </c>
      <c r="F85" s="28">
        <v>43929</v>
      </c>
      <c r="G85" s="17" t="s">
        <v>234</v>
      </c>
      <c r="H85" s="31">
        <v>64066010</v>
      </c>
      <c r="I85" s="17"/>
    </row>
    <row r="86" spans="1:9" ht="15.75" customHeight="1" x14ac:dyDescent="0.3">
      <c r="A86" s="17" t="s">
        <v>323</v>
      </c>
      <c r="B86" s="17" t="s">
        <v>213</v>
      </c>
      <c r="C86" s="50" t="str">
        <f>VLOOKUP(B86,'Patner Store'!A$2:A$51,1,0)</f>
        <v>PS0049</v>
      </c>
      <c r="D86" s="29" t="s">
        <v>229</v>
      </c>
      <c r="E86" s="50" t="str">
        <f>VLOOKUP(D86,'Sales Team'!A$2:B$6,1,0)</f>
        <v>ST0004</v>
      </c>
      <c r="F86" s="28">
        <v>43932</v>
      </c>
      <c r="G86" s="17" t="s">
        <v>234</v>
      </c>
      <c r="H86" s="31">
        <v>244066360</v>
      </c>
      <c r="I86" s="17"/>
    </row>
    <row r="87" spans="1:9" ht="15.75" customHeight="1" x14ac:dyDescent="0.3">
      <c r="A87" s="17" t="s">
        <v>324</v>
      </c>
      <c r="B87" s="17" t="s">
        <v>151</v>
      </c>
      <c r="C87" s="50" t="str">
        <f>VLOOKUP(B87,'Patner Store'!A$2:A$51,1,0)</f>
        <v>PS0019</v>
      </c>
      <c r="D87" s="29" t="s">
        <v>231</v>
      </c>
      <c r="E87" s="50" t="str">
        <f>VLOOKUP(D87,'Sales Team'!A$2:B$6,1,0)</f>
        <v>ST0005</v>
      </c>
      <c r="F87" s="28">
        <v>43933</v>
      </c>
      <c r="G87" s="17" t="s">
        <v>234</v>
      </c>
      <c r="H87" s="31">
        <v>231369915</v>
      </c>
      <c r="I87" s="17"/>
    </row>
    <row r="88" spans="1:9" ht="15.75" customHeight="1" x14ac:dyDescent="0.3">
      <c r="A88" s="17" t="s">
        <v>325</v>
      </c>
      <c r="B88" s="17" t="s">
        <v>116</v>
      </c>
      <c r="C88" s="50" t="str">
        <f>VLOOKUP(B88,'Patner Store'!A$2:A$51,1,0)</f>
        <v>PS0004</v>
      </c>
      <c r="D88" s="29" t="s">
        <v>222</v>
      </c>
      <c r="E88" s="50" t="str">
        <f>VLOOKUP(D88,'Sales Team'!A$2:B$6,1,0)</f>
        <v>ST0001</v>
      </c>
      <c r="F88" s="28">
        <v>43934</v>
      </c>
      <c r="G88" s="17" t="s">
        <v>234</v>
      </c>
      <c r="H88" s="31">
        <v>99405960</v>
      </c>
      <c r="I88" s="17" t="s">
        <v>260</v>
      </c>
    </row>
    <row r="89" spans="1:9" ht="15.75" customHeight="1" x14ac:dyDescent="0.3">
      <c r="A89" s="17" t="s">
        <v>326</v>
      </c>
      <c r="B89" s="17" t="s">
        <v>105</v>
      </c>
      <c r="C89" s="50" t="str">
        <f>VLOOKUP(B89,'Patner Store'!A$2:A$51,1,0)</f>
        <v>PS0001</v>
      </c>
      <c r="D89" s="29" t="s">
        <v>231</v>
      </c>
      <c r="E89" s="50" t="str">
        <f>VLOOKUP(D89,'Sales Team'!A$2:B$6,1,0)</f>
        <v>ST0005</v>
      </c>
      <c r="F89" s="28">
        <v>43934</v>
      </c>
      <c r="G89" s="29" t="s">
        <v>237</v>
      </c>
      <c r="H89" s="31">
        <v>600198050</v>
      </c>
      <c r="I89" s="17" t="s">
        <v>260</v>
      </c>
    </row>
    <row r="90" spans="1:9" ht="15.75" customHeight="1" x14ac:dyDescent="0.3">
      <c r="A90" s="17" t="s">
        <v>327</v>
      </c>
      <c r="B90" s="17" t="s">
        <v>207</v>
      </c>
      <c r="C90" s="50" t="str">
        <f>VLOOKUP(B90,'Patner Store'!A$2:A$51,1,0)</f>
        <v>PS0046</v>
      </c>
      <c r="D90" s="29" t="s">
        <v>227</v>
      </c>
      <c r="E90" s="50" t="str">
        <f>VLOOKUP(D90,'Sales Team'!A$2:B$6,1,0)</f>
        <v>ST0003</v>
      </c>
      <c r="F90" s="28">
        <v>43934</v>
      </c>
      <c r="G90" s="29" t="s">
        <v>237</v>
      </c>
      <c r="H90" s="31">
        <v>256372920</v>
      </c>
      <c r="I90" s="17"/>
    </row>
    <row r="91" spans="1:9" ht="15.75" customHeight="1" x14ac:dyDescent="0.3">
      <c r="A91" s="17" t="s">
        <v>328</v>
      </c>
      <c r="B91" s="17" t="s">
        <v>173</v>
      </c>
      <c r="C91" s="50" t="str">
        <f>VLOOKUP(B91,'Patner Store'!A$2:A$51,1,0)</f>
        <v>PS0029</v>
      </c>
      <c r="D91" s="29" t="s">
        <v>229</v>
      </c>
      <c r="E91" s="50" t="str">
        <f>VLOOKUP(D91,'Sales Team'!A$2:B$6,1,0)</f>
        <v>ST0004</v>
      </c>
      <c r="F91" s="28">
        <v>43935</v>
      </c>
      <c r="G91" s="29" t="s">
        <v>237</v>
      </c>
      <c r="H91" s="31">
        <v>359696134</v>
      </c>
      <c r="I91" s="17" t="s">
        <v>260</v>
      </c>
    </row>
    <row r="92" spans="1:9" ht="15.75" customHeight="1" x14ac:dyDescent="0.3">
      <c r="A92" s="17" t="s">
        <v>329</v>
      </c>
      <c r="B92" s="17" t="s">
        <v>131</v>
      </c>
      <c r="C92" s="50" t="str">
        <f>VLOOKUP(B92,'Patner Store'!A$2:A$51,1,0)</f>
        <v>PS0010</v>
      </c>
      <c r="D92" s="29" t="s">
        <v>222</v>
      </c>
      <c r="E92" s="50" t="str">
        <f>VLOOKUP(D92,'Sales Team'!A$2:B$6,1,0)</f>
        <v>ST0001</v>
      </c>
      <c r="F92" s="28">
        <v>43936</v>
      </c>
      <c r="G92" s="17" t="s">
        <v>234</v>
      </c>
      <c r="H92" s="31">
        <v>223064820</v>
      </c>
      <c r="I92" s="17"/>
    </row>
    <row r="93" spans="1:9" ht="15.75" customHeight="1" x14ac:dyDescent="0.3">
      <c r="A93" s="17" t="s">
        <v>330</v>
      </c>
      <c r="B93" s="17" t="s">
        <v>164</v>
      </c>
      <c r="C93" s="50" t="str">
        <f>VLOOKUP(B93,'Patner Store'!A$2:A$51,1,0)</f>
        <v>PS0025</v>
      </c>
      <c r="D93" s="29" t="s">
        <v>227</v>
      </c>
      <c r="E93" s="50" t="str">
        <f>VLOOKUP(D93,'Sales Team'!A$2:B$6,1,0)</f>
        <v>ST0003</v>
      </c>
      <c r="F93" s="28">
        <v>43936</v>
      </c>
      <c r="G93" s="29" t="s">
        <v>237</v>
      </c>
      <c r="H93" s="31">
        <v>244572270</v>
      </c>
      <c r="I93" s="17" t="s">
        <v>260</v>
      </c>
    </row>
    <row r="94" spans="1:9" ht="15.75" customHeight="1" x14ac:dyDescent="0.3">
      <c r="A94" s="17" t="s">
        <v>331</v>
      </c>
      <c r="B94" s="17" t="s">
        <v>179</v>
      </c>
      <c r="C94" s="50" t="str">
        <f>VLOOKUP(B94,'Patner Store'!A$2:A$51,1,0)</f>
        <v>PS0032</v>
      </c>
      <c r="D94" s="29" t="s">
        <v>229</v>
      </c>
      <c r="E94" s="50" t="str">
        <f>VLOOKUP(D94,'Sales Team'!A$2:B$6,1,0)</f>
        <v>ST0004</v>
      </c>
      <c r="F94" s="28">
        <v>43938</v>
      </c>
      <c r="G94" s="29" t="s">
        <v>237</v>
      </c>
      <c r="H94" s="31">
        <v>320330080</v>
      </c>
      <c r="I94" s="17"/>
    </row>
    <row r="95" spans="1:9" ht="15.75" customHeight="1" x14ac:dyDescent="0.3">
      <c r="A95" s="17" t="s">
        <v>332</v>
      </c>
      <c r="B95" s="17" t="s">
        <v>141</v>
      </c>
      <c r="C95" s="50" t="str">
        <f>VLOOKUP(B95,'Patner Store'!A$2:A$51,1,0)</f>
        <v>PS0015</v>
      </c>
      <c r="D95" s="29" t="s">
        <v>229</v>
      </c>
      <c r="E95" s="50" t="str">
        <f>VLOOKUP(D95,'Sales Team'!A$2:B$6,1,0)</f>
        <v>ST0004</v>
      </c>
      <c r="F95" s="28">
        <v>43938</v>
      </c>
      <c r="G95" s="17" t="s">
        <v>234</v>
      </c>
      <c r="H95" s="31">
        <v>117155640</v>
      </c>
      <c r="I95" s="17"/>
    </row>
    <row r="96" spans="1:9" ht="15.75" customHeight="1" x14ac:dyDescent="0.3">
      <c r="A96" s="17" t="s">
        <v>333</v>
      </c>
      <c r="B96" s="17" t="s">
        <v>207</v>
      </c>
      <c r="C96" s="50" t="str">
        <f>VLOOKUP(B96,'Patner Store'!A$2:A$51,1,0)</f>
        <v>PS0046</v>
      </c>
      <c r="D96" s="29" t="s">
        <v>227</v>
      </c>
      <c r="E96" s="50" t="str">
        <f>VLOOKUP(D96,'Sales Team'!A$2:B$6,1,0)</f>
        <v>ST0003</v>
      </c>
      <c r="F96" s="28">
        <v>43938</v>
      </c>
      <c r="G96" s="17" t="s">
        <v>234</v>
      </c>
      <c r="H96" s="31">
        <v>72653090</v>
      </c>
      <c r="I96" s="17"/>
    </row>
    <row r="97" spans="1:9" ht="15.75" customHeight="1" x14ac:dyDescent="0.3">
      <c r="A97" s="17" t="s">
        <v>334</v>
      </c>
      <c r="B97" s="17" t="s">
        <v>211</v>
      </c>
      <c r="C97" s="50" t="str">
        <f>VLOOKUP(B97,'Patner Store'!A$2:A$51,1,0)</f>
        <v>PS0048</v>
      </c>
      <c r="D97" s="29" t="s">
        <v>227</v>
      </c>
      <c r="E97" s="50" t="str">
        <f>VLOOKUP(D97,'Sales Team'!A$2:B$6,1,0)</f>
        <v>ST0003</v>
      </c>
      <c r="F97" s="28">
        <v>43938</v>
      </c>
      <c r="G97" s="29" t="s">
        <v>237</v>
      </c>
      <c r="H97" s="31">
        <v>297933696</v>
      </c>
      <c r="I97" s="17"/>
    </row>
    <row r="98" spans="1:9" ht="15.75" customHeight="1" x14ac:dyDescent="0.3">
      <c r="A98" s="17" t="s">
        <v>335</v>
      </c>
      <c r="B98" s="17" t="s">
        <v>124</v>
      </c>
      <c r="C98" s="50" t="str">
        <f>VLOOKUP(B98,'Patner Store'!A$2:A$51,1,0)</f>
        <v>PS0007</v>
      </c>
      <c r="D98" s="29" t="s">
        <v>222</v>
      </c>
      <c r="E98" s="50" t="str">
        <f>VLOOKUP(D98,'Sales Team'!A$2:B$6,1,0)</f>
        <v>ST0001</v>
      </c>
      <c r="F98" s="28">
        <v>43939</v>
      </c>
      <c r="G98" s="17" t="s">
        <v>234</v>
      </c>
      <c r="H98" s="31">
        <v>58267980</v>
      </c>
      <c r="I98" s="17" t="s">
        <v>260</v>
      </c>
    </row>
    <row r="99" spans="1:9" ht="15.75" customHeight="1" x14ac:dyDescent="0.3">
      <c r="A99" s="17" t="s">
        <v>336</v>
      </c>
      <c r="B99" s="17" t="s">
        <v>177</v>
      </c>
      <c r="C99" s="50" t="str">
        <f>VLOOKUP(B99,'Patner Store'!A$2:A$51,1,0)</f>
        <v>PS0031</v>
      </c>
      <c r="D99" s="29" t="s">
        <v>225</v>
      </c>
      <c r="E99" s="50" t="str">
        <f>VLOOKUP(D99,'Sales Team'!A$2:B$6,1,0)</f>
        <v>ST0002</v>
      </c>
      <c r="F99" s="28">
        <v>43941</v>
      </c>
      <c r="G99" s="29" t="s">
        <v>237</v>
      </c>
      <c r="H99" s="31">
        <v>318965530</v>
      </c>
      <c r="I99" s="17" t="s">
        <v>247</v>
      </c>
    </row>
    <row r="100" spans="1:9" ht="15.75" customHeight="1" x14ac:dyDescent="0.3">
      <c r="A100" s="17" t="s">
        <v>337</v>
      </c>
      <c r="B100" s="17" t="s">
        <v>124</v>
      </c>
      <c r="C100" s="50" t="str">
        <f>VLOOKUP(B100,'Patner Store'!A$2:A$51,1,0)</f>
        <v>PS0007</v>
      </c>
      <c r="D100" s="29" t="s">
        <v>222</v>
      </c>
      <c r="E100" s="50" t="str">
        <f>VLOOKUP(D100,'Sales Team'!A$2:B$6,1,0)</f>
        <v>ST0001</v>
      </c>
      <c r="F100" s="28">
        <v>43943</v>
      </c>
      <c r="G100" s="17" t="s">
        <v>234</v>
      </c>
      <c r="H100" s="31">
        <v>236758060</v>
      </c>
      <c r="I100" s="17"/>
    </row>
    <row r="101" spans="1:9" ht="15.75" customHeight="1" x14ac:dyDescent="0.3">
      <c r="A101" s="17" t="s">
        <v>338</v>
      </c>
      <c r="B101" s="17" t="s">
        <v>122</v>
      </c>
      <c r="C101" s="50" t="str">
        <f>VLOOKUP(B101,'Patner Store'!A$2:A$51,1,0)</f>
        <v>PS0006</v>
      </c>
      <c r="D101" s="29" t="s">
        <v>227</v>
      </c>
      <c r="E101" s="50" t="str">
        <f>VLOOKUP(D101,'Sales Team'!A$2:B$6,1,0)</f>
        <v>ST0003</v>
      </c>
      <c r="F101" s="28">
        <v>43944</v>
      </c>
      <c r="G101" s="29" t="s">
        <v>237</v>
      </c>
      <c r="H101" s="31">
        <v>621754926</v>
      </c>
      <c r="I101" s="17"/>
    </row>
    <row r="102" spans="1:9" ht="15.75" customHeight="1" x14ac:dyDescent="0.3">
      <c r="A102" s="17" t="s">
        <v>339</v>
      </c>
      <c r="B102" s="17" t="s">
        <v>199</v>
      </c>
      <c r="C102" s="50" t="str">
        <f>VLOOKUP(B102,'Patner Store'!A$2:A$51,1,0)</f>
        <v>PS0042</v>
      </c>
      <c r="D102" s="29" t="s">
        <v>225</v>
      </c>
      <c r="E102" s="50" t="str">
        <f>VLOOKUP(D102,'Sales Team'!A$2:B$6,1,0)</f>
        <v>ST0002</v>
      </c>
      <c r="F102" s="28">
        <v>43944</v>
      </c>
      <c r="G102" s="29" t="s">
        <v>237</v>
      </c>
      <c r="H102" s="31">
        <v>305378640.00000006</v>
      </c>
      <c r="I102" s="17" t="s">
        <v>253</v>
      </c>
    </row>
    <row r="103" spans="1:9" ht="15.75" customHeight="1" x14ac:dyDescent="0.3">
      <c r="A103" s="17" t="s">
        <v>340</v>
      </c>
      <c r="B103" s="17" t="s">
        <v>135</v>
      </c>
      <c r="C103" s="50" t="str">
        <f>VLOOKUP(B103,'Patner Store'!A$2:A$51,1,0)</f>
        <v>PS0012</v>
      </c>
      <c r="D103" s="29" t="s">
        <v>227</v>
      </c>
      <c r="E103" s="50" t="str">
        <f>VLOOKUP(D103,'Sales Team'!A$2:B$6,1,0)</f>
        <v>ST0003</v>
      </c>
      <c r="F103" s="28">
        <v>43945</v>
      </c>
      <c r="G103" s="17" t="s">
        <v>234</v>
      </c>
      <c r="H103" s="31">
        <v>83840710</v>
      </c>
      <c r="I103" s="17" t="s">
        <v>247</v>
      </c>
    </row>
    <row r="104" spans="1:9" ht="15.75" customHeight="1" x14ac:dyDescent="0.3">
      <c r="A104" s="17" t="s">
        <v>341</v>
      </c>
      <c r="B104" s="17" t="s">
        <v>148</v>
      </c>
      <c r="C104" s="50" t="str">
        <f>VLOOKUP(B104,'Patner Store'!A$2:A$51,1,0)</f>
        <v>PS0018</v>
      </c>
      <c r="D104" s="29" t="s">
        <v>225</v>
      </c>
      <c r="E104" s="50" t="str">
        <f>VLOOKUP(D104,'Sales Team'!A$2:B$6,1,0)</f>
        <v>ST0002</v>
      </c>
      <c r="F104" s="28">
        <v>43947</v>
      </c>
      <c r="G104" s="29" t="s">
        <v>237</v>
      </c>
      <c r="H104" s="31">
        <v>1036408339</v>
      </c>
      <c r="I104" s="17"/>
    </row>
    <row r="105" spans="1:9" ht="15.75" customHeight="1" x14ac:dyDescent="0.3">
      <c r="A105" s="17" t="s">
        <v>342</v>
      </c>
      <c r="B105" s="17" t="s">
        <v>168</v>
      </c>
      <c r="C105" s="50" t="str">
        <f>VLOOKUP(B105,'Patner Store'!A$2:A$51,1,0)</f>
        <v>PS0027</v>
      </c>
      <c r="D105" s="29" t="s">
        <v>229</v>
      </c>
      <c r="E105" s="50" t="str">
        <f>VLOOKUP(D105,'Sales Team'!A$2:B$6,1,0)</f>
        <v>ST0004</v>
      </c>
      <c r="F105" s="28">
        <v>43947</v>
      </c>
      <c r="G105" s="17" t="s">
        <v>234</v>
      </c>
      <c r="H105" s="31">
        <v>202677650</v>
      </c>
      <c r="I105" s="17"/>
    </row>
    <row r="106" spans="1:9" ht="15.75" customHeight="1" x14ac:dyDescent="0.3">
      <c r="A106" s="17" t="s">
        <v>343</v>
      </c>
      <c r="B106" s="17" t="s">
        <v>203</v>
      </c>
      <c r="C106" s="50" t="str">
        <f>VLOOKUP(B106,'Patner Store'!A$2:A$51,1,0)</f>
        <v>PS0044</v>
      </c>
      <c r="D106" s="29" t="s">
        <v>229</v>
      </c>
      <c r="E106" s="50" t="str">
        <f>VLOOKUP(D106,'Sales Team'!A$2:B$6,1,0)</f>
        <v>ST0004</v>
      </c>
      <c r="F106" s="28">
        <v>43948</v>
      </c>
      <c r="G106" s="29" t="s">
        <v>237</v>
      </c>
      <c r="H106" s="31">
        <v>617885030</v>
      </c>
      <c r="I106" s="17"/>
    </row>
    <row r="107" spans="1:9" ht="15.75" customHeight="1" x14ac:dyDescent="0.3">
      <c r="A107" s="17" t="s">
        <v>344</v>
      </c>
      <c r="B107" s="17" t="s">
        <v>191</v>
      </c>
      <c r="C107" s="50" t="str">
        <f>VLOOKUP(B107,'Patner Store'!A$2:A$51,1,0)</f>
        <v>PS0038</v>
      </c>
      <c r="D107" s="29" t="s">
        <v>229</v>
      </c>
      <c r="E107" s="50" t="str">
        <f>VLOOKUP(D107,'Sales Team'!A$2:B$6,1,0)</f>
        <v>ST0004</v>
      </c>
      <c r="F107" s="28">
        <v>43949</v>
      </c>
      <c r="G107" s="29" t="s">
        <v>237</v>
      </c>
      <c r="H107" s="31">
        <v>1062147270</v>
      </c>
      <c r="I107" s="17" t="s">
        <v>238</v>
      </c>
    </row>
    <row r="108" spans="1:9" ht="15.75" customHeight="1" x14ac:dyDescent="0.3">
      <c r="A108" s="17" t="s">
        <v>345</v>
      </c>
      <c r="B108" s="17" t="s">
        <v>162</v>
      </c>
      <c r="C108" s="50" t="str">
        <f>VLOOKUP(B108,'Patner Store'!A$2:A$51,1,0)</f>
        <v>PS0024</v>
      </c>
      <c r="D108" s="29" t="s">
        <v>222</v>
      </c>
      <c r="E108" s="50" t="str">
        <f>VLOOKUP(D108,'Sales Team'!A$2:B$6,1,0)</f>
        <v>ST0001</v>
      </c>
      <c r="F108" s="28">
        <v>43949</v>
      </c>
      <c r="G108" s="29" t="s">
        <v>237</v>
      </c>
      <c r="H108" s="31">
        <v>382289690</v>
      </c>
      <c r="I108" s="17" t="s">
        <v>260</v>
      </c>
    </row>
    <row r="109" spans="1:9" ht="15.75" customHeight="1" x14ac:dyDescent="0.3">
      <c r="A109" s="17" t="s">
        <v>346</v>
      </c>
      <c r="B109" s="17" t="s">
        <v>128</v>
      </c>
      <c r="C109" s="50" t="str">
        <f>VLOOKUP(B109,'Patner Store'!A$2:A$51,1,0)</f>
        <v>PS0009</v>
      </c>
      <c r="D109" s="29" t="s">
        <v>227</v>
      </c>
      <c r="E109" s="50" t="str">
        <f>VLOOKUP(D109,'Sales Team'!A$2:B$6,1,0)</f>
        <v>ST0003</v>
      </c>
      <c r="F109" s="28">
        <v>43950</v>
      </c>
      <c r="G109" s="17" t="s">
        <v>234</v>
      </c>
      <c r="H109" s="31">
        <v>212879540</v>
      </c>
      <c r="I109" s="17"/>
    </row>
    <row r="110" spans="1:9" ht="15.75" customHeight="1" x14ac:dyDescent="0.3">
      <c r="A110" s="17" t="s">
        <v>347</v>
      </c>
      <c r="B110" s="17" t="s">
        <v>133</v>
      </c>
      <c r="C110" s="50" t="str">
        <f>VLOOKUP(B110,'Patner Store'!A$2:A$51,1,0)</f>
        <v>PS0011</v>
      </c>
      <c r="D110" s="29" t="s">
        <v>225</v>
      </c>
      <c r="E110" s="50" t="str">
        <f>VLOOKUP(D110,'Sales Team'!A$2:B$6,1,0)</f>
        <v>ST0002</v>
      </c>
      <c r="F110" s="28">
        <v>43950</v>
      </c>
      <c r="G110" s="17" t="s">
        <v>234</v>
      </c>
      <c r="H110" s="31">
        <v>58247950</v>
      </c>
      <c r="I110" s="17"/>
    </row>
    <row r="111" spans="1:9" ht="15.75" customHeight="1" x14ac:dyDescent="0.3">
      <c r="A111" s="17" t="s">
        <v>348</v>
      </c>
      <c r="B111" s="17" t="s">
        <v>215</v>
      </c>
      <c r="C111" s="50" t="str">
        <f>VLOOKUP(B111,'Patner Store'!A$2:A$51,1,0)</f>
        <v>PS0050</v>
      </c>
      <c r="D111" s="29" t="s">
        <v>229</v>
      </c>
      <c r="E111" s="50" t="str">
        <f>VLOOKUP(D111,'Sales Team'!A$2:B$6,1,0)</f>
        <v>ST0004</v>
      </c>
      <c r="F111" s="28">
        <v>43950</v>
      </c>
      <c r="G111" s="29" t="s">
        <v>237</v>
      </c>
      <c r="H111" s="31">
        <v>253397760</v>
      </c>
      <c r="I111" s="17"/>
    </row>
    <row r="112" spans="1:9" ht="15.75" customHeight="1" x14ac:dyDescent="0.3">
      <c r="A112" s="17" t="s">
        <v>349</v>
      </c>
      <c r="B112" s="17" t="s">
        <v>109</v>
      </c>
      <c r="C112" s="50" t="str">
        <f>VLOOKUP(B112,'Patner Store'!A$2:A$51,1,0)</f>
        <v>PS0002</v>
      </c>
      <c r="D112" s="29" t="s">
        <v>225</v>
      </c>
      <c r="E112" s="50" t="str">
        <f>VLOOKUP(D112,'Sales Team'!A$2:B$6,1,0)</f>
        <v>ST0002</v>
      </c>
      <c r="F112" s="28">
        <v>43951</v>
      </c>
      <c r="G112" s="29" t="s">
        <v>237</v>
      </c>
      <c r="H112" s="31">
        <v>802668954</v>
      </c>
      <c r="I112" s="17"/>
    </row>
    <row r="113" spans="1:9" ht="15.75" customHeight="1" x14ac:dyDescent="0.3">
      <c r="A113" s="17" t="s">
        <v>350</v>
      </c>
      <c r="B113" s="17" t="s">
        <v>201</v>
      </c>
      <c r="C113" s="50" t="str">
        <f>VLOOKUP(B113,'Patner Store'!A$2:A$51,1,0)</f>
        <v>PS0043</v>
      </c>
      <c r="D113" s="29" t="s">
        <v>229</v>
      </c>
      <c r="E113" s="50" t="str">
        <f>VLOOKUP(D113,'Sales Team'!A$2:B$6,1,0)</f>
        <v>ST0004</v>
      </c>
      <c r="F113" s="28">
        <v>43952</v>
      </c>
      <c r="G113" s="17" t="s">
        <v>234</v>
      </c>
      <c r="H113" s="31">
        <v>449400700</v>
      </c>
      <c r="I113" s="17"/>
    </row>
    <row r="114" spans="1:9" ht="15.75" customHeight="1" x14ac:dyDescent="0.3">
      <c r="A114" s="17" t="s">
        <v>351</v>
      </c>
      <c r="B114" s="17" t="s">
        <v>113</v>
      </c>
      <c r="C114" s="50" t="str">
        <f>VLOOKUP(B114,'Patner Store'!A$2:A$51,1,0)</f>
        <v>PS0003</v>
      </c>
      <c r="D114" s="29" t="s">
        <v>227</v>
      </c>
      <c r="E114" s="50" t="str">
        <f>VLOOKUP(D114,'Sales Team'!A$2:B$6,1,0)</f>
        <v>ST0003</v>
      </c>
      <c r="F114" s="28">
        <v>43953</v>
      </c>
      <c r="G114" s="17" t="s">
        <v>234</v>
      </c>
      <c r="H114" s="31">
        <v>37981940</v>
      </c>
      <c r="I114" s="17" t="s">
        <v>253</v>
      </c>
    </row>
    <row r="115" spans="1:9" ht="15.75" customHeight="1" x14ac:dyDescent="0.3">
      <c r="A115" s="17" t="s">
        <v>352</v>
      </c>
      <c r="B115" s="17" t="s">
        <v>199</v>
      </c>
      <c r="C115" s="50" t="str">
        <f>VLOOKUP(B115,'Patner Store'!A$2:A$51,1,0)</f>
        <v>PS0042</v>
      </c>
      <c r="D115" s="29" t="s">
        <v>225</v>
      </c>
      <c r="E115" s="50" t="str">
        <f>VLOOKUP(D115,'Sales Team'!A$2:B$6,1,0)</f>
        <v>ST0002</v>
      </c>
      <c r="F115" s="28">
        <v>43954</v>
      </c>
      <c r="G115" s="17" t="s">
        <v>234</v>
      </c>
      <c r="H115" s="31">
        <v>108186772</v>
      </c>
      <c r="I115" s="17"/>
    </row>
    <row r="116" spans="1:9" ht="15.75" customHeight="1" x14ac:dyDescent="0.3">
      <c r="A116" s="17" t="s">
        <v>353</v>
      </c>
      <c r="B116" s="17" t="s">
        <v>158</v>
      </c>
      <c r="C116" s="50" t="str">
        <f>VLOOKUP(B116,'Patner Store'!A$2:A$51,1,0)</f>
        <v>PS0022</v>
      </c>
      <c r="D116" s="29" t="s">
        <v>229</v>
      </c>
      <c r="E116" s="50" t="str">
        <f>VLOOKUP(D116,'Sales Team'!A$2:B$6,1,0)</f>
        <v>ST0004</v>
      </c>
      <c r="F116" s="28">
        <v>43956</v>
      </c>
      <c r="G116" s="17" t="s">
        <v>234</v>
      </c>
      <c r="H116" s="31">
        <v>43738140</v>
      </c>
      <c r="I116" s="17" t="s">
        <v>247</v>
      </c>
    </row>
    <row r="117" spans="1:9" ht="15.75" customHeight="1" x14ac:dyDescent="0.3">
      <c r="A117" s="17" t="s">
        <v>354</v>
      </c>
      <c r="B117" s="17" t="s">
        <v>171</v>
      </c>
      <c r="C117" s="50" t="str">
        <f>VLOOKUP(B117,'Patner Store'!A$2:A$51,1,0)</f>
        <v>PS0028</v>
      </c>
      <c r="D117" s="29" t="s">
        <v>231</v>
      </c>
      <c r="E117" s="50" t="str">
        <f>VLOOKUP(D117,'Sales Team'!A$2:B$6,1,0)</f>
        <v>ST0005</v>
      </c>
      <c r="F117" s="28">
        <v>43957</v>
      </c>
      <c r="G117" s="29" t="s">
        <v>237</v>
      </c>
      <c r="H117" s="31">
        <v>460537850</v>
      </c>
      <c r="I117" s="17" t="s">
        <v>253</v>
      </c>
    </row>
    <row r="118" spans="1:9" ht="15.75" customHeight="1" x14ac:dyDescent="0.3">
      <c r="A118" s="17" t="s">
        <v>355</v>
      </c>
      <c r="B118" s="17" t="s">
        <v>113</v>
      </c>
      <c r="C118" s="50" t="str">
        <f>VLOOKUP(B118,'Patner Store'!A$2:A$51,1,0)</f>
        <v>PS0003</v>
      </c>
      <c r="D118" s="29" t="s">
        <v>227</v>
      </c>
      <c r="E118" s="50" t="str">
        <f>VLOOKUP(D118,'Sales Team'!A$2:B$6,1,0)</f>
        <v>ST0003</v>
      </c>
      <c r="F118" s="28">
        <v>43958</v>
      </c>
      <c r="G118" s="29" t="s">
        <v>237</v>
      </c>
      <c r="H118" s="31">
        <v>685061170</v>
      </c>
      <c r="I118" s="17"/>
    </row>
    <row r="119" spans="1:9" ht="15.75" customHeight="1" x14ac:dyDescent="0.3">
      <c r="A119" s="17" t="s">
        <v>356</v>
      </c>
      <c r="B119" s="17" t="s">
        <v>199</v>
      </c>
      <c r="C119" s="50" t="str">
        <f>VLOOKUP(B119,'Patner Store'!A$2:A$51,1,0)</f>
        <v>PS0042</v>
      </c>
      <c r="D119" s="29" t="s">
        <v>225</v>
      </c>
      <c r="E119" s="50" t="str">
        <f>VLOOKUP(D119,'Sales Team'!A$2:B$6,1,0)</f>
        <v>ST0002</v>
      </c>
      <c r="F119" s="28">
        <v>43960</v>
      </c>
      <c r="G119" s="17" t="s">
        <v>234</v>
      </c>
      <c r="H119" s="31">
        <v>67066528</v>
      </c>
      <c r="I119" s="17"/>
    </row>
    <row r="120" spans="1:9" ht="15.75" customHeight="1" x14ac:dyDescent="0.3">
      <c r="A120" s="17" t="s">
        <v>357</v>
      </c>
      <c r="B120" s="17" t="s">
        <v>131</v>
      </c>
      <c r="C120" s="50" t="str">
        <f>VLOOKUP(B120,'Patner Store'!A$2:A$51,1,0)</f>
        <v>PS0010</v>
      </c>
      <c r="D120" s="29" t="s">
        <v>222</v>
      </c>
      <c r="E120" s="50" t="str">
        <f>VLOOKUP(D120,'Sales Team'!A$2:B$6,1,0)</f>
        <v>ST0001</v>
      </c>
      <c r="F120" s="28">
        <v>43960</v>
      </c>
      <c r="G120" s="29" t="s">
        <v>237</v>
      </c>
      <c r="H120" s="31">
        <v>695799770</v>
      </c>
      <c r="I120" s="17"/>
    </row>
    <row r="121" spans="1:9" ht="15.75" customHeight="1" x14ac:dyDescent="0.3">
      <c r="A121" s="17" t="s">
        <v>358</v>
      </c>
      <c r="B121" s="17" t="s">
        <v>124</v>
      </c>
      <c r="C121" s="50" t="str">
        <f>VLOOKUP(B121,'Patner Store'!A$2:A$51,1,0)</f>
        <v>PS0007</v>
      </c>
      <c r="D121" s="29" t="s">
        <v>222</v>
      </c>
      <c r="E121" s="50" t="str">
        <f>VLOOKUP(D121,'Sales Team'!A$2:B$6,1,0)</f>
        <v>ST0001</v>
      </c>
      <c r="F121" s="28">
        <v>43962</v>
      </c>
      <c r="G121" s="29" t="s">
        <v>237</v>
      </c>
      <c r="H121" s="31">
        <v>476606910</v>
      </c>
      <c r="I121" s="17" t="s">
        <v>260</v>
      </c>
    </row>
    <row r="122" spans="1:9" ht="15.75" customHeight="1" x14ac:dyDescent="0.3">
      <c r="A122" s="17" t="s">
        <v>359</v>
      </c>
      <c r="B122" s="17" t="s">
        <v>154</v>
      </c>
      <c r="C122" s="50" t="str">
        <f>VLOOKUP(B122,'Patner Store'!A$2:A$51,1,0)</f>
        <v>PS0020</v>
      </c>
      <c r="D122" s="29" t="s">
        <v>229</v>
      </c>
      <c r="E122" s="50" t="str">
        <f>VLOOKUP(D122,'Sales Team'!A$2:B$6,1,0)</f>
        <v>ST0004</v>
      </c>
      <c r="F122" s="28">
        <v>43962</v>
      </c>
      <c r="G122" s="17" t="s">
        <v>234</v>
      </c>
      <c r="H122" s="31">
        <v>148617000</v>
      </c>
      <c r="I122" s="17" t="s">
        <v>253</v>
      </c>
    </row>
    <row r="123" spans="1:9" ht="15.75" customHeight="1" x14ac:dyDescent="0.3">
      <c r="A123" s="17" t="s">
        <v>360</v>
      </c>
      <c r="B123" s="17" t="s">
        <v>119</v>
      </c>
      <c r="C123" s="50" t="str">
        <f>VLOOKUP(B123,'Patner Store'!A$2:A$51,1,0)</f>
        <v>PS0005</v>
      </c>
      <c r="D123" s="29" t="s">
        <v>229</v>
      </c>
      <c r="E123" s="50" t="str">
        <f>VLOOKUP(D123,'Sales Team'!A$2:B$6,1,0)</f>
        <v>ST0004</v>
      </c>
      <c r="F123" s="28">
        <v>43962</v>
      </c>
      <c r="G123" s="29" t="s">
        <v>237</v>
      </c>
      <c r="H123" s="31">
        <v>1059173930</v>
      </c>
      <c r="I123" s="17"/>
    </row>
    <row r="124" spans="1:9" ht="15.75" customHeight="1" x14ac:dyDescent="0.3">
      <c r="A124" s="17" t="s">
        <v>361</v>
      </c>
      <c r="B124" s="17" t="s">
        <v>191</v>
      </c>
      <c r="C124" s="50" t="str">
        <f>VLOOKUP(B124,'Patner Store'!A$2:A$51,1,0)</f>
        <v>PS0038</v>
      </c>
      <c r="D124" s="29" t="s">
        <v>229</v>
      </c>
      <c r="E124" s="50" t="str">
        <f>VLOOKUP(D124,'Sales Team'!A$2:B$6,1,0)</f>
        <v>ST0004</v>
      </c>
      <c r="F124" s="28">
        <v>43962</v>
      </c>
      <c r="G124" s="17" t="s">
        <v>234</v>
      </c>
      <c r="H124" s="31">
        <v>105925420</v>
      </c>
      <c r="I124" s="17"/>
    </row>
    <row r="125" spans="1:9" ht="15.75" customHeight="1" x14ac:dyDescent="0.3">
      <c r="A125" s="17" t="s">
        <v>362</v>
      </c>
      <c r="B125" s="17" t="s">
        <v>166</v>
      </c>
      <c r="C125" s="50" t="str">
        <f>VLOOKUP(B125,'Patner Store'!A$2:A$51,1,0)</f>
        <v>PS0026</v>
      </c>
      <c r="D125" s="29" t="s">
        <v>229</v>
      </c>
      <c r="E125" s="50" t="str">
        <f>VLOOKUP(D125,'Sales Team'!A$2:B$6,1,0)</f>
        <v>ST0004</v>
      </c>
      <c r="F125" s="28">
        <v>43964</v>
      </c>
      <c r="G125" s="17" t="s">
        <v>234</v>
      </c>
      <c r="H125" s="31">
        <v>123380950</v>
      </c>
      <c r="I125" s="17"/>
    </row>
    <row r="126" spans="1:9" ht="15.75" customHeight="1" x14ac:dyDescent="0.3">
      <c r="A126" s="17" t="s">
        <v>363</v>
      </c>
      <c r="B126" s="17" t="s">
        <v>173</v>
      </c>
      <c r="C126" s="50" t="str">
        <f>VLOOKUP(B126,'Patner Store'!A$2:A$51,1,0)</f>
        <v>PS0029</v>
      </c>
      <c r="D126" s="29" t="s">
        <v>229</v>
      </c>
      <c r="E126" s="50" t="str">
        <f>VLOOKUP(D126,'Sales Team'!A$2:B$6,1,0)</f>
        <v>ST0004</v>
      </c>
      <c r="F126" s="28">
        <v>43965</v>
      </c>
      <c r="G126" s="17" t="s">
        <v>234</v>
      </c>
      <c r="H126" s="31">
        <v>78916200</v>
      </c>
      <c r="I126" s="17"/>
    </row>
    <row r="127" spans="1:9" ht="15.75" customHeight="1" x14ac:dyDescent="0.3">
      <c r="A127" s="17" t="s">
        <v>364</v>
      </c>
      <c r="B127" s="17" t="s">
        <v>154</v>
      </c>
      <c r="C127" s="50" t="str">
        <f>VLOOKUP(B127,'Patner Store'!A$2:A$51,1,0)</f>
        <v>PS0020</v>
      </c>
      <c r="D127" s="29" t="s">
        <v>229</v>
      </c>
      <c r="E127" s="50" t="str">
        <f>VLOOKUP(D127,'Sales Team'!A$2:B$6,1,0)</f>
        <v>ST0004</v>
      </c>
      <c r="F127" s="28">
        <v>43965</v>
      </c>
      <c r="G127" s="17" t="s">
        <v>234</v>
      </c>
      <c r="H127" s="31">
        <v>50706860</v>
      </c>
      <c r="I127" s="17"/>
    </row>
    <row r="128" spans="1:9" ht="15.75" customHeight="1" x14ac:dyDescent="0.3">
      <c r="A128" s="17" t="s">
        <v>365</v>
      </c>
      <c r="B128" s="17" t="s">
        <v>122</v>
      </c>
      <c r="C128" s="50" t="str">
        <f>VLOOKUP(B128,'Patner Store'!A$2:A$51,1,0)</f>
        <v>PS0006</v>
      </c>
      <c r="D128" s="29" t="s">
        <v>227</v>
      </c>
      <c r="E128" s="50" t="str">
        <f>VLOOKUP(D128,'Sales Team'!A$2:B$6,1,0)</f>
        <v>ST0003</v>
      </c>
      <c r="F128" s="28">
        <v>43966</v>
      </c>
      <c r="G128" s="29" t="s">
        <v>237</v>
      </c>
      <c r="H128" s="31">
        <v>274275000</v>
      </c>
      <c r="I128" s="17" t="s">
        <v>247</v>
      </c>
    </row>
    <row r="129" spans="1:9" ht="15.75" customHeight="1" x14ac:dyDescent="0.3">
      <c r="A129" s="17" t="s">
        <v>366</v>
      </c>
      <c r="B129" s="17" t="s">
        <v>133</v>
      </c>
      <c r="C129" s="50" t="str">
        <f>VLOOKUP(B129,'Patner Store'!A$2:A$51,1,0)</f>
        <v>PS0011</v>
      </c>
      <c r="D129" s="29" t="s">
        <v>225</v>
      </c>
      <c r="E129" s="50" t="str">
        <f>VLOOKUP(D129,'Sales Team'!A$2:B$6,1,0)</f>
        <v>ST0002</v>
      </c>
      <c r="F129" s="28">
        <v>43966</v>
      </c>
      <c r="G129" s="17" t="s">
        <v>234</v>
      </c>
      <c r="H129" s="31">
        <v>112638420</v>
      </c>
      <c r="I129" s="17"/>
    </row>
    <row r="130" spans="1:9" ht="15.75" customHeight="1" x14ac:dyDescent="0.3">
      <c r="A130" s="17" t="s">
        <v>367</v>
      </c>
      <c r="B130" s="17" t="s">
        <v>195</v>
      </c>
      <c r="C130" s="50" t="str">
        <f>VLOOKUP(B130,'Patner Store'!A$2:A$51,1,0)</f>
        <v>PS0040</v>
      </c>
      <c r="D130" s="29" t="s">
        <v>227</v>
      </c>
      <c r="E130" s="50" t="str">
        <f>VLOOKUP(D130,'Sales Team'!A$2:B$6,1,0)</f>
        <v>ST0003</v>
      </c>
      <c r="F130" s="28">
        <v>43967</v>
      </c>
      <c r="G130" s="29" t="s">
        <v>237</v>
      </c>
      <c r="H130" s="31">
        <v>397786080</v>
      </c>
      <c r="I130" s="17"/>
    </row>
    <row r="131" spans="1:9" ht="15.75" customHeight="1" x14ac:dyDescent="0.3">
      <c r="A131" s="17" t="s">
        <v>368</v>
      </c>
      <c r="B131" s="17" t="s">
        <v>183</v>
      </c>
      <c r="C131" s="50" t="str">
        <f>VLOOKUP(B131,'Patner Store'!A$2:A$51,1,0)</f>
        <v>PS0034</v>
      </c>
      <c r="D131" s="29" t="s">
        <v>222</v>
      </c>
      <c r="E131" s="50" t="str">
        <f>VLOOKUP(D131,'Sales Team'!A$2:B$6,1,0)</f>
        <v>ST0001</v>
      </c>
      <c r="F131" s="28">
        <v>43968</v>
      </c>
      <c r="G131" s="17" t="s">
        <v>234</v>
      </c>
      <c r="H131" s="31">
        <v>142107666</v>
      </c>
      <c r="I131" s="17"/>
    </row>
    <row r="132" spans="1:9" ht="15.75" customHeight="1" x14ac:dyDescent="0.3">
      <c r="A132" s="17" t="s">
        <v>369</v>
      </c>
      <c r="B132" s="17" t="s">
        <v>211</v>
      </c>
      <c r="C132" s="50" t="str">
        <f>VLOOKUP(B132,'Patner Store'!A$2:A$51,1,0)</f>
        <v>PS0048</v>
      </c>
      <c r="D132" s="29" t="s">
        <v>227</v>
      </c>
      <c r="E132" s="50" t="str">
        <f>VLOOKUP(D132,'Sales Team'!A$2:B$6,1,0)</f>
        <v>ST0003</v>
      </c>
      <c r="F132" s="28">
        <v>43970</v>
      </c>
      <c r="G132" s="17" t="s">
        <v>234</v>
      </c>
      <c r="H132" s="31">
        <v>162710070</v>
      </c>
      <c r="I132" s="17"/>
    </row>
    <row r="133" spans="1:9" ht="15.75" customHeight="1" x14ac:dyDescent="0.3">
      <c r="A133" s="17" t="s">
        <v>370</v>
      </c>
      <c r="B133" s="17" t="s">
        <v>133</v>
      </c>
      <c r="C133" s="50" t="str">
        <f>VLOOKUP(B133,'Patner Store'!A$2:A$51,1,0)</f>
        <v>PS0011</v>
      </c>
      <c r="D133" s="29" t="s">
        <v>225</v>
      </c>
      <c r="E133" s="50" t="str">
        <f>VLOOKUP(D133,'Sales Team'!A$2:B$6,1,0)</f>
        <v>ST0002</v>
      </c>
      <c r="F133" s="28">
        <v>43973</v>
      </c>
      <c r="G133" s="17" t="s">
        <v>234</v>
      </c>
      <c r="H133" s="31">
        <v>240605652</v>
      </c>
      <c r="I133" s="17"/>
    </row>
    <row r="134" spans="1:9" ht="15.75" customHeight="1" x14ac:dyDescent="0.3">
      <c r="A134" s="17" t="s">
        <v>371</v>
      </c>
      <c r="B134" s="17" t="s">
        <v>141</v>
      </c>
      <c r="C134" s="50" t="str">
        <f>VLOOKUP(B134,'Patner Store'!A$2:A$51,1,0)</f>
        <v>PS0015</v>
      </c>
      <c r="D134" s="29" t="s">
        <v>229</v>
      </c>
      <c r="E134" s="50" t="str">
        <f>VLOOKUP(D134,'Sales Team'!A$2:B$6,1,0)</f>
        <v>ST0004</v>
      </c>
      <c r="F134" s="28">
        <v>43975</v>
      </c>
      <c r="G134" s="17" t="s">
        <v>234</v>
      </c>
      <c r="H134" s="31">
        <v>161246077</v>
      </c>
      <c r="I134" s="17"/>
    </row>
    <row r="135" spans="1:9" ht="15.75" customHeight="1" x14ac:dyDescent="0.3">
      <c r="A135" s="17" t="s">
        <v>372</v>
      </c>
      <c r="B135" s="17" t="s">
        <v>128</v>
      </c>
      <c r="C135" s="50" t="str">
        <f>VLOOKUP(B135,'Patner Store'!A$2:A$51,1,0)</f>
        <v>PS0009</v>
      </c>
      <c r="D135" s="29" t="s">
        <v>227</v>
      </c>
      <c r="E135" s="50" t="str">
        <f>VLOOKUP(D135,'Sales Team'!A$2:B$6,1,0)</f>
        <v>ST0003</v>
      </c>
      <c r="F135" s="28">
        <v>43978</v>
      </c>
      <c r="G135" s="17" t="s">
        <v>234</v>
      </c>
      <c r="H135" s="31">
        <v>102679360</v>
      </c>
      <c r="I135" s="17"/>
    </row>
    <row r="136" spans="1:9" ht="15.75" customHeight="1" x14ac:dyDescent="0.3">
      <c r="A136" s="17" t="s">
        <v>373</v>
      </c>
      <c r="B136" s="17" t="s">
        <v>133</v>
      </c>
      <c r="C136" s="50" t="str">
        <f>VLOOKUP(B136,'Patner Store'!A$2:A$51,1,0)</f>
        <v>PS0011</v>
      </c>
      <c r="D136" s="29" t="s">
        <v>225</v>
      </c>
      <c r="E136" s="50" t="str">
        <f>VLOOKUP(D136,'Sales Team'!A$2:B$6,1,0)</f>
        <v>ST0002</v>
      </c>
      <c r="F136" s="28">
        <v>43979</v>
      </c>
      <c r="G136" s="17" t="s">
        <v>234</v>
      </c>
      <c r="H136" s="31">
        <v>5304400</v>
      </c>
      <c r="I136" s="17"/>
    </row>
    <row r="137" spans="1:9" ht="15.75" customHeight="1" x14ac:dyDescent="0.3">
      <c r="A137" s="17" t="s">
        <v>374</v>
      </c>
      <c r="B137" s="17" t="s">
        <v>213</v>
      </c>
      <c r="C137" s="50" t="str">
        <f>VLOOKUP(B137,'Patner Store'!A$2:A$51,1,0)</f>
        <v>PS0049</v>
      </c>
      <c r="D137" s="29" t="s">
        <v>229</v>
      </c>
      <c r="E137" s="50" t="str">
        <f>VLOOKUP(D137,'Sales Team'!A$2:B$6,1,0)</f>
        <v>ST0004</v>
      </c>
      <c r="F137" s="28">
        <v>43980</v>
      </c>
      <c r="G137" s="17" t="s">
        <v>234</v>
      </c>
      <c r="H137" s="31">
        <v>106767080</v>
      </c>
      <c r="I137" s="17"/>
    </row>
    <row r="138" spans="1:9" ht="15.75" customHeight="1" x14ac:dyDescent="0.3">
      <c r="A138" s="17" t="s">
        <v>375</v>
      </c>
      <c r="B138" s="17" t="s">
        <v>203</v>
      </c>
      <c r="C138" s="50" t="str">
        <f>VLOOKUP(B138,'Patner Store'!A$2:A$51,1,0)</f>
        <v>PS0044</v>
      </c>
      <c r="D138" s="29" t="s">
        <v>229</v>
      </c>
      <c r="E138" s="50" t="str">
        <f>VLOOKUP(D138,'Sales Team'!A$2:B$6,1,0)</f>
        <v>ST0004</v>
      </c>
      <c r="F138" s="28">
        <v>43980</v>
      </c>
      <c r="G138" s="29" t="s">
        <v>237</v>
      </c>
      <c r="H138" s="31">
        <v>469979260</v>
      </c>
      <c r="I138" s="17"/>
    </row>
    <row r="139" spans="1:9" ht="15.75" customHeight="1" x14ac:dyDescent="0.3">
      <c r="A139" s="17" t="s">
        <v>376</v>
      </c>
      <c r="B139" s="17" t="s">
        <v>164</v>
      </c>
      <c r="C139" s="50" t="str">
        <f>VLOOKUP(B139,'Patner Store'!A$2:A$51,1,0)</f>
        <v>PS0025</v>
      </c>
      <c r="D139" s="29" t="s">
        <v>227</v>
      </c>
      <c r="E139" s="50" t="str">
        <f>VLOOKUP(D139,'Sales Team'!A$2:B$6,1,0)</f>
        <v>ST0003</v>
      </c>
      <c r="F139" s="28">
        <v>43981</v>
      </c>
      <c r="G139" s="29" t="s">
        <v>237</v>
      </c>
      <c r="H139" s="31">
        <v>602547400</v>
      </c>
      <c r="I139" s="17"/>
    </row>
    <row r="140" spans="1:9" ht="15.75" customHeight="1" x14ac:dyDescent="0.3">
      <c r="A140" s="17" t="s">
        <v>377</v>
      </c>
      <c r="B140" s="17" t="s">
        <v>105</v>
      </c>
      <c r="C140" s="50" t="str">
        <f>VLOOKUP(B140,'Patner Store'!A$2:A$51,1,0)</f>
        <v>PS0001</v>
      </c>
      <c r="D140" s="29" t="s">
        <v>231</v>
      </c>
      <c r="E140" s="50" t="str">
        <f>VLOOKUP(D140,'Sales Team'!A$2:B$6,1,0)</f>
        <v>ST0005</v>
      </c>
      <c r="F140" s="28">
        <v>43983</v>
      </c>
      <c r="G140" s="29" t="s">
        <v>237</v>
      </c>
      <c r="H140" s="31">
        <v>314461140</v>
      </c>
      <c r="I140" s="17"/>
    </row>
    <row r="141" spans="1:9" ht="15.75" customHeight="1" x14ac:dyDescent="0.3">
      <c r="A141" s="17" t="s">
        <v>378</v>
      </c>
      <c r="B141" s="17" t="s">
        <v>175</v>
      </c>
      <c r="C141" s="50" t="str">
        <f>VLOOKUP(B141,'Patner Store'!A$2:A$51,1,0)</f>
        <v>PS0030</v>
      </c>
      <c r="D141" s="29" t="s">
        <v>229</v>
      </c>
      <c r="E141" s="50" t="str">
        <f>VLOOKUP(D141,'Sales Team'!A$2:B$6,1,0)</f>
        <v>ST0004</v>
      </c>
      <c r="F141" s="28">
        <v>43986</v>
      </c>
      <c r="G141" s="17" t="s">
        <v>234</v>
      </c>
      <c r="H141" s="31">
        <v>5831280</v>
      </c>
      <c r="I141" s="17"/>
    </row>
    <row r="142" spans="1:9" ht="15.75" customHeight="1" x14ac:dyDescent="0.3">
      <c r="A142" s="17" t="s">
        <v>379</v>
      </c>
      <c r="B142" s="17" t="s">
        <v>207</v>
      </c>
      <c r="C142" s="50" t="str">
        <f>VLOOKUP(B142,'Patner Store'!A$2:A$51,1,0)</f>
        <v>PS0046</v>
      </c>
      <c r="D142" s="29" t="s">
        <v>227</v>
      </c>
      <c r="E142" s="50" t="str">
        <f>VLOOKUP(D142,'Sales Team'!A$2:B$6,1,0)</f>
        <v>ST0003</v>
      </c>
      <c r="F142" s="28">
        <v>43986</v>
      </c>
      <c r="G142" s="17" t="s">
        <v>234</v>
      </c>
      <c r="H142" s="31">
        <v>53803250</v>
      </c>
      <c r="I142" s="17"/>
    </row>
    <row r="143" spans="1:9" ht="15.75" customHeight="1" x14ac:dyDescent="0.3">
      <c r="A143" s="17" t="s">
        <v>380</v>
      </c>
      <c r="B143" s="17" t="s">
        <v>158</v>
      </c>
      <c r="C143" s="50" t="str">
        <f>VLOOKUP(B143,'Patner Store'!A$2:A$51,1,0)</f>
        <v>PS0022</v>
      </c>
      <c r="D143" s="29" t="s">
        <v>229</v>
      </c>
      <c r="E143" s="50" t="str">
        <f>VLOOKUP(D143,'Sales Team'!A$2:B$6,1,0)</f>
        <v>ST0004</v>
      </c>
      <c r="F143" s="28">
        <v>43987</v>
      </c>
      <c r="G143" s="17" t="s">
        <v>234</v>
      </c>
      <c r="H143" s="31">
        <v>226389800</v>
      </c>
      <c r="I143" s="17" t="s">
        <v>253</v>
      </c>
    </row>
    <row r="144" spans="1:9" ht="15.75" customHeight="1" x14ac:dyDescent="0.3">
      <c r="A144" s="17" t="s">
        <v>381</v>
      </c>
      <c r="B144" s="17" t="s">
        <v>135</v>
      </c>
      <c r="C144" s="50" t="str">
        <f>VLOOKUP(B144,'Patner Store'!A$2:A$51,1,0)</f>
        <v>PS0012</v>
      </c>
      <c r="D144" s="29" t="s">
        <v>227</v>
      </c>
      <c r="E144" s="50" t="str">
        <f>VLOOKUP(D144,'Sales Team'!A$2:B$6,1,0)</f>
        <v>ST0003</v>
      </c>
      <c r="F144" s="28">
        <v>43989</v>
      </c>
      <c r="G144" s="17" t="s">
        <v>234</v>
      </c>
      <c r="H144" s="31">
        <v>105810240</v>
      </c>
      <c r="I144" s="17" t="s">
        <v>253</v>
      </c>
    </row>
    <row r="145" spans="1:9" ht="15.75" customHeight="1" x14ac:dyDescent="0.3">
      <c r="A145" s="17" t="s">
        <v>382</v>
      </c>
      <c r="B145" s="17" t="s">
        <v>156</v>
      </c>
      <c r="C145" s="50" t="str">
        <f>VLOOKUP(B145,'Patner Store'!A$2:A$51,1,0)</f>
        <v>PS0021</v>
      </c>
      <c r="D145" s="29" t="s">
        <v>222</v>
      </c>
      <c r="E145" s="50" t="str">
        <f>VLOOKUP(D145,'Sales Team'!A$2:B$6,1,0)</f>
        <v>ST0001</v>
      </c>
      <c r="F145" s="28">
        <v>43990</v>
      </c>
      <c r="G145" s="29" t="s">
        <v>237</v>
      </c>
      <c r="H145" s="31">
        <v>293302710</v>
      </c>
      <c r="I145" s="17"/>
    </row>
    <row r="146" spans="1:9" ht="15.75" customHeight="1" x14ac:dyDescent="0.3">
      <c r="A146" s="17" t="s">
        <v>383</v>
      </c>
      <c r="B146" s="17" t="s">
        <v>209</v>
      </c>
      <c r="C146" s="50" t="str">
        <f>VLOOKUP(B146,'Patner Store'!A$2:A$51,1,0)</f>
        <v>PS0047</v>
      </c>
      <c r="D146" s="29" t="s">
        <v>222</v>
      </c>
      <c r="E146" s="50" t="str">
        <f>VLOOKUP(D146,'Sales Team'!A$2:B$6,1,0)</f>
        <v>ST0001</v>
      </c>
      <c r="F146" s="28">
        <v>43990</v>
      </c>
      <c r="G146" s="17" t="s">
        <v>234</v>
      </c>
      <c r="H146" s="31">
        <v>76480780</v>
      </c>
      <c r="I146" s="17"/>
    </row>
    <row r="147" spans="1:9" ht="15.75" customHeight="1" x14ac:dyDescent="0.3">
      <c r="A147" s="17" t="s">
        <v>384</v>
      </c>
      <c r="B147" s="17" t="s">
        <v>119</v>
      </c>
      <c r="C147" s="50" t="str">
        <f>VLOOKUP(B147,'Patner Store'!A$2:A$51,1,0)</f>
        <v>PS0005</v>
      </c>
      <c r="D147" s="29" t="s">
        <v>229</v>
      </c>
      <c r="E147" s="50" t="str">
        <f>VLOOKUP(D147,'Sales Team'!A$2:B$6,1,0)</f>
        <v>ST0004</v>
      </c>
      <c r="F147" s="28">
        <v>43991</v>
      </c>
      <c r="G147" s="17" t="s">
        <v>234</v>
      </c>
      <c r="H147" s="31">
        <v>97126240</v>
      </c>
      <c r="I147" s="17"/>
    </row>
    <row r="148" spans="1:9" ht="15.75" customHeight="1" x14ac:dyDescent="0.3">
      <c r="A148" s="17" t="s">
        <v>385</v>
      </c>
      <c r="B148" s="17" t="s">
        <v>187</v>
      </c>
      <c r="C148" s="50" t="str">
        <f>VLOOKUP(B148,'Patner Store'!A$2:A$51,1,0)</f>
        <v>PS0036</v>
      </c>
      <c r="D148" s="29" t="s">
        <v>231</v>
      </c>
      <c r="E148" s="50" t="str">
        <f>VLOOKUP(D148,'Sales Team'!A$2:B$6,1,0)</f>
        <v>ST0005</v>
      </c>
      <c r="F148" s="28">
        <v>43991</v>
      </c>
      <c r="G148" s="17" t="s">
        <v>234</v>
      </c>
      <c r="H148" s="31">
        <v>60467420</v>
      </c>
      <c r="I148" s="17"/>
    </row>
    <row r="149" spans="1:9" ht="15.75" customHeight="1" x14ac:dyDescent="0.3">
      <c r="A149" s="17" t="s">
        <v>386</v>
      </c>
      <c r="B149" s="17" t="s">
        <v>160</v>
      </c>
      <c r="C149" s="50" t="str">
        <f>VLOOKUP(B149,'Patner Store'!A$2:A$51,1,0)</f>
        <v>PS0023</v>
      </c>
      <c r="D149" s="29" t="s">
        <v>227</v>
      </c>
      <c r="E149" s="50" t="str">
        <f>VLOOKUP(D149,'Sales Team'!A$2:B$6,1,0)</f>
        <v>ST0003</v>
      </c>
      <c r="F149" s="28">
        <v>43993</v>
      </c>
      <c r="G149" s="29" t="s">
        <v>237</v>
      </c>
      <c r="H149" s="31">
        <v>923403570</v>
      </c>
      <c r="I149" s="17"/>
    </row>
    <row r="150" spans="1:9" ht="15.75" customHeight="1" x14ac:dyDescent="0.3">
      <c r="A150" s="17" t="s">
        <v>387</v>
      </c>
      <c r="B150" s="17" t="s">
        <v>181</v>
      </c>
      <c r="C150" s="50" t="str">
        <f>VLOOKUP(B150,'Patner Store'!A$2:A$51,1,0)</f>
        <v>PS0033</v>
      </c>
      <c r="D150" s="29" t="s">
        <v>231</v>
      </c>
      <c r="E150" s="50" t="str">
        <f>VLOOKUP(D150,'Sales Team'!A$2:B$6,1,0)</f>
        <v>ST0005</v>
      </c>
      <c r="F150" s="28">
        <v>43997</v>
      </c>
      <c r="G150" s="29" t="s">
        <v>237</v>
      </c>
      <c r="H150" s="31">
        <v>262080000</v>
      </c>
      <c r="I150" s="17"/>
    </row>
    <row r="151" spans="1:9" ht="15.75" customHeight="1" x14ac:dyDescent="0.3">
      <c r="A151" s="17" t="s">
        <v>388</v>
      </c>
      <c r="B151" s="17" t="s">
        <v>162</v>
      </c>
      <c r="C151" s="50" t="str">
        <f>VLOOKUP(B151,'Patner Store'!A$2:A$51,1,0)</f>
        <v>PS0024</v>
      </c>
      <c r="D151" s="29" t="s">
        <v>222</v>
      </c>
      <c r="E151" s="50" t="str">
        <f>VLOOKUP(D151,'Sales Team'!A$2:B$6,1,0)</f>
        <v>ST0001</v>
      </c>
      <c r="F151" s="28">
        <v>43997</v>
      </c>
      <c r="G151" s="29" t="s">
        <v>237</v>
      </c>
      <c r="H151" s="31">
        <v>837813860</v>
      </c>
      <c r="I151" s="17" t="s">
        <v>253</v>
      </c>
    </row>
    <row r="152" spans="1:9" ht="15.75" customHeight="1" x14ac:dyDescent="0.3">
      <c r="A152" s="17" t="s">
        <v>389</v>
      </c>
      <c r="B152" s="17" t="s">
        <v>151</v>
      </c>
      <c r="C152" s="50" t="str">
        <f>VLOOKUP(B152,'Patner Store'!A$2:A$51,1,0)</f>
        <v>PS0019</v>
      </c>
      <c r="D152" s="29" t="s">
        <v>231</v>
      </c>
      <c r="E152" s="50" t="str">
        <f>VLOOKUP(D152,'Sales Team'!A$2:B$6,1,0)</f>
        <v>ST0005</v>
      </c>
      <c r="F152" s="28">
        <v>44001</v>
      </c>
      <c r="G152" s="17" t="s">
        <v>234</v>
      </c>
      <c r="H152" s="31">
        <v>240598860</v>
      </c>
      <c r="I152" s="17" t="s">
        <v>253</v>
      </c>
    </row>
    <row r="153" spans="1:9" ht="15.75" customHeight="1" x14ac:dyDescent="0.3">
      <c r="A153" s="17" t="s">
        <v>390</v>
      </c>
      <c r="B153" s="17" t="s">
        <v>177</v>
      </c>
      <c r="C153" s="50" t="str">
        <f>VLOOKUP(B153,'Patner Store'!A$2:A$51,1,0)</f>
        <v>PS0031</v>
      </c>
      <c r="D153" s="29" t="s">
        <v>225</v>
      </c>
      <c r="E153" s="50" t="str">
        <f>VLOOKUP(D153,'Sales Team'!A$2:B$6,1,0)</f>
        <v>ST0002</v>
      </c>
      <c r="F153" s="28">
        <v>44003</v>
      </c>
      <c r="G153" s="17" t="s">
        <v>234</v>
      </c>
      <c r="H153" s="31">
        <v>20055150</v>
      </c>
      <c r="I153" s="17"/>
    </row>
    <row r="154" spans="1:9" ht="15.75" customHeight="1" x14ac:dyDescent="0.3">
      <c r="A154" s="17" t="s">
        <v>391</v>
      </c>
      <c r="B154" s="17" t="s">
        <v>195</v>
      </c>
      <c r="C154" s="50" t="str">
        <f>VLOOKUP(B154,'Patner Store'!A$2:A$51,1,0)</f>
        <v>PS0040</v>
      </c>
      <c r="D154" s="29" t="s">
        <v>227</v>
      </c>
      <c r="E154" s="50" t="str">
        <f>VLOOKUP(D154,'Sales Team'!A$2:B$6,1,0)</f>
        <v>ST0003</v>
      </c>
      <c r="F154" s="28">
        <v>44004</v>
      </c>
      <c r="G154" s="17" t="s">
        <v>234</v>
      </c>
      <c r="H154" s="31">
        <v>182387730</v>
      </c>
      <c r="I154" s="17"/>
    </row>
    <row r="155" spans="1:9" ht="15.75" customHeight="1" x14ac:dyDescent="0.3">
      <c r="A155" s="17" t="s">
        <v>392</v>
      </c>
      <c r="B155" s="17" t="s">
        <v>133</v>
      </c>
      <c r="C155" s="50" t="str">
        <f>VLOOKUP(B155,'Patner Store'!A$2:A$51,1,0)</f>
        <v>PS0011</v>
      </c>
      <c r="D155" s="29" t="s">
        <v>225</v>
      </c>
      <c r="E155" s="50" t="str">
        <f>VLOOKUP(D155,'Sales Team'!A$2:B$6,1,0)</f>
        <v>ST0002</v>
      </c>
      <c r="F155" s="28">
        <v>44004</v>
      </c>
      <c r="G155" s="17" t="s">
        <v>234</v>
      </c>
      <c r="H155" s="31">
        <v>222940680</v>
      </c>
      <c r="I155" s="17"/>
    </row>
    <row r="156" spans="1:9" ht="15.75" customHeight="1" x14ac:dyDescent="0.3">
      <c r="A156" s="17" t="s">
        <v>393</v>
      </c>
      <c r="B156" s="17" t="s">
        <v>162</v>
      </c>
      <c r="C156" s="50" t="str">
        <f>VLOOKUP(B156,'Patner Store'!A$2:A$51,1,0)</f>
        <v>PS0024</v>
      </c>
      <c r="D156" s="29" t="s">
        <v>222</v>
      </c>
      <c r="E156" s="50" t="str">
        <f>VLOOKUP(D156,'Sales Team'!A$2:B$6,1,0)</f>
        <v>ST0001</v>
      </c>
      <c r="F156" s="28">
        <v>44004</v>
      </c>
      <c r="G156" s="17" t="s">
        <v>234</v>
      </c>
      <c r="H156" s="31">
        <v>62306280</v>
      </c>
      <c r="I156" s="17"/>
    </row>
    <row r="157" spans="1:9" ht="15.75" customHeight="1" x14ac:dyDescent="0.3">
      <c r="A157" s="17" t="s">
        <v>394</v>
      </c>
      <c r="B157" s="17" t="s">
        <v>191</v>
      </c>
      <c r="C157" s="50" t="str">
        <f>VLOOKUP(B157,'Patner Store'!A$2:A$51,1,0)</f>
        <v>PS0038</v>
      </c>
      <c r="D157" s="29" t="s">
        <v>229</v>
      </c>
      <c r="E157" s="50" t="str">
        <f>VLOOKUP(D157,'Sales Team'!A$2:B$6,1,0)</f>
        <v>ST0004</v>
      </c>
      <c r="F157" s="28">
        <v>44005</v>
      </c>
      <c r="G157" s="17" t="s">
        <v>234</v>
      </c>
      <c r="H157" s="31">
        <v>201498450</v>
      </c>
      <c r="I157" s="17" t="s">
        <v>253</v>
      </c>
    </row>
    <row r="158" spans="1:9" ht="15.75" customHeight="1" x14ac:dyDescent="0.3">
      <c r="A158" s="17" t="s">
        <v>395</v>
      </c>
      <c r="B158" s="17" t="s">
        <v>185</v>
      </c>
      <c r="C158" s="50" t="str">
        <f>VLOOKUP(B158,'Patner Store'!A$2:A$51,1,0)</f>
        <v>PS0035</v>
      </c>
      <c r="D158" s="29" t="s">
        <v>229</v>
      </c>
      <c r="E158" s="50" t="str">
        <f>VLOOKUP(D158,'Sales Team'!A$2:B$6,1,0)</f>
        <v>ST0004</v>
      </c>
      <c r="F158" s="28">
        <v>44005</v>
      </c>
      <c r="G158" s="29" t="s">
        <v>237</v>
      </c>
      <c r="H158" s="31">
        <v>305556540</v>
      </c>
      <c r="I158" s="17" t="s">
        <v>247</v>
      </c>
    </row>
    <row r="159" spans="1:9" ht="15.75" customHeight="1" x14ac:dyDescent="0.3">
      <c r="A159" s="17" t="s">
        <v>396</v>
      </c>
      <c r="B159" s="17" t="s">
        <v>144</v>
      </c>
      <c r="C159" s="50" t="str">
        <f>VLOOKUP(B159,'Patner Store'!A$2:A$51,1,0)</f>
        <v>PS0016</v>
      </c>
      <c r="D159" s="29" t="s">
        <v>227</v>
      </c>
      <c r="E159" s="50" t="str">
        <f>VLOOKUP(D159,'Sales Team'!A$2:B$6,1,0)</f>
        <v>ST0003</v>
      </c>
      <c r="F159" s="28">
        <v>44006</v>
      </c>
      <c r="G159" s="17" t="s">
        <v>234</v>
      </c>
      <c r="H159" s="31">
        <v>36252650</v>
      </c>
      <c r="I159" s="17"/>
    </row>
    <row r="160" spans="1:9" ht="15.75" customHeight="1" x14ac:dyDescent="0.3">
      <c r="A160" s="17" t="s">
        <v>397</v>
      </c>
      <c r="B160" s="17" t="s">
        <v>171</v>
      </c>
      <c r="C160" s="50" t="str">
        <f>VLOOKUP(B160,'Patner Store'!A$2:A$51,1,0)</f>
        <v>PS0028</v>
      </c>
      <c r="D160" s="29" t="s">
        <v>231</v>
      </c>
      <c r="E160" s="50" t="str">
        <f>VLOOKUP(D160,'Sales Team'!A$2:B$6,1,0)</f>
        <v>ST0005</v>
      </c>
      <c r="F160" s="28">
        <v>44006</v>
      </c>
      <c r="G160" s="29" t="s">
        <v>237</v>
      </c>
      <c r="H160" s="31">
        <v>405604710</v>
      </c>
      <c r="I160" s="17"/>
    </row>
    <row r="161" spans="1:9" ht="15.75" customHeight="1" x14ac:dyDescent="0.3">
      <c r="A161" s="17" t="s">
        <v>398</v>
      </c>
      <c r="B161" s="17" t="s">
        <v>215</v>
      </c>
      <c r="C161" s="50" t="str">
        <f>VLOOKUP(B161,'Patner Store'!A$2:A$51,1,0)</f>
        <v>PS0050</v>
      </c>
      <c r="D161" s="29" t="s">
        <v>229</v>
      </c>
      <c r="E161" s="50" t="str">
        <f>VLOOKUP(D161,'Sales Team'!A$2:B$6,1,0)</f>
        <v>ST0004</v>
      </c>
      <c r="F161" s="28">
        <v>44007</v>
      </c>
      <c r="G161" s="29" t="s">
        <v>237</v>
      </c>
      <c r="H161" s="31">
        <v>365679990</v>
      </c>
      <c r="I161" s="17"/>
    </row>
    <row r="162" spans="1:9" ht="15.75" customHeight="1" x14ac:dyDescent="0.3">
      <c r="A162" s="17" t="s">
        <v>399</v>
      </c>
      <c r="B162" s="17" t="s">
        <v>154</v>
      </c>
      <c r="C162" s="50" t="str">
        <f>VLOOKUP(B162,'Patner Store'!A$2:A$51,1,0)</f>
        <v>PS0020</v>
      </c>
      <c r="D162" s="29" t="s">
        <v>229</v>
      </c>
      <c r="E162" s="50" t="str">
        <f>VLOOKUP(D162,'Sales Team'!A$2:B$6,1,0)</f>
        <v>ST0004</v>
      </c>
      <c r="F162" s="28">
        <v>44007</v>
      </c>
      <c r="G162" s="29" t="s">
        <v>237</v>
      </c>
      <c r="H162" s="31">
        <v>845856240</v>
      </c>
      <c r="I162" s="17"/>
    </row>
    <row r="163" spans="1:9" ht="15.75" customHeight="1" x14ac:dyDescent="0.3">
      <c r="A163" s="17" t="s">
        <v>400</v>
      </c>
      <c r="B163" s="17" t="s">
        <v>119</v>
      </c>
      <c r="C163" s="50" t="str">
        <f>VLOOKUP(B163,'Patner Store'!A$2:A$51,1,0)</f>
        <v>PS0005</v>
      </c>
      <c r="D163" s="29" t="s">
        <v>229</v>
      </c>
      <c r="E163" s="50" t="str">
        <f>VLOOKUP(D163,'Sales Team'!A$2:B$6,1,0)</f>
        <v>ST0004</v>
      </c>
      <c r="F163" s="28">
        <v>44008</v>
      </c>
      <c r="G163" s="17" t="s">
        <v>234</v>
      </c>
      <c r="H163" s="31">
        <v>270070440</v>
      </c>
      <c r="I163" s="17" t="s">
        <v>247</v>
      </c>
    </row>
    <row r="164" spans="1:9" ht="15.75" customHeight="1" x14ac:dyDescent="0.3">
      <c r="A164" s="17" t="s">
        <v>401</v>
      </c>
      <c r="B164" s="17" t="s">
        <v>124</v>
      </c>
      <c r="C164" s="50" t="str">
        <f>VLOOKUP(B164,'Patner Store'!A$2:A$51,1,0)</f>
        <v>PS0007</v>
      </c>
      <c r="D164" s="29" t="s">
        <v>222</v>
      </c>
      <c r="E164" s="50" t="str">
        <f>VLOOKUP(D164,'Sales Team'!A$2:B$6,1,0)</f>
        <v>ST0001</v>
      </c>
      <c r="F164" s="28">
        <v>44008</v>
      </c>
      <c r="G164" s="17" t="s">
        <v>234</v>
      </c>
      <c r="H164" s="31">
        <v>73821470</v>
      </c>
      <c r="I164" s="17" t="s">
        <v>253</v>
      </c>
    </row>
    <row r="165" spans="1:9" ht="15.75" customHeight="1" x14ac:dyDescent="0.3">
      <c r="A165" s="17" t="s">
        <v>402</v>
      </c>
      <c r="B165" s="17" t="s">
        <v>183</v>
      </c>
      <c r="C165" s="50" t="str">
        <f>VLOOKUP(B165,'Patner Store'!A$2:A$51,1,0)</f>
        <v>PS0034</v>
      </c>
      <c r="D165" s="29" t="s">
        <v>222</v>
      </c>
      <c r="E165" s="50" t="str">
        <f>VLOOKUP(D165,'Sales Team'!A$2:B$6,1,0)</f>
        <v>ST0001</v>
      </c>
      <c r="F165" s="28">
        <v>44008</v>
      </c>
      <c r="G165" s="17" t="s">
        <v>234</v>
      </c>
      <c r="H165" s="31">
        <v>148052360</v>
      </c>
      <c r="I165" s="17"/>
    </row>
    <row r="166" spans="1:9" ht="15.75" customHeight="1" x14ac:dyDescent="0.3">
      <c r="A166" s="17" t="s">
        <v>403</v>
      </c>
      <c r="B166" s="17" t="s">
        <v>154</v>
      </c>
      <c r="C166" s="50" t="str">
        <f>VLOOKUP(B166,'Patner Store'!A$2:A$51,1,0)</f>
        <v>PS0020</v>
      </c>
      <c r="D166" s="29" t="s">
        <v>229</v>
      </c>
      <c r="E166" s="50" t="str">
        <f>VLOOKUP(D166,'Sales Team'!A$2:B$6,1,0)</f>
        <v>ST0004</v>
      </c>
      <c r="F166" s="28">
        <v>44008</v>
      </c>
      <c r="G166" s="29" t="s">
        <v>237</v>
      </c>
      <c r="H166" s="31">
        <v>581626010</v>
      </c>
      <c r="I166" s="17"/>
    </row>
    <row r="167" spans="1:9" ht="15.75" customHeight="1" x14ac:dyDescent="0.3">
      <c r="A167" s="17" t="s">
        <v>404</v>
      </c>
      <c r="B167" s="17" t="s">
        <v>137</v>
      </c>
      <c r="C167" s="50" t="str">
        <f>VLOOKUP(B167,'Patner Store'!A$2:A$51,1,0)</f>
        <v>PS0013</v>
      </c>
      <c r="D167" s="29" t="s">
        <v>222</v>
      </c>
      <c r="E167" s="50" t="str">
        <f>VLOOKUP(D167,'Sales Team'!A$2:B$6,1,0)</f>
        <v>ST0001</v>
      </c>
      <c r="F167" s="28">
        <v>44009</v>
      </c>
      <c r="G167" s="17" t="s">
        <v>234</v>
      </c>
      <c r="H167" s="31">
        <v>53006820</v>
      </c>
      <c r="I167" s="17" t="s">
        <v>253</v>
      </c>
    </row>
    <row r="168" spans="1:9" ht="15.75" customHeight="1" x14ac:dyDescent="0.3">
      <c r="A168" s="17" t="s">
        <v>405</v>
      </c>
      <c r="B168" s="17" t="s">
        <v>185</v>
      </c>
      <c r="C168" s="50" t="str">
        <f>VLOOKUP(B168,'Patner Store'!A$2:A$51,1,0)</f>
        <v>PS0035</v>
      </c>
      <c r="D168" s="29" t="s">
        <v>229</v>
      </c>
      <c r="E168" s="50" t="str">
        <f>VLOOKUP(D168,'Sales Team'!A$2:B$6,1,0)</f>
        <v>ST0004</v>
      </c>
      <c r="F168" s="28">
        <v>44010</v>
      </c>
      <c r="G168" s="29" t="s">
        <v>237</v>
      </c>
      <c r="H168" s="31">
        <v>874708360</v>
      </c>
      <c r="I168" s="17" t="s">
        <v>238</v>
      </c>
    </row>
    <row r="169" spans="1:9" ht="15.75" customHeight="1" x14ac:dyDescent="0.3">
      <c r="A169" s="17" t="s">
        <v>406</v>
      </c>
      <c r="B169" s="17" t="s">
        <v>189</v>
      </c>
      <c r="C169" s="50" t="str">
        <f>VLOOKUP(B169,'Patner Store'!A$2:A$51,1,0)</f>
        <v>PS0037</v>
      </c>
      <c r="D169" s="29" t="s">
        <v>225</v>
      </c>
      <c r="E169" s="50" t="str">
        <f>VLOOKUP(D169,'Sales Team'!A$2:B$6,1,0)</f>
        <v>ST0002</v>
      </c>
      <c r="F169" s="28">
        <v>44011</v>
      </c>
      <c r="G169" s="29" t="s">
        <v>237</v>
      </c>
      <c r="H169" s="31">
        <v>711423240</v>
      </c>
      <c r="I169" s="17"/>
    </row>
    <row r="170" spans="1:9" ht="15.75" customHeight="1" x14ac:dyDescent="0.3">
      <c r="A170" s="17" t="s">
        <v>407</v>
      </c>
      <c r="B170" s="17" t="s">
        <v>160</v>
      </c>
      <c r="C170" s="50" t="str">
        <f>VLOOKUP(B170,'Patner Store'!A$2:A$51,1,0)</f>
        <v>PS0023</v>
      </c>
      <c r="D170" s="29" t="s">
        <v>227</v>
      </c>
      <c r="E170" s="50" t="str">
        <f>VLOOKUP(D170,'Sales Team'!A$2:B$6,1,0)</f>
        <v>ST0003</v>
      </c>
      <c r="F170" s="28">
        <v>44012</v>
      </c>
      <c r="G170" s="29" t="s">
        <v>237</v>
      </c>
      <c r="H170" s="31">
        <v>355622400</v>
      </c>
      <c r="I170" s="17"/>
    </row>
    <row r="171" spans="1:9" ht="15.75" customHeight="1" x14ac:dyDescent="0.3">
      <c r="A171" s="17" t="s">
        <v>408</v>
      </c>
      <c r="B171" s="17" t="s">
        <v>199</v>
      </c>
      <c r="C171" s="50" t="str">
        <f>VLOOKUP(B171,'Patner Store'!A$2:A$51,1,0)</f>
        <v>PS0042</v>
      </c>
      <c r="D171" s="29" t="s">
        <v>225</v>
      </c>
      <c r="E171" s="50" t="str">
        <f>VLOOKUP(D171,'Sales Team'!A$2:B$6,1,0)</f>
        <v>ST0002</v>
      </c>
      <c r="F171" s="28">
        <v>44012</v>
      </c>
      <c r="G171" s="29" t="s">
        <v>237</v>
      </c>
      <c r="H171" s="31">
        <v>281755030</v>
      </c>
      <c r="I171" s="17" t="s">
        <v>253</v>
      </c>
    </row>
    <row r="172" spans="1:9" ht="15.75" customHeight="1" x14ac:dyDescent="0.3">
      <c r="A172" s="17" t="s">
        <v>409</v>
      </c>
      <c r="B172" s="17" t="s">
        <v>116</v>
      </c>
      <c r="C172" s="50" t="str">
        <f>VLOOKUP(B172,'Patner Store'!A$2:A$51,1,0)</f>
        <v>PS0004</v>
      </c>
      <c r="D172" s="29" t="s">
        <v>222</v>
      </c>
      <c r="E172" s="50" t="str">
        <f>VLOOKUP(D172,'Sales Team'!A$2:B$6,1,0)</f>
        <v>ST0001</v>
      </c>
      <c r="F172" s="28">
        <v>44015</v>
      </c>
      <c r="G172" s="17" t="s">
        <v>234</v>
      </c>
      <c r="H172" s="31">
        <v>37376260</v>
      </c>
      <c r="I172" s="17" t="s">
        <v>247</v>
      </c>
    </row>
    <row r="173" spans="1:9" ht="15.75" customHeight="1" x14ac:dyDescent="0.3">
      <c r="A173" s="17" t="s">
        <v>410</v>
      </c>
      <c r="B173" s="17" t="s">
        <v>171</v>
      </c>
      <c r="C173" s="50" t="str">
        <f>VLOOKUP(B173,'Patner Store'!A$2:A$51,1,0)</f>
        <v>PS0028</v>
      </c>
      <c r="D173" s="29" t="s">
        <v>231</v>
      </c>
      <c r="E173" s="50" t="str">
        <f>VLOOKUP(D173,'Sales Team'!A$2:B$6,1,0)</f>
        <v>ST0005</v>
      </c>
      <c r="F173" s="28">
        <v>44016</v>
      </c>
      <c r="G173" s="29" t="s">
        <v>237</v>
      </c>
      <c r="H173" s="31">
        <v>487521860</v>
      </c>
      <c r="I173" s="17"/>
    </row>
    <row r="174" spans="1:9" ht="15.75" customHeight="1" x14ac:dyDescent="0.3">
      <c r="A174" s="17" t="s">
        <v>411</v>
      </c>
      <c r="B174" s="17" t="s">
        <v>135</v>
      </c>
      <c r="C174" s="50" t="str">
        <f>VLOOKUP(B174,'Patner Store'!A$2:A$51,1,0)</f>
        <v>PS0012</v>
      </c>
      <c r="D174" s="29" t="s">
        <v>227</v>
      </c>
      <c r="E174" s="50" t="str">
        <f>VLOOKUP(D174,'Sales Team'!A$2:B$6,1,0)</f>
        <v>ST0003</v>
      </c>
      <c r="F174" s="28">
        <v>44016</v>
      </c>
      <c r="G174" s="29" t="s">
        <v>237</v>
      </c>
      <c r="H174" s="31">
        <v>272931120</v>
      </c>
      <c r="I174" s="17"/>
    </row>
    <row r="175" spans="1:9" ht="15.75" customHeight="1" x14ac:dyDescent="0.3">
      <c r="A175" s="17" t="s">
        <v>412</v>
      </c>
      <c r="B175" s="17" t="s">
        <v>187</v>
      </c>
      <c r="C175" s="50" t="str">
        <f>VLOOKUP(B175,'Patner Store'!A$2:A$51,1,0)</f>
        <v>PS0036</v>
      </c>
      <c r="D175" s="29" t="s">
        <v>231</v>
      </c>
      <c r="E175" s="50" t="str">
        <f>VLOOKUP(D175,'Sales Team'!A$2:B$6,1,0)</f>
        <v>ST0005</v>
      </c>
      <c r="F175" s="28">
        <v>44019</v>
      </c>
      <c r="G175" s="29" t="s">
        <v>237</v>
      </c>
      <c r="H175" s="31">
        <v>314665870</v>
      </c>
      <c r="I175" s="17"/>
    </row>
    <row r="176" spans="1:9" ht="15.75" customHeight="1" x14ac:dyDescent="0.3">
      <c r="A176" s="17" t="s">
        <v>413</v>
      </c>
      <c r="B176" s="17" t="s">
        <v>187</v>
      </c>
      <c r="C176" s="50" t="str">
        <f>VLOOKUP(B176,'Patner Store'!A$2:A$51,1,0)</f>
        <v>PS0036</v>
      </c>
      <c r="D176" s="29" t="s">
        <v>231</v>
      </c>
      <c r="E176" s="50" t="str">
        <f>VLOOKUP(D176,'Sales Team'!A$2:B$6,1,0)</f>
        <v>ST0005</v>
      </c>
      <c r="F176" s="28">
        <v>44022</v>
      </c>
      <c r="G176" s="17" t="s">
        <v>234</v>
      </c>
      <c r="H176" s="31">
        <v>67556440</v>
      </c>
      <c r="I176" s="17"/>
    </row>
    <row r="177" spans="1:9" ht="15.75" customHeight="1" x14ac:dyDescent="0.3">
      <c r="A177" s="17" t="s">
        <v>414</v>
      </c>
      <c r="B177" s="17" t="s">
        <v>183</v>
      </c>
      <c r="C177" s="50" t="str">
        <f>VLOOKUP(B177,'Patner Store'!A$2:A$51,1,0)</f>
        <v>PS0034</v>
      </c>
      <c r="D177" s="29" t="s">
        <v>222</v>
      </c>
      <c r="E177" s="50" t="str">
        <f>VLOOKUP(D177,'Sales Team'!A$2:B$6,1,0)</f>
        <v>ST0001</v>
      </c>
      <c r="F177" s="28">
        <v>44023</v>
      </c>
      <c r="G177" s="29" t="s">
        <v>237</v>
      </c>
      <c r="H177" s="31">
        <v>608410070</v>
      </c>
      <c r="I177" s="17"/>
    </row>
    <row r="178" spans="1:9" ht="15.75" customHeight="1" x14ac:dyDescent="0.3">
      <c r="A178" s="17" t="s">
        <v>415</v>
      </c>
      <c r="B178" s="17" t="s">
        <v>122</v>
      </c>
      <c r="C178" s="50" t="str">
        <f>VLOOKUP(B178,'Patner Store'!A$2:A$51,1,0)</f>
        <v>PS0006</v>
      </c>
      <c r="D178" s="29" t="s">
        <v>227</v>
      </c>
      <c r="E178" s="50" t="str">
        <f>VLOOKUP(D178,'Sales Team'!A$2:B$6,1,0)</f>
        <v>ST0003</v>
      </c>
      <c r="F178" s="28">
        <v>44024</v>
      </c>
      <c r="G178" s="17" t="s">
        <v>234</v>
      </c>
      <c r="H178" s="31">
        <v>246096840</v>
      </c>
      <c r="I178" s="17"/>
    </row>
    <row r="179" spans="1:9" ht="15.75" customHeight="1" x14ac:dyDescent="0.3">
      <c r="A179" s="17" t="s">
        <v>416</v>
      </c>
      <c r="B179" s="17" t="s">
        <v>151</v>
      </c>
      <c r="C179" s="50" t="str">
        <f>VLOOKUP(B179,'Patner Store'!A$2:A$51,1,0)</f>
        <v>PS0019</v>
      </c>
      <c r="D179" s="29" t="s">
        <v>231</v>
      </c>
      <c r="E179" s="50" t="str">
        <f>VLOOKUP(D179,'Sales Team'!A$2:B$6,1,0)</f>
        <v>ST0005</v>
      </c>
      <c r="F179" s="28">
        <v>44024</v>
      </c>
      <c r="G179" s="29" t="s">
        <v>237</v>
      </c>
      <c r="H179" s="31">
        <v>899607720</v>
      </c>
      <c r="I179" s="17" t="s">
        <v>247</v>
      </c>
    </row>
    <row r="180" spans="1:9" ht="15.75" customHeight="1" x14ac:dyDescent="0.3">
      <c r="A180" s="17" t="s">
        <v>417</v>
      </c>
      <c r="B180" s="17" t="s">
        <v>193</v>
      </c>
      <c r="C180" s="50" t="str">
        <f>VLOOKUP(B180,'Patner Store'!A$2:A$51,1,0)</f>
        <v>PS0039</v>
      </c>
      <c r="D180" s="29" t="s">
        <v>227</v>
      </c>
      <c r="E180" s="50" t="str">
        <f>VLOOKUP(D180,'Sales Team'!A$2:B$6,1,0)</f>
        <v>ST0003</v>
      </c>
      <c r="F180" s="28">
        <v>44028</v>
      </c>
      <c r="G180" s="17" t="s">
        <v>234</v>
      </c>
      <c r="H180" s="31">
        <v>36296460</v>
      </c>
      <c r="I180" s="17"/>
    </row>
    <row r="181" spans="1:9" ht="15.75" customHeight="1" x14ac:dyDescent="0.3">
      <c r="A181" s="17" t="s">
        <v>418</v>
      </c>
      <c r="B181" s="17" t="s">
        <v>173</v>
      </c>
      <c r="C181" s="50" t="str">
        <f>VLOOKUP(B181,'Patner Store'!A$2:A$51,1,0)</f>
        <v>PS0029</v>
      </c>
      <c r="D181" s="29" t="s">
        <v>229</v>
      </c>
      <c r="E181" s="50" t="str">
        <f>VLOOKUP(D181,'Sales Team'!A$2:B$6,1,0)</f>
        <v>ST0004</v>
      </c>
      <c r="F181" s="28">
        <v>44030</v>
      </c>
      <c r="G181" s="29" t="s">
        <v>237</v>
      </c>
      <c r="H181" s="31">
        <v>412576460</v>
      </c>
      <c r="I181" s="17"/>
    </row>
    <row r="182" spans="1:9" ht="15.75" customHeight="1" x14ac:dyDescent="0.3">
      <c r="A182" s="17" t="s">
        <v>419</v>
      </c>
      <c r="B182" s="17" t="s">
        <v>133</v>
      </c>
      <c r="C182" s="50" t="str">
        <f>VLOOKUP(B182,'Patner Store'!A$2:A$51,1,0)</f>
        <v>PS0011</v>
      </c>
      <c r="D182" s="29" t="s">
        <v>225</v>
      </c>
      <c r="E182" s="50" t="str">
        <f>VLOOKUP(D182,'Sales Team'!A$2:B$6,1,0)</f>
        <v>ST0002</v>
      </c>
      <c r="F182" s="28">
        <v>44030</v>
      </c>
      <c r="G182" s="17" t="s">
        <v>234</v>
      </c>
      <c r="H182" s="31">
        <v>136112550</v>
      </c>
      <c r="I182" s="17"/>
    </row>
    <row r="183" spans="1:9" ht="15.75" customHeight="1" x14ac:dyDescent="0.3">
      <c r="A183" s="17" t="s">
        <v>420</v>
      </c>
      <c r="B183" s="17" t="s">
        <v>173</v>
      </c>
      <c r="C183" s="50" t="str">
        <f>VLOOKUP(B183,'Patner Store'!A$2:A$51,1,0)</f>
        <v>PS0029</v>
      </c>
      <c r="D183" s="29" t="s">
        <v>229</v>
      </c>
      <c r="E183" s="50" t="str">
        <f>VLOOKUP(D183,'Sales Team'!A$2:B$6,1,0)</f>
        <v>ST0004</v>
      </c>
      <c r="F183" s="28">
        <v>44031</v>
      </c>
      <c r="G183" s="29" t="s">
        <v>237</v>
      </c>
      <c r="H183" s="31">
        <v>253764000</v>
      </c>
      <c r="I183" s="17"/>
    </row>
    <row r="184" spans="1:9" ht="15.75" customHeight="1" x14ac:dyDescent="0.3">
      <c r="A184" s="17" t="s">
        <v>421</v>
      </c>
      <c r="B184" s="17" t="s">
        <v>135</v>
      </c>
      <c r="C184" s="50" t="str">
        <f>VLOOKUP(B184,'Patner Store'!A$2:A$51,1,0)</f>
        <v>PS0012</v>
      </c>
      <c r="D184" s="29" t="s">
        <v>227</v>
      </c>
      <c r="E184" s="50" t="str">
        <f>VLOOKUP(D184,'Sales Team'!A$2:B$6,1,0)</f>
        <v>ST0003</v>
      </c>
      <c r="F184" s="28">
        <v>44032</v>
      </c>
      <c r="G184" s="17" t="s">
        <v>234</v>
      </c>
      <c r="H184" s="31">
        <v>229366902</v>
      </c>
      <c r="I184" s="17"/>
    </row>
    <row r="185" spans="1:9" ht="15.75" customHeight="1" x14ac:dyDescent="0.3">
      <c r="A185" s="17" t="s">
        <v>422</v>
      </c>
      <c r="B185" s="17" t="s">
        <v>156</v>
      </c>
      <c r="C185" s="50" t="str">
        <f>VLOOKUP(B185,'Patner Store'!A$2:A$51,1,0)</f>
        <v>PS0021</v>
      </c>
      <c r="D185" s="29" t="s">
        <v>222</v>
      </c>
      <c r="E185" s="50" t="str">
        <f>VLOOKUP(D185,'Sales Team'!A$2:B$6,1,0)</f>
        <v>ST0001</v>
      </c>
      <c r="F185" s="28">
        <v>44032</v>
      </c>
      <c r="G185" s="17" t="s">
        <v>234</v>
      </c>
      <c r="H185" s="31">
        <v>276068850</v>
      </c>
      <c r="I185" s="17"/>
    </row>
    <row r="186" spans="1:9" ht="15.75" customHeight="1" x14ac:dyDescent="0.3">
      <c r="A186" s="17" t="s">
        <v>423</v>
      </c>
      <c r="B186" s="17" t="s">
        <v>201</v>
      </c>
      <c r="C186" s="50" t="str">
        <f>VLOOKUP(B186,'Patner Store'!A$2:A$51,1,0)</f>
        <v>PS0043</v>
      </c>
      <c r="D186" s="29" t="s">
        <v>229</v>
      </c>
      <c r="E186" s="50" t="str">
        <f>VLOOKUP(D186,'Sales Team'!A$2:B$6,1,0)</f>
        <v>ST0004</v>
      </c>
      <c r="F186" s="28">
        <v>44034</v>
      </c>
      <c r="G186" s="29" t="s">
        <v>237</v>
      </c>
      <c r="H186" s="31">
        <v>488661930</v>
      </c>
      <c r="I186" s="17"/>
    </row>
    <row r="187" spans="1:9" ht="15.75" customHeight="1" x14ac:dyDescent="0.3">
      <c r="A187" s="17" t="s">
        <v>424</v>
      </c>
      <c r="B187" s="17" t="s">
        <v>160</v>
      </c>
      <c r="C187" s="50" t="str">
        <f>VLOOKUP(B187,'Patner Store'!A$2:A$51,1,0)</f>
        <v>PS0023</v>
      </c>
      <c r="D187" s="29" t="s">
        <v>227</v>
      </c>
      <c r="E187" s="50" t="str">
        <f>VLOOKUP(D187,'Sales Team'!A$2:B$6,1,0)</f>
        <v>ST0003</v>
      </c>
      <c r="F187" s="28">
        <v>44035</v>
      </c>
      <c r="G187" s="17" t="s">
        <v>234</v>
      </c>
      <c r="H187" s="31">
        <v>969000</v>
      </c>
      <c r="I187" s="17"/>
    </row>
    <row r="188" spans="1:9" ht="15.75" customHeight="1" x14ac:dyDescent="0.3">
      <c r="A188" s="17" t="s">
        <v>425</v>
      </c>
      <c r="B188" s="17" t="s">
        <v>122</v>
      </c>
      <c r="C188" s="50" t="str">
        <f>VLOOKUP(B188,'Patner Store'!A$2:A$51,1,0)</f>
        <v>PS0006</v>
      </c>
      <c r="D188" s="29" t="s">
        <v>227</v>
      </c>
      <c r="E188" s="50" t="str">
        <f>VLOOKUP(D188,'Sales Team'!A$2:B$6,1,0)</f>
        <v>ST0003</v>
      </c>
      <c r="F188" s="28">
        <v>44035</v>
      </c>
      <c r="G188" s="17" t="s">
        <v>234</v>
      </c>
      <c r="H188" s="31">
        <v>91406520</v>
      </c>
      <c r="I188" s="17"/>
    </row>
    <row r="189" spans="1:9" ht="15.75" customHeight="1" x14ac:dyDescent="0.3">
      <c r="A189" s="17" t="s">
        <v>426</v>
      </c>
      <c r="B189" s="17" t="s">
        <v>151</v>
      </c>
      <c r="C189" s="50" t="str">
        <f>VLOOKUP(B189,'Patner Store'!A$2:A$51,1,0)</f>
        <v>PS0019</v>
      </c>
      <c r="D189" s="29" t="s">
        <v>231</v>
      </c>
      <c r="E189" s="50" t="str">
        <f>VLOOKUP(D189,'Sales Team'!A$2:B$6,1,0)</f>
        <v>ST0005</v>
      </c>
      <c r="F189" s="28">
        <v>44037</v>
      </c>
      <c r="G189" s="29" t="s">
        <v>237</v>
      </c>
      <c r="H189" s="31">
        <v>950146778</v>
      </c>
      <c r="I189" s="17" t="s">
        <v>238</v>
      </c>
    </row>
    <row r="190" spans="1:9" ht="15.75" customHeight="1" x14ac:dyDescent="0.3">
      <c r="A190" s="17" t="s">
        <v>427</v>
      </c>
      <c r="B190" s="17" t="s">
        <v>164</v>
      </c>
      <c r="C190" s="50" t="str">
        <f>VLOOKUP(B190,'Patner Store'!A$2:A$51,1,0)</f>
        <v>PS0025</v>
      </c>
      <c r="D190" s="29" t="s">
        <v>227</v>
      </c>
      <c r="E190" s="50" t="str">
        <f>VLOOKUP(D190,'Sales Team'!A$2:B$6,1,0)</f>
        <v>ST0003</v>
      </c>
      <c r="F190" s="28">
        <v>44038</v>
      </c>
      <c r="G190" s="17" t="s">
        <v>234</v>
      </c>
      <c r="H190" s="31">
        <v>212160000</v>
      </c>
      <c r="I190" s="17"/>
    </row>
    <row r="191" spans="1:9" ht="15.75" customHeight="1" x14ac:dyDescent="0.3">
      <c r="A191" s="17" t="s">
        <v>428</v>
      </c>
      <c r="B191" s="17" t="s">
        <v>189</v>
      </c>
      <c r="C191" s="50" t="str">
        <f>VLOOKUP(B191,'Patner Store'!A$2:A$51,1,0)</f>
        <v>PS0037</v>
      </c>
      <c r="D191" s="29" t="s">
        <v>225</v>
      </c>
      <c r="E191" s="50" t="str">
        <f>VLOOKUP(D191,'Sales Team'!A$2:B$6,1,0)</f>
        <v>ST0002</v>
      </c>
      <c r="F191" s="28">
        <v>44039</v>
      </c>
      <c r="G191" s="17" t="s">
        <v>234</v>
      </c>
      <c r="H191" s="31">
        <v>170193550</v>
      </c>
      <c r="I191" s="17"/>
    </row>
    <row r="192" spans="1:9" ht="15.75" customHeight="1" x14ac:dyDescent="0.3">
      <c r="A192" s="17" t="s">
        <v>429</v>
      </c>
      <c r="B192" s="17" t="s">
        <v>191</v>
      </c>
      <c r="C192" s="50" t="str">
        <f>VLOOKUP(B192,'Patner Store'!A$2:A$51,1,0)</f>
        <v>PS0038</v>
      </c>
      <c r="D192" s="29" t="s">
        <v>229</v>
      </c>
      <c r="E192" s="50" t="str">
        <f>VLOOKUP(D192,'Sales Team'!A$2:B$6,1,0)</f>
        <v>ST0004</v>
      </c>
      <c r="F192" s="28">
        <v>44041</v>
      </c>
      <c r="G192" s="17" t="s">
        <v>234</v>
      </c>
      <c r="H192" s="31">
        <v>54280970</v>
      </c>
      <c r="I192" s="17"/>
    </row>
    <row r="193" spans="1:9" ht="15.75" customHeight="1" x14ac:dyDescent="0.3">
      <c r="A193" s="17" t="s">
        <v>430</v>
      </c>
      <c r="B193" s="17" t="s">
        <v>133</v>
      </c>
      <c r="C193" s="50" t="str">
        <f>VLOOKUP(B193,'Patner Store'!A$2:A$51,1,0)</f>
        <v>PS0011</v>
      </c>
      <c r="D193" s="29" t="s">
        <v>225</v>
      </c>
      <c r="E193" s="50" t="str">
        <f>VLOOKUP(D193,'Sales Team'!A$2:B$6,1,0)</f>
        <v>ST0002</v>
      </c>
      <c r="F193" s="28">
        <v>44041</v>
      </c>
      <c r="G193" s="29" t="s">
        <v>237</v>
      </c>
      <c r="H193" s="31">
        <v>261575600</v>
      </c>
      <c r="I193" s="17"/>
    </row>
    <row r="194" spans="1:9" ht="15.75" customHeight="1" x14ac:dyDescent="0.3">
      <c r="A194" s="17" t="s">
        <v>431</v>
      </c>
      <c r="B194" s="17" t="s">
        <v>191</v>
      </c>
      <c r="C194" s="50" t="str">
        <f>VLOOKUP(B194,'Patner Store'!A$2:A$51,1,0)</f>
        <v>PS0038</v>
      </c>
      <c r="D194" s="29" t="s">
        <v>229</v>
      </c>
      <c r="E194" s="50" t="str">
        <f>VLOOKUP(D194,'Sales Team'!A$2:B$6,1,0)</f>
        <v>ST0004</v>
      </c>
      <c r="F194" s="28">
        <v>44043</v>
      </c>
      <c r="G194" s="29" t="s">
        <v>237</v>
      </c>
      <c r="H194" s="31">
        <v>398624724</v>
      </c>
      <c r="I194" s="17"/>
    </row>
    <row r="195" spans="1:9" ht="15.75" customHeight="1" x14ac:dyDescent="0.3">
      <c r="A195" s="17" t="s">
        <v>432</v>
      </c>
      <c r="B195" s="17" t="s">
        <v>109</v>
      </c>
      <c r="C195" s="50" t="str">
        <f>VLOOKUP(B195,'Patner Store'!A$2:A$51,1,0)</f>
        <v>PS0002</v>
      </c>
      <c r="D195" s="29" t="s">
        <v>225</v>
      </c>
      <c r="E195" s="50" t="str">
        <f>VLOOKUP(D195,'Sales Team'!A$2:B$6,1,0)</f>
        <v>ST0002</v>
      </c>
      <c r="F195" s="28">
        <v>44043</v>
      </c>
      <c r="G195" s="17" t="s">
        <v>234</v>
      </c>
      <c r="H195" s="31">
        <v>32089320</v>
      </c>
      <c r="I195" s="17" t="s">
        <v>247</v>
      </c>
    </row>
    <row r="196" spans="1:9" ht="15.75" customHeight="1" x14ac:dyDescent="0.3">
      <c r="A196" s="17" t="s">
        <v>433</v>
      </c>
      <c r="B196" s="17" t="s">
        <v>201</v>
      </c>
      <c r="C196" s="50" t="str">
        <f>VLOOKUP(B196,'Patner Store'!A$2:A$51,1,0)</f>
        <v>PS0043</v>
      </c>
      <c r="D196" s="29" t="s">
        <v>229</v>
      </c>
      <c r="E196" s="50" t="str">
        <f>VLOOKUP(D196,'Sales Team'!A$2:B$6,1,0)</f>
        <v>ST0004</v>
      </c>
      <c r="F196" s="28">
        <v>44044</v>
      </c>
      <c r="G196" s="17" t="s">
        <v>234</v>
      </c>
      <c r="H196" s="31">
        <v>6754440</v>
      </c>
      <c r="I196" s="17"/>
    </row>
    <row r="197" spans="1:9" ht="15.75" customHeight="1" x14ac:dyDescent="0.3">
      <c r="A197" s="17" t="s">
        <v>434</v>
      </c>
      <c r="B197" s="17" t="s">
        <v>175</v>
      </c>
      <c r="C197" s="50" t="str">
        <f>VLOOKUP(B197,'Patner Store'!A$2:A$51,1,0)</f>
        <v>PS0030</v>
      </c>
      <c r="D197" s="29" t="s">
        <v>229</v>
      </c>
      <c r="E197" s="50" t="str">
        <f>VLOOKUP(D197,'Sales Team'!A$2:B$6,1,0)</f>
        <v>ST0004</v>
      </c>
      <c r="F197" s="28">
        <v>44045</v>
      </c>
      <c r="G197" s="17" t="s">
        <v>234</v>
      </c>
      <c r="H197" s="31">
        <v>151722500</v>
      </c>
      <c r="I197" s="17"/>
    </row>
    <row r="198" spans="1:9" ht="15.75" customHeight="1" x14ac:dyDescent="0.3">
      <c r="A198" s="17" t="s">
        <v>435</v>
      </c>
      <c r="B198" s="17" t="s">
        <v>175</v>
      </c>
      <c r="C198" s="50" t="str">
        <f>VLOOKUP(B198,'Patner Store'!A$2:A$51,1,0)</f>
        <v>PS0030</v>
      </c>
      <c r="D198" s="29" t="s">
        <v>229</v>
      </c>
      <c r="E198" s="50" t="str">
        <f>VLOOKUP(D198,'Sales Team'!A$2:B$6,1,0)</f>
        <v>ST0004</v>
      </c>
      <c r="F198" s="28">
        <v>44045</v>
      </c>
      <c r="G198" s="29" t="s">
        <v>237</v>
      </c>
      <c r="H198" s="31">
        <v>327000370</v>
      </c>
      <c r="I198" s="17"/>
    </row>
    <row r="199" spans="1:9" ht="15.75" customHeight="1" x14ac:dyDescent="0.3">
      <c r="A199" s="17" t="s">
        <v>436</v>
      </c>
      <c r="B199" s="17" t="s">
        <v>175</v>
      </c>
      <c r="C199" s="50" t="str">
        <f>VLOOKUP(B199,'Patner Store'!A$2:A$51,1,0)</f>
        <v>PS0030</v>
      </c>
      <c r="D199" s="29" t="s">
        <v>229</v>
      </c>
      <c r="E199" s="50" t="str">
        <f>VLOOKUP(D199,'Sales Team'!A$2:B$6,1,0)</f>
        <v>ST0004</v>
      </c>
      <c r="F199" s="28">
        <v>44045</v>
      </c>
      <c r="G199" s="17" t="s">
        <v>234</v>
      </c>
      <c r="H199" s="31">
        <v>114402580</v>
      </c>
      <c r="I199" s="17"/>
    </row>
    <row r="200" spans="1:9" ht="15.75" customHeight="1" x14ac:dyDescent="0.3">
      <c r="A200" s="17" t="s">
        <v>437</v>
      </c>
      <c r="B200" s="17" t="s">
        <v>168</v>
      </c>
      <c r="C200" s="50" t="str">
        <f>VLOOKUP(B200,'Patner Store'!A$2:A$51,1,0)</f>
        <v>PS0027</v>
      </c>
      <c r="D200" s="29" t="s">
        <v>229</v>
      </c>
      <c r="E200" s="50" t="str">
        <f>VLOOKUP(D200,'Sales Team'!A$2:B$6,1,0)</f>
        <v>ST0004</v>
      </c>
      <c r="F200" s="28">
        <v>44046</v>
      </c>
      <c r="G200" s="29" t="s">
        <v>237</v>
      </c>
      <c r="H200" s="31">
        <v>637407850</v>
      </c>
      <c r="I200" s="17" t="s">
        <v>247</v>
      </c>
    </row>
    <row r="201" spans="1:9" ht="15.75" customHeight="1" x14ac:dyDescent="0.3">
      <c r="A201" s="17" t="s">
        <v>438</v>
      </c>
      <c r="B201" s="17" t="s">
        <v>119</v>
      </c>
      <c r="C201" s="50" t="str">
        <f>VLOOKUP(B201,'Patner Store'!A$2:A$51,1,0)</f>
        <v>PS0005</v>
      </c>
      <c r="D201" s="29" t="s">
        <v>229</v>
      </c>
      <c r="E201" s="50" t="str">
        <f>VLOOKUP(D201,'Sales Team'!A$2:B$6,1,0)</f>
        <v>ST0004</v>
      </c>
      <c r="F201" s="28">
        <v>44047</v>
      </c>
      <c r="G201" s="17" t="s">
        <v>234</v>
      </c>
      <c r="H201" s="31">
        <v>94809290</v>
      </c>
      <c r="I201" s="17"/>
    </row>
    <row r="202" spans="1:9" ht="15.75" customHeight="1" x14ac:dyDescent="0.3">
      <c r="A202" s="17" t="s">
        <v>439</v>
      </c>
      <c r="B202" s="17" t="s">
        <v>195</v>
      </c>
      <c r="C202" s="50" t="str">
        <f>VLOOKUP(B202,'Patner Store'!A$2:A$51,1,0)</f>
        <v>PS0040</v>
      </c>
      <c r="D202" s="29" t="s">
        <v>227</v>
      </c>
      <c r="E202" s="50" t="str">
        <f>VLOOKUP(D202,'Sales Team'!A$2:B$6,1,0)</f>
        <v>ST0003</v>
      </c>
      <c r="F202" s="28">
        <v>44048</v>
      </c>
      <c r="G202" s="17" t="s">
        <v>234</v>
      </c>
      <c r="H202" s="31">
        <v>101823450</v>
      </c>
      <c r="I202" s="17"/>
    </row>
    <row r="203" spans="1:9" ht="15.75" customHeight="1" x14ac:dyDescent="0.3">
      <c r="A203" s="17" t="s">
        <v>440</v>
      </c>
      <c r="B203" s="17" t="s">
        <v>154</v>
      </c>
      <c r="C203" s="50" t="str">
        <f>VLOOKUP(B203,'Patner Store'!A$2:A$51,1,0)</f>
        <v>PS0020</v>
      </c>
      <c r="D203" s="29" t="s">
        <v>229</v>
      </c>
      <c r="E203" s="50" t="str">
        <f>VLOOKUP(D203,'Sales Team'!A$2:B$6,1,0)</f>
        <v>ST0004</v>
      </c>
      <c r="F203" s="28">
        <v>44048</v>
      </c>
      <c r="G203" s="17" t="s">
        <v>234</v>
      </c>
      <c r="H203" s="31">
        <v>46616130</v>
      </c>
      <c r="I203" s="17"/>
    </row>
    <row r="204" spans="1:9" ht="15.75" customHeight="1" x14ac:dyDescent="0.3">
      <c r="A204" s="17" t="s">
        <v>441</v>
      </c>
      <c r="B204" s="17" t="s">
        <v>185</v>
      </c>
      <c r="C204" s="50" t="str">
        <f>VLOOKUP(B204,'Patner Store'!A$2:A$51,1,0)</f>
        <v>PS0035</v>
      </c>
      <c r="D204" s="29" t="s">
        <v>229</v>
      </c>
      <c r="E204" s="50" t="str">
        <f>VLOOKUP(D204,'Sales Team'!A$2:B$6,1,0)</f>
        <v>ST0004</v>
      </c>
      <c r="F204" s="28">
        <v>44049</v>
      </c>
      <c r="G204" s="29" t="s">
        <v>237</v>
      </c>
      <c r="H204" s="31">
        <v>560743360</v>
      </c>
      <c r="I204" s="17"/>
    </row>
    <row r="205" spans="1:9" ht="15.75" customHeight="1" x14ac:dyDescent="0.3">
      <c r="A205" s="17" t="s">
        <v>442</v>
      </c>
      <c r="B205" s="17" t="s">
        <v>181</v>
      </c>
      <c r="C205" s="50" t="str">
        <f>VLOOKUP(B205,'Patner Store'!A$2:A$51,1,0)</f>
        <v>PS0033</v>
      </c>
      <c r="D205" s="29" t="s">
        <v>231</v>
      </c>
      <c r="E205" s="50" t="str">
        <f>VLOOKUP(D205,'Sales Team'!A$2:B$6,1,0)</f>
        <v>ST0005</v>
      </c>
      <c r="F205" s="28">
        <v>44049</v>
      </c>
      <c r="G205" s="29" t="s">
        <v>237</v>
      </c>
      <c r="H205" s="31">
        <v>362678100</v>
      </c>
      <c r="I205" s="17" t="s">
        <v>247</v>
      </c>
    </row>
    <row r="206" spans="1:9" ht="15.75" customHeight="1" x14ac:dyDescent="0.3">
      <c r="A206" s="17" t="s">
        <v>443</v>
      </c>
      <c r="B206" s="17" t="s">
        <v>166</v>
      </c>
      <c r="C206" s="50" t="str">
        <f>VLOOKUP(B206,'Patner Store'!A$2:A$51,1,0)</f>
        <v>PS0026</v>
      </c>
      <c r="D206" s="29" t="s">
        <v>229</v>
      </c>
      <c r="E206" s="50" t="str">
        <f>VLOOKUP(D206,'Sales Team'!A$2:B$6,1,0)</f>
        <v>ST0004</v>
      </c>
      <c r="F206" s="28">
        <v>44051</v>
      </c>
      <c r="G206" s="29" t="s">
        <v>237</v>
      </c>
      <c r="H206" s="31">
        <v>733152160</v>
      </c>
      <c r="I206" s="17"/>
    </row>
    <row r="207" spans="1:9" ht="15.75" customHeight="1" x14ac:dyDescent="0.3">
      <c r="A207" s="17" t="s">
        <v>444</v>
      </c>
      <c r="B207" s="17" t="s">
        <v>154</v>
      </c>
      <c r="C207" s="50" t="str">
        <f>VLOOKUP(B207,'Patner Store'!A$2:A$51,1,0)</f>
        <v>PS0020</v>
      </c>
      <c r="D207" s="29" t="s">
        <v>229</v>
      </c>
      <c r="E207" s="50" t="str">
        <f>VLOOKUP(D207,'Sales Team'!A$2:B$6,1,0)</f>
        <v>ST0004</v>
      </c>
      <c r="F207" s="28">
        <v>44051</v>
      </c>
      <c r="G207" s="29" t="s">
        <v>237</v>
      </c>
      <c r="H207" s="31">
        <v>285036060</v>
      </c>
      <c r="I207" s="17"/>
    </row>
    <row r="208" spans="1:9" ht="15.75" customHeight="1" x14ac:dyDescent="0.3">
      <c r="A208" s="17" t="s">
        <v>445</v>
      </c>
      <c r="B208" s="17" t="s">
        <v>137</v>
      </c>
      <c r="C208" s="50" t="str">
        <f>VLOOKUP(B208,'Patner Store'!A$2:A$51,1,0)</f>
        <v>PS0013</v>
      </c>
      <c r="D208" s="29" t="s">
        <v>222</v>
      </c>
      <c r="E208" s="50" t="str">
        <f>VLOOKUP(D208,'Sales Team'!A$2:B$6,1,0)</f>
        <v>ST0001</v>
      </c>
      <c r="F208" s="28">
        <v>44052</v>
      </c>
      <c r="G208" s="29" t="s">
        <v>237</v>
      </c>
      <c r="H208" s="31">
        <v>317701400</v>
      </c>
      <c r="I208" s="17"/>
    </row>
    <row r="209" spans="1:9" ht="15.75" customHeight="1" x14ac:dyDescent="0.3">
      <c r="A209" s="17" t="s">
        <v>446</v>
      </c>
      <c r="B209" s="17" t="s">
        <v>177</v>
      </c>
      <c r="C209" s="50" t="str">
        <f>VLOOKUP(B209,'Patner Store'!A$2:A$51,1,0)</f>
        <v>PS0031</v>
      </c>
      <c r="D209" s="29" t="s">
        <v>225</v>
      </c>
      <c r="E209" s="50" t="str">
        <f>VLOOKUP(D209,'Sales Team'!A$2:B$6,1,0)</f>
        <v>ST0002</v>
      </c>
      <c r="F209" s="28">
        <v>44053</v>
      </c>
      <c r="G209" s="17" t="s">
        <v>234</v>
      </c>
      <c r="H209" s="31">
        <v>98850310</v>
      </c>
      <c r="I209" s="17"/>
    </row>
    <row r="210" spans="1:9" ht="15.75" customHeight="1" x14ac:dyDescent="0.3">
      <c r="A210" s="17" t="s">
        <v>447</v>
      </c>
      <c r="B210" s="17" t="s">
        <v>158</v>
      </c>
      <c r="C210" s="50" t="str">
        <f>VLOOKUP(B210,'Patner Store'!A$2:A$51,1,0)</f>
        <v>PS0022</v>
      </c>
      <c r="D210" s="29" t="s">
        <v>229</v>
      </c>
      <c r="E210" s="50" t="str">
        <f>VLOOKUP(D210,'Sales Team'!A$2:B$6,1,0)</f>
        <v>ST0004</v>
      </c>
      <c r="F210" s="28">
        <v>44054</v>
      </c>
      <c r="G210" s="17" t="s">
        <v>234</v>
      </c>
      <c r="H210" s="31">
        <v>46242000</v>
      </c>
      <c r="I210" s="17"/>
    </row>
    <row r="211" spans="1:9" ht="15.75" customHeight="1" x14ac:dyDescent="0.3">
      <c r="A211" s="17" t="s">
        <v>448</v>
      </c>
      <c r="B211" s="17" t="s">
        <v>191</v>
      </c>
      <c r="C211" s="50" t="str">
        <f>VLOOKUP(B211,'Patner Store'!A$2:A$51,1,0)</f>
        <v>PS0038</v>
      </c>
      <c r="D211" s="29" t="s">
        <v>229</v>
      </c>
      <c r="E211" s="50" t="str">
        <f>VLOOKUP(D211,'Sales Team'!A$2:B$6,1,0)</f>
        <v>ST0004</v>
      </c>
      <c r="F211" s="28">
        <v>44055</v>
      </c>
      <c r="G211" s="17" t="s">
        <v>234</v>
      </c>
      <c r="H211" s="31">
        <v>147258490</v>
      </c>
      <c r="I211" s="17"/>
    </row>
    <row r="212" spans="1:9" ht="15.75" customHeight="1" x14ac:dyDescent="0.3">
      <c r="A212" s="17" t="s">
        <v>449</v>
      </c>
      <c r="B212" s="17" t="s">
        <v>154</v>
      </c>
      <c r="C212" s="50" t="str">
        <f>VLOOKUP(B212,'Patner Store'!A$2:A$51,1,0)</f>
        <v>PS0020</v>
      </c>
      <c r="D212" s="29" t="s">
        <v>229</v>
      </c>
      <c r="E212" s="50" t="str">
        <f>VLOOKUP(D212,'Sales Team'!A$2:B$6,1,0)</f>
        <v>ST0004</v>
      </c>
      <c r="F212" s="28">
        <v>44055</v>
      </c>
      <c r="G212" s="17" t="s">
        <v>234</v>
      </c>
      <c r="H212" s="31">
        <v>211021050</v>
      </c>
      <c r="I212" s="17"/>
    </row>
    <row r="213" spans="1:9" ht="15.75" customHeight="1" x14ac:dyDescent="0.3">
      <c r="A213" s="17" t="s">
        <v>450</v>
      </c>
      <c r="B213" s="17" t="s">
        <v>122</v>
      </c>
      <c r="C213" s="50" t="str">
        <f>VLOOKUP(B213,'Patner Store'!A$2:A$51,1,0)</f>
        <v>PS0006</v>
      </c>
      <c r="D213" s="29" t="s">
        <v>227</v>
      </c>
      <c r="E213" s="50" t="str">
        <f>VLOOKUP(D213,'Sales Team'!A$2:B$6,1,0)</f>
        <v>ST0003</v>
      </c>
      <c r="F213" s="28">
        <v>44060</v>
      </c>
      <c r="G213" s="17" t="s">
        <v>234</v>
      </c>
      <c r="H213" s="31">
        <v>94240540</v>
      </c>
      <c r="I213" s="17"/>
    </row>
    <row r="214" spans="1:9" ht="15.75" customHeight="1" x14ac:dyDescent="0.3">
      <c r="A214" s="17" t="s">
        <v>451</v>
      </c>
      <c r="B214" s="17" t="s">
        <v>195</v>
      </c>
      <c r="C214" s="50" t="str">
        <f>VLOOKUP(B214,'Patner Store'!A$2:A$51,1,0)</f>
        <v>PS0040</v>
      </c>
      <c r="D214" s="29" t="s">
        <v>227</v>
      </c>
      <c r="E214" s="50" t="str">
        <f>VLOOKUP(D214,'Sales Team'!A$2:B$6,1,0)</f>
        <v>ST0003</v>
      </c>
      <c r="F214" s="28">
        <v>44060</v>
      </c>
      <c r="G214" s="29" t="s">
        <v>237</v>
      </c>
      <c r="H214" s="31">
        <v>489620590</v>
      </c>
      <c r="I214" s="17"/>
    </row>
    <row r="215" spans="1:9" ht="15.75" customHeight="1" x14ac:dyDescent="0.3">
      <c r="A215" s="17" t="s">
        <v>452</v>
      </c>
      <c r="B215" s="17" t="s">
        <v>215</v>
      </c>
      <c r="C215" s="50" t="str">
        <f>VLOOKUP(B215,'Patner Store'!A$2:A$51,1,0)</f>
        <v>PS0050</v>
      </c>
      <c r="D215" s="29" t="s">
        <v>229</v>
      </c>
      <c r="E215" s="50" t="str">
        <f>VLOOKUP(D215,'Sales Team'!A$2:B$6,1,0)</f>
        <v>ST0004</v>
      </c>
      <c r="F215" s="28">
        <v>44061</v>
      </c>
      <c r="G215" s="29" t="s">
        <v>237</v>
      </c>
      <c r="H215" s="31">
        <v>443940460</v>
      </c>
      <c r="I215" s="17" t="s">
        <v>260</v>
      </c>
    </row>
    <row r="216" spans="1:9" ht="15.75" customHeight="1" x14ac:dyDescent="0.3">
      <c r="A216" s="17" t="s">
        <v>453</v>
      </c>
      <c r="B216" s="17" t="s">
        <v>126</v>
      </c>
      <c r="C216" s="50" t="str">
        <f>VLOOKUP(B216,'Patner Store'!A$2:A$51,1,0)</f>
        <v>PS0008</v>
      </c>
      <c r="D216" s="29" t="s">
        <v>229</v>
      </c>
      <c r="E216" s="50" t="str">
        <f>VLOOKUP(D216,'Sales Team'!A$2:B$6,1,0)</f>
        <v>ST0004</v>
      </c>
      <c r="F216" s="28">
        <v>44061</v>
      </c>
      <c r="G216" s="29" t="s">
        <v>237</v>
      </c>
      <c r="H216" s="31">
        <v>334749650</v>
      </c>
      <c r="I216" s="17"/>
    </row>
    <row r="217" spans="1:9" ht="15.75" customHeight="1" x14ac:dyDescent="0.3">
      <c r="A217" s="17" t="s">
        <v>454</v>
      </c>
      <c r="B217" s="17" t="s">
        <v>119</v>
      </c>
      <c r="C217" s="50" t="str">
        <f>VLOOKUP(B217,'Patner Store'!A$2:A$51,1,0)</f>
        <v>PS0005</v>
      </c>
      <c r="D217" s="29" t="s">
        <v>229</v>
      </c>
      <c r="E217" s="50" t="str">
        <f>VLOOKUP(D217,'Sales Team'!A$2:B$6,1,0)</f>
        <v>ST0004</v>
      </c>
      <c r="F217" s="28">
        <v>44061</v>
      </c>
      <c r="G217" s="17" t="s">
        <v>234</v>
      </c>
      <c r="H217" s="31">
        <v>121897290</v>
      </c>
      <c r="I217" s="17"/>
    </row>
    <row r="218" spans="1:9" ht="15.75" customHeight="1" x14ac:dyDescent="0.3">
      <c r="A218" s="17" t="s">
        <v>455</v>
      </c>
      <c r="B218" s="17" t="s">
        <v>168</v>
      </c>
      <c r="C218" s="50" t="str">
        <f>VLOOKUP(B218,'Patner Store'!A$2:A$51,1,0)</f>
        <v>PS0027</v>
      </c>
      <c r="D218" s="29" t="s">
        <v>229</v>
      </c>
      <c r="E218" s="50" t="str">
        <f>VLOOKUP(D218,'Sales Team'!A$2:B$6,1,0)</f>
        <v>ST0004</v>
      </c>
      <c r="F218" s="28">
        <v>44061</v>
      </c>
      <c r="G218" s="17" t="s">
        <v>234</v>
      </c>
      <c r="H218" s="31">
        <v>10250110</v>
      </c>
      <c r="I218" s="17" t="s">
        <v>253</v>
      </c>
    </row>
    <row r="219" spans="1:9" ht="15.75" customHeight="1" x14ac:dyDescent="0.3">
      <c r="A219" s="17" t="s">
        <v>456</v>
      </c>
      <c r="B219" s="17" t="s">
        <v>171</v>
      </c>
      <c r="C219" s="50" t="str">
        <f>VLOOKUP(B219,'Patner Store'!A$2:A$51,1,0)</f>
        <v>PS0028</v>
      </c>
      <c r="D219" s="29" t="s">
        <v>231</v>
      </c>
      <c r="E219" s="50" t="str">
        <f>VLOOKUP(D219,'Sales Team'!A$2:B$6,1,0)</f>
        <v>ST0005</v>
      </c>
      <c r="F219" s="28">
        <v>44062</v>
      </c>
      <c r="G219" s="17" t="s">
        <v>234</v>
      </c>
      <c r="H219" s="31">
        <v>51391200</v>
      </c>
      <c r="I219" s="17"/>
    </row>
    <row r="220" spans="1:9" ht="15.75" customHeight="1" x14ac:dyDescent="0.3">
      <c r="A220" s="17" t="s">
        <v>457</v>
      </c>
      <c r="B220" s="17" t="s">
        <v>171</v>
      </c>
      <c r="C220" s="50" t="str">
        <f>VLOOKUP(B220,'Patner Store'!A$2:A$51,1,0)</f>
        <v>PS0028</v>
      </c>
      <c r="D220" s="29" t="s">
        <v>231</v>
      </c>
      <c r="E220" s="50" t="str">
        <f>VLOOKUP(D220,'Sales Team'!A$2:B$6,1,0)</f>
        <v>ST0005</v>
      </c>
      <c r="F220" s="28">
        <v>44063</v>
      </c>
      <c r="G220" s="29" t="s">
        <v>237</v>
      </c>
      <c r="H220" s="31">
        <v>268152340</v>
      </c>
      <c r="I220" s="17"/>
    </row>
    <row r="221" spans="1:9" ht="15.75" customHeight="1" x14ac:dyDescent="0.3">
      <c r="A221" s="17" t="s">
        <v>458</v>
      </c>
      <c r="B221" s="17" t="s">
        <v>195</v>
      </c>
      <c r="C221" s="50" t="str">
        <f>VLOOKUP(B221,'Patner Store'!A$2:A$51,1,0)</f>
        <v>PS0040</v>
      </c>
      <c r="D221" s="29" t="s">
        <v>227</v>
      </c>
      <c r="E221" s="50" t="str">
        <f>VLOOKUP(D221,'Sales Team'!A$2:B$6,1,0)</f>
        <v>ST0003</v>
      </c>
      <c r="F221" s="28">
        <v>44063</v>
      </c>
      <c r="G221" s="29" t="s">
        <v>237</v>
      </c>
      <c r="H221" s="31">
        <v>429940100</v>
      </c>
      <c r="I221" s="17"/>
    </row>
    <row r="222" spans="1:9" ht="15.75" customHeight="1" x14ac:dyDescent="0.3">
      <c r="A222" s="17" t="s">
        <v>459</v>
      </c>
      <c r="B222" s="17" t="s">
        <v>211</v>
      </c>
      <c r="C222" s="50" t="str">
        <f>VLOOKUP(B222,'Patner Store'!A$2:A$51,1,0)</f>
        <v>PS0048</v>
      </c>
      <c r="D222" s="29" t="s">
        <v>227</v>
      </c>
      <c r="E222" s="50" t="str">
        <f>VLOOKUP(D222,'Sales Team'!A$2:B$6,1,0)</f>
        <v>ST0003</v>
      </c>
      <c r="F222" s="28">
        <v>44063</v>
      </c>
      <c r="G222" s="17" t="s">
        <v>234</v>
      </c>
      <c r="H222" s="31">
        <v>28495140</v>
      </c>
      <c r="I222" s="17"/>
    </row>
    <row r="223" spans="1:9" ht="15.75" customHeight="1" x14ac:dyDescent="0.3">
      <c r="A223" s="17" t="s">
        <v>460</v>
      </c>
      <c r="B223" s="17" t="s">
        <v>201</v>
      </c>
      <c r="C223" s="50" t="str">
        <f>VLOOKUP(B223,'Patner Store'!A$2:A$51,1,0)</f>
        <v>PS0043</v>
      </c>
      <c r="D223" s="29" t="s">
        <v>229</v>
      </c>
      <c r="E223" s="50" t="str">
        <f>VLOOKUP(D223,'Sales Team'!A$2:B$6,1,0)</f>
        <v>ST0004</v>
      </c>
      <c r="F223" s="28">
        <v>44064</v>
      </c>
      <c r="G223" s="29" t="s">
        <v>237</v>
      </c>
      <c r="H223" s="31">
        <v>312463980</v>
      </c>
      <c r="I223" s="17"/>
    </row>
    <row r="224" spans="1:9" ht="15.75" customHeight="1" x14ac:dyDescent="0.3">
      <c r="A224" s="17" t="s">
        <v>461</v>
      </c>
      <c r="B224" s="17" t="s">
        <v>146</v>
      </c>
      <c r="C224" s="50" t="str">
        <f>VLOOKUP(B224,'Patner Store'!A$2:A$51,1,0)</f>
        <v>PS0017</v>
      </c>
      <c r="D224" s="29" t="s">
        <v>222</v>
      </c>
      <c r="E224" s="50" t="str">
        <f>VLOOKUP(D224,'Sales Team'!A$2:B$6,1,0)</f>
        <v>ST0001</v>
      </c>
      <c r="F224" s="28">
        <v>44065</v>
      </c>
      <c r="G224" s="29" t="s">
        <v>237</v>
      </c>
      <c r="H224" s="31">
        <v>698932980</v>
      </c>
      <c r="I224" s="17" t="s">
        <v>253</v>
      </c>
    </row>
    <row r="225" spans="1:9" ht="15.75" customHeight="1" x14ac:dyDescent="0.3">
      <c r="A225" s="17" t="s">
        <v>462</v>
      </c>
      <c r="B225" s="17" t="s">
        <v>213</v>
      </c>
      <c r="C225" s="50" t="str">
        <f>VLOOKUP(B225,'Patner Store'!A$2:A$51,1,0)</f>
        <v>PS0049</v>
      </c>
      <c r="D225" s="29" t="s">
        <v>229</v>
      </c>
      <c r="E225" s="50" t="str">
        <f>VLOOKUP(D225,'Sales Team'!A$2:B$6,1,0)</f>
        <v>ST0004</v>
      </c>
      <c r="F225" s="28">
        <v>44065</v>
      </c>
      <c r="G225" s="29" t="s">
        <v>237</v>
      </c>
      <c r="H225" s="31">
        <v>950402010</v>
      </c>
      <c r="I225" s="17" t="s">
        <v>238</v>
      </c>
    </row>
    <row r="226" spans="1:9" ht="15.75" customHeight="1" x14ac:dyDescent="0.3">
      <c r="A226" s="17" t="s">
        <v>463</v>
      </c>
      <c r="B226" s="17" t="s">
        <v>209</v>
      </c>
      <c r="C226" s="50" t="str">
        <f>VLOOKUP(B226,'Patner Store'!A$2:A$51,1,0)</f>
        <v>PS0047</v>
      </c>
      <c r="D226" s="29" t="s">
        <v>222</v>
      </c>
      <c r="E226" s="50" t="str">
        <f>VLOOKUP(D226,'Sales Team'!A$2:B$6,1,0)</f>
        <v>ST0001</v>
      </c>
      <c r="F226" s="28">
        <v>44066</v>
      </c>
      <c r="G226" s="17" t="s">
        <v>234</v>
      </c>
      <c r="H226" s="31">
        <v>165233440</v>
      </c>
      <c r="I226" s="17"/>
    </row>
    <row r="227" spans="1:9" ht="15.75" customHeight="1" x14ac:dyDescent="0.3">
      <c r="A227" s="17" t="s">
        <v>464</v>
      </c>
      <c r="B227" s="17" t="s">
        <v>207</v>
      </c>
      <c r="C227" s="50" t="str">
        <f>VLOOKUP(B227,'Patner Store'!A$2:A$51,1,0)</f>
        <v>PS0046</v>
      </c>
      <c r="D227" s="29" t="s">
        <v>227</v>
      </c>
      <c r="E227" s="50" t="str">
        <f>VLOOKUP(D227,'Sales Team'!A$2:B$6,1,0)</f>
        <v>ST0003</v>
      </c>
      <c r="F227" s="28">
        <v>44067</v>
      </c>
      <c r="G227" s="17" t="s">
        <v>234</v>
      </c>
      <c r="H227" s="31">
        <v>200135930</v>
      </c>
      <c r="I227" s="17"/>
    </row>
    <row r="228" spans="1:9" ht="15.75" customHeight="1" x14ac:dyDescent="0.3">
      <c r="A228" s="17" t="s">
        <v>465</v>
      </c>
      <c r="B228" s="17" t="s">
        <v>209</v>
      </c>
      <c r="C228" s="50" t="str">
        <f>VLOOKUP(B228,'Patner Store'!A$2:A$51,1,0)</f>
        <v>PS0047</v>
      </c>
      <c r="D228" s="29" t="s">
        <v>222</v>
      </c>
      <c r="E228" s="50" t="str">
        <f>VLOOKUP(D228,'Sales Team'!A$2:B$6,1,0)</f>
        <v>ST0001</v>
      </c>
      <c r="F228" s="28">
        <v>44068</v>
      </c>
      <c r="G228" s="17" t="s">
        <v>234</v>
      </c>
      <c r="H228" s="31">
        <v>73342550</v>
      </c>
      <c r="I228" s="17"/>
    </row>
    <row r="229" spans="1:9" ht="15.75" customHeight="1" x14ac:dyDescent="0.3">
      <c r="A229" s="17" t="s">
        <v>466</v>
      </c>
      <c r="B229" s="17" t="s">
        <v>113</v>
      </c>
      <c r="C229" s="50" t="str">
        <f>VLOOKUP(B229,'Patner Store'!A$2:A$51,1,0)</f>
        <v>PS0003</v>
      </c>
      <c r="D229" s="29" t="s">
        <v>227</v>
      </c>
      <c r="E229" s="50" t="str">
        <f>VLOOKUP(D229,'Sales Team'!A$2:B$6,1,0)</f>
        <v>ST0003</v>
      </c>
      <c r="F229" s="28">
        <v>44068</v>
      </c>
      <c r="G229" s="29" t="s">
        <v>237</v>
      </c>
      <c r="H229" s="31">
        <v>466109980</v>
      </c>
      <c r="I229" s="17"/>
    </row>
    <row r="230" spans="1:9" ht="15.75" customHeight="1" x14ac:dyDescent="0.3">
      <c r="A230" s="17" t="s">
        <v>467</v>
      </c>
      <c r="B230" s="17" t="s">
        <v>156</v>
      </c>
      <c r="C230" s="50" t="str">
        <f>VLOOKUP(B230,'Patner Store'!A$2:A$51,1,0)</f>
        <v>PS0021</v>
      </c>
      <c r="D230" s="29" t="s">
        <v>222</v>
      </c>
      <c r="E230" s="50" t="str">
        <f>VLOOKUP(D230,'Sales Team'!A$2:B$6,1,0)</f>
        <v>ST0001</v>
      </c>
      <c r="F230" s="28">
        <v>44070</v>
      </c>
      <c r="G230" s="29" t="s">
        <v>237</v>
      </c>
      <c r="H230" s="31">
        <v>345832620</v>
      </c>
      <c r="I230" s="17"/>
    </row>
    <row r="231" spans="1:9" ht="15.75" customHeight="1" x14ac:dyDescent="0.3">
      <c r="A231" s="17" t="s">
        <v>468</v>
      </c>
      <c r="B231" s="17" t="s">
        <v>171</v>
      </c>
      <c r="C231" s="50" t="str">
        <f>VLOOKUP(B231,'Patner Store'!A$2:A$51,1,0)</f>
        <v>PS0028</v>
      </c>
      <c r="D231" s="29" t="s">
        <v>231</v>
      </c>
      <c r="E231" s="50" t="str">
        <f>VLOOKUP(D231,'Sales Team'!A$2:B$6,1,0)</f>
        <v>ST0005</v>
      </c>
      <c r="F231" s="28">
        <v>44070</v>
      </c>
      <c r="G231" s="17" t="s">
        <v>234</v>
      </c>
      <c r="H231" s="31">
        <v>38528400</v>
      </c>
      <c r="I231" s="17"/>
    </row>
    <row r="232" spans="1:9" ht="15.75" customHeight="1" x14ac:dyDescent="0.3">
      <c r="A232" s="17" t="s">
        <v>469</v>
      </c>
      <c r="B232" s="17" t="s">
        <v>211</v>
      </c>
      <c r="C232" s="50" t="str">
        <f>VLOOKUP(B232,'Patner Store'!A$2:A$51,1,0)</f>
        <v>PS0048</v>
      </c>
      <c r="D232" s="29" t="s">
        <v>227</v>
      </c>
      <c r="E232" s="50" t="str">
        <f>VLOOKUP(D232,'Sales Team'!A$2:B$6,1,0)</f>
        <v>ST0003</v>
      </c>
      <c r="F232" s="28">
        <v>44071</v>
      </c>
      <c r="G232" s="17" t="s">
        <v>234</v>
      </c>
      <c r="H232" s="31">
        <v>215620170</v>
      </c>
      <c r="I232" s="17" t="s">
        <v>253</v>
      </c>
    </row>
    <row r="233" spans="1:9" ht="15.75" customHeight="1" x14ac:dyDescent="0.3">
      <c r="A233" s="17" t="s">
        <v>470</v>
      </c>
      <c r="B233" s="17" t="s">
        <v>168</v>
      </c>
      <c r="C233" s="50" t="str">
        <f>VLOOKUP(B233,'Patner Store'!A$2:A$51,1,0)</f>
        <v>PS0027</v>
      </c>
      <c r="D233" s="29" t="s">
        <v>229</v>
      </c>
      <c r="E233" s="50" t="str">
        <f>VLOOKUP(D233,'Sales Team'!A$2:B$6,1,0)</f>
        <v>ST0004</v>
      </c>
      <c r="F233" s="28">
        <v>44076</v>
      </c>
      <c r="G233" s="17" t="s">
        <v>234</v>
      </c>
      <c r="H233" s="31">
        <v>28645600</v>
      </c>
      <c r="I233" s="17" t="s">
        <v>260</v>
      </c>
    </row>
    <row r="234" spans="1:9" ht="15.75" customHeight="1" x14ac:dyDescent="0.3">
      <c r="A234" s="17" t="s">
        <v>471</v>
      </c>
      <c r="B234" s="17" t="s">
        <v>133</v>
      </c>
      <c r="C234" s="50" t="str">
        <f>VLOOKUP(B234,'Patner Store'!A$2:A$51,1,0)</f>
        <v>PS0011</v>
      </c>
      <c r="D234" s="29" t="s">
        <v>225</v>
      </c>
      <c r="E234" s="50" t="str">
        <f>VLOOKUP(D234,'Sales Team'!A$2:B$6,1,0)</f>
        <v>ST0002</v>
      </c>
      <c r="F234" s="28">
        <v>44077</v>
      </c>
      <c r="G234" s="17" t="s">
        <v>234</v>
      </c>
      <c r="H234" s="31">
        <v>134584560</v>
      </c>
      <c r="I234" s="17"/>
    </row>
    <row r="235" spans="1:9" ht="15.75" customHeight="1" x14ac:dyDescent="0.3">
      <c r="A235" s="17" t="s">
        <v>472</v>
      </c>
      <c r="B235" s="17" t="s">
        <v>137</v>
      </c>
      <c r="C235" s="50" t="str">
        <f>VLOOKUP(B235,'Patner Store'!A$2:A$51,1,0)</f>
        <v>PS0013</v>
      </c>
      <c r="D235" s="29" t="s">
        <v>222</v>
      </c>
      <c r="E235" s="50" t="str">
        <f>VLOOKUP(D235,'Sales Team'!A$2:B$6,1,0)</f>
        <v>ST0001</v>
      </c>
      <c r="F235" s="28">
        <v>44077</v>
      </c>
      <c r="G235" s="17" t="s">
        <v>234</v>
      </c>
      <c r="H235" s="31">
        <v>109069100</v>
      </c>
      <c r="I235" s="17" t="s">
        <v>247</v>
      </c>
    </row>
    <row r="236" spans="1:9" ht="15.75" customHeight="1" x14ac:dyDescent="0.3">
      <c r="A236" s="17" t="s">
        <v>473</v>
      </c>
      <c r="B236" s="17" t="s">
        <v>139</v>
      </c>
      <c r="C236" s="50" t="str">
        <f>VLOOKUP(B236,'Patner Store'!A$2:A$51,1,0)</f>
        <v>PS0014</v>
      </c>
      <c r="D236" s="29" t="s">
        <v>227</v>
      </c>
      <c r="E236" s="50" t="str">
        <f>VLOOKUP(D236,'Sales Team'!A$2:B$6,1,0)</f>
        <v>ST0003</v>
      </c>
      <c r="F236" s="28">
        <v>44079</v>
      </c>
      <c r="G236" s="29" t="s">
        <v>237</v>
      </c>
      <c r="H236" s="31">
        <v>339904000</v>
      </c>
      <c r="I236" s="17"/>
    </row>
    <row r="237" spans="1:9" ht="15.75" customHeight="1" x14ac:dyDescent="0.3">
      <c r="A237" s="17" t="s">
        <v>474</v>
      </c>
      <c r="B237" s="17" t="s">
        <v>187</v>
      </c>
      <c r="C237" s="50" t="str">
        <f>VLOOKUP(B237,'Patner Store'!A$2:A$51,1,0)</f>
        <v>PS0036</v>
      </c>
      <c r="D237" s="29" t="s">
        <v>231</v>
      </c>
      <c r="E237" s="50" t="str">
        <f>VLOOKUP(D237,'Sales Team'!A$2:B$6,1,0)</f>
        <v>ST0005</v>
      </c>
      <c r="F237" s="28">
        <v>44083</v>
      </c>
      <c r="G237" s="17" t="s">
        <v>234</v>
      </c>
      <c r="H237" s="31">
        <v>95885020</v>
      </c>
      <c r="I237" s="17"/>
    </row>
    <row r="238" spans="1:9" ht="15.75" customHeight="1" x14ac:dyDescent="0.3">
      <c r="A238" s="17" t="s">
        <v>475</v>
      </c>
      <c r="B238" s="17" t="s">
        <v>185</v>
      </c>
      <c r="C238" s="50" t="str">
        <f>VLOOKUP(B238,'Patner Store'!A$2:A$51,1,0)</f>
        <v>PS0035</v>
      </c>
      <c r="D238" s="29" t="s">
        <v>229</v>
      </c>
      <c r="E238" s="50" t="str">
        <f>VLOOKUP(D238,'Sales Team'!A$2:B$6,1,0)</f>
        <v>ST0004</v>
      </c>
      <c r="F238" s="28">
        <v>44083</v>
      </c>
      <c r="G238" s="29" t="s">
        <v>237</v>
      </c>
      <c r="H238" s="31">
        <v>288089880</v>
      </c>
      <c r="I238" s="17"/>
    </row>
    <row r="239" spans="1:9" ht="15.75" customHeight="1" x14ac:dyDescent="0.3">
      <c r="A239" s="17" t="s">
        <v>476</v>
      </c>
      <c r="B239" s="17" t="s">
        <v>207</v>
      </c>
      <c r="C239" s="50" t="str">
        <f>VLOOKUP(B239,'Patner Store'!A$2:A$51,1,0)</f>
        <v>PS0046</v>
      </c>
      <c r="D239" s="29" t="s">
        <v>227</v>
      </c>
      <c r="E239" s="50" t="str">
        <f>VLOOKUP(D239,'Sales Team'!A$2:B$6,1,0)</f>
        <v>ST0003</v>
      </c>
      <c r="F239" s="28">
        <v>44084</v>
      </c>
      <c r="G239" s="29" t="s">
        <v>237</v>
      </c>
      <c r="H239" s="31">
        <v>504895050</v>
      </c>
      <c r="I239" s="17"/>
    </row>
    <row r="240" spans="1:9" ht="15.75" customHeight="1" x14ac:dyDescent="0.3">
      <c r="A240" s="17" t="s">
        <v>477</v>
      </c>
      <c r="B240" s="17" t="s">
        <v>195</v>
      </c>
      <c r="C240" s="50" t="str">
        <f>VLOOKUP(B240,'Patner Store'!A$2:A$51,1,0)</f>
        <v>PS0040</v>
      </c>
      <c r="D240" s="29" t="s">
        <v>227</v>
      </c>
      <c r="E240" s="50" t="str">
        <f>VLOOKUP(D240,'Sales Team'!A$2:B$6,1,0)</f>
        <v>ST0003</v>
      </c>
      <c r="F240" s="28">
        <v>44086</v>
      </c>
      <c r="G240" s="17" t="s">
        <v>234</v>
      </c>
      <c r="H240" s="31">
        <v>88433960</v>
      </c>
      <c r="I240" s="17"/>
    </row>
    <row r="241" spans="1:9" ht="15.75" customHeight="1" x14ac:dyDescent="0.3">
      <c r="A241" s="17" t="s">
        <v>478</v>
      </c>
      <c r="B241" s="17" t="s">
        <v>122</v>
      </c>
      <c r="C241" s="50" t="str">
        <f>VLOOKUP(B241,'Patner Store'!A$2:A$51,1,0)</f>
        <v>PS0006</v>
      </c>
      <c r="D241" s="29" t="s">
        <v>227</v>
      </c>
      <c r="E241" s="50" t="str">
        <f>VLOOKUP(D241,'Sales Team'!A$2:B$6,1,0)</f>
        <v>ST0003</v>
      </c>
      <c r="F241" s="28">
        <v>44086</v>
      </c>
      <c r="G241" s="17" t="s">
        <v>234</v>
      </c>
      <c r="H241" s="31">
        <v>92398052</v>
      </c>
      <c r="I241" s="17"/>
    </row>
    <row r="242" spans="1:9" ht="15.75" customHeight="1" x14ac:dyDescent="0.3">
      <c r="A242" s="17" t="s">
        <v>479</v>
      </c>
      <c r="B242" s="17" t="s">
        <v>158</v>
      </c>
      <c r="C242" s="50" t="str">
        <f>VLOOKUP(B242,'Patner Store'!A$2:A$51,1,0)</f>
        <v>PS0022</v>
      </c>
      <c r="D242" s="29" t="s">
        <v>229</v>
      </c>
      <c r="E242" s="50" t="str">
        <f>VLOOKUP(D242,'Sales Team'!A$2:B$6,1,0)</f>
        <v>ST0004</v>
      </c>
      <c r="F242" s="28">
        <v>44089</v>
      </c>
      <c r="G242" s="17" t="s">
        <v>234</v>
      </c>
      <c r="H242" s="31">
        <v>8199650</v>
      </c>
      <c r="I242" s="17" t="s">
        <v>260</v>
      </c>
    </row>
    <row r="243" spans="1:9" ht="15.75" customHeight="1" x14ac:dyDescent="0.3">
      <c r="A243" s="17" t="s">
        <v>480</v>
      </c>
      <c r="B243" s="17" t="s">
        <v>177</v>
      </c>
      <c r="C243" s="50" t="str">
        <f>VLOOKUP(B243,'Patner Store'!A$2:A$51,1,0)</f>
        <v>PS0031</v>
      </c>
      <c r="D243" s="29" t="s">
        <v>225</v>
      </c>
      <c r="E243" s="50" t="str">
        <f>VLOOKUP(D243,'Sales Team'!A$2:B$6,1,0)</f>
        <v>ST0002</v>
      </c>
      <c r="F243" s="28">
        <v>44090</v>
      </c>
      <c r="G243" s="17" t="s">
        <v>234</v>
      </c>
      <c r="H243" s="31">
        <v>247997460</v>
      </c>
      <c r="I243" s="17" t="s">
        <v>247</v>
      </c>
    </row>
    <row r="244" spans="1:9" ht="15.75" customHeight="1" x14ac:dyDescent="0.3">
      <c r="A244" s="17" t="s">
        <v>481</v>
      </c>
      <c r="B244" s="17" t="s">
        <v>213</v>
      </c>
      <c r="C244" s="50" t="str">
        <f>VLOOKUP(B244,'Patner Store'!A$2:A$51,1,0)</f>
        <v>PS0049</v>
      </c>
      <c r="D244" s="29" t="s">
        <v>229</v>
      </c>
      <c r="E244" s="50" t="str">
        <f>VLOOKUP(D244,'Sales Team'!A$2:B$6,1,0)</f>
        <v>ST0004</v>
      </c>
      <c r="F244" s="28">
        <v>44090</v>
      </c>
      <c r="G244" s="29" t="s">
        <v>237</v>
      </c>
      <c r="H244" s="31">
        <v>367721450</v>
      </c>
      <c r="I244" s="17" t="s">
        <v>260</v>
      </c>
    </row>
    <row r="245" spans="1:9" ht="15.75" customHeight="1" x14ac:dyDescent="0.3">
      <c r="A245" s="17" t="s">
        <v>482</v>
      </c>
      <c r="B245" s="17" t="s">
        <v>116</v>
      </c>
      <c r="C245" s="50" t="str">
        <f>VLOOKUP(B245,'Patner Store'!A$2:A$51,1,0)</f>
        <v>PS0004</v>
      </c>
      <c r="D245" s="29" t="s">
        <v>222</v>
      </c>
      <c r="E245" s="50" t="str">
        <f>VLOOKUP(D245,'Sales Team'!A$2:B$6,1,0)</f>
        <v>ST0001</v>
      </c>
      <c r="F245" s="28">
        <v>44091</v>
      </c>
      <c r="G245" s="17" t="s">
        <v>234</v>
      </c>
      <c r="H245" s="31">
        <v>40799850</v>
      </c>
      <c r="I245" s="17"/>
    </row>
    <row r="246" spans="1:9" ht="15.75" customHeight="1" x14ac:dyDescent="0.3">
      <c r="A246" s="17" t="s">
        <v>483</v>
      </c>
      <c r="B246" s="17" t="s">
        <v>135</v>
      </c>
      <c r="C246" s="50" t="str">
        <f>VLOOKUP(B246,'Patner Store'!A$2:A$51,1,0)</f>
        <v>PS0012</v>
      </c>
      <c r="D246" s="29" t="s">
        <v>227</v>
      </c>
      <c r="E246" s="50" t="str">
        <f>VLOOKUP(D246,'Sales Team'!A$2:B$6,1,0)</f>
        <v>ST0003</v>
      </c>
      <c r="F246" s="28">
        <v>44091</v>
      </c>
      <c r="G246" s="29" t="s">
        <v>237</v>
      </c>
      <c r="H246" s="31">
        <v>369679280</v>
      </c>
      <c r="I246" s="17"/>
    </row>
    <row r="247" spans="1:9" ht="15.75" customHeight="1" x14ac:dyDescent="0.3">
      <c r="A247" s="17" t="s">
        <v>484</v>
      </c>
      <c r="B247" s="17" t="s">
        <v>146</v>
      </c>
      <c r="C247" s="50" t="str">
        <f>VLOOKUP(B247,'Patner Store'!A$2:A$51,1,0)</f>
        <v>PS0017</v>
      </c>
      <c r="D247" s="29" t="s">
        <v>222</v>
      </c>
      <c r="E247" s="50" t="str">
        <f>VLOOKUP(D247,'Sales Team'!A$2:B$6,1,0)</f>
        <v>ST0001</v>
      </c>
      <c r="F247" s="28">
        <v>44095</v>
      </c>
      <c r="G247" s="29" t="s">
        <v>237</v>
      </c>
      <c r="H247" s="31">
        <v>407178030</v>
      </c>
      <c r="I247" s="17"/>
    </row>
    <row r="248" spans="1:9" ht="15.75" customHeight="1" x14ac:dyDescent="0.3">
      <c r="A248" s="17" t="s">
        <v>485</v>
      </c>
      <c r="B248" s="17" t="s">
        <v>168</v>
      </c>
      <c r="C248" s="50" t="str">
        <f>VLOOKUP(B248,'Patner Store'!A$2:A$51,1,0)</f>
        <v>PS0027</v>
      </c>
      <c r="D248" s="29" t="s">
        <v>229</v>
      </c>
      <c r="E248" s="50" t="str">
        <f>VLOOKUP(D248,'Sales Team'!A$2:B$6,1,0)</f>
        <v>ST0004</v>
      </c>
      <c r="F248" s="28">
        <v>44098</v>
      </c>
      <c r="G248" s="29" t="s">
        <v>237</v>
      </c>
      <c r="H248" s="31">
        <v>782620120</v>
      </c>
      <c r="I248" s="17"/>
    </row>
    <row r="249" spans="1:9" ht="15.75" customHeight="1" x14ac:dyDescent="0.3">
      <c r="A249" s="17" t="s">
        <v>486</v>
      </c>
      <c r="B249" s="17" t="s">
        <v>137</v>
      </c>
      <c r="C249" s="50" t="str">
        <f>VLOOKUP(B249,'Patner Store'!A$2:A$51,1,0)</f>
        <v>PS0013</v>
      </c>
      <c r="D249" s="29" t="s">
        <v>222</v>
      </c>
      <c r="E249" s="50" t="str">
        <f>VLOOKUP(D249,'Sales Team'!A$2:B$6,1,0)</f>
        <v>ST0001</v>
      </c>
      <c r="F249" s="28">
        <v>44098</v>
      </c>
      <c r="G249" s="29" t="s">
        <v>237</v>
      </c>
      <c r="H249" s="31">
        <v>418363470</v>
      </c>
      <c r="I249" s="17" t="s">
        <v>260</v>
      </c>
    </row>
    <row r="250" spans="1:9" ht="15.75" customHeight="1" x14ac:dyDescent="0.3">
      <c r="A250" s="17" t="s">
        <v>487</v>
      </c>
      <c r="B250" s="17" t="s">
        <v>162</v>
      </c>
      <c r="C250" s="50" t="str">
        <f>VLOOKUP(B250,'Patner Store'!A$2:A$51,1,0)</f>
        <v>PS0024</v>
      </c>
      <c r="D250" s="29" t="s">
        <v>222</v>
      </c>
      <c r="E250" s="50" t="str">
        <f>VLOOKUP(D250,'Sales Team'!A$2:B$6,1,0)</f>
        <v>ST0001</v>
      </c>
      <c r="F250" s="28">
        <v>44099</v>
      </c>
      <c r="G250" s="29" t="s">
        <v>237</v>
      </c>
      <c r="H250" s="31">
        <v>759301680</v>
      </c>
      <c r="I250" s="17"/>
    </row>
    <row r="251" spans="1:9" ht="15.75" customHeight="1" x14ac:dyDescent="0.3">
      <c r="A251" s="17" t="s">
        <v>488</v>
      </c>
      <c r="B251" s="17" t="s">
        <v>215</v>
      </c>
      <c r="C251" s="50" t="str">
        <f>VLOOKUP(B251,'Patner Store'!A$2:A$51,1,0)</f>
        <v>PS0050</v>
      </c>
      <c r="D251" s="29" t="s">
        <v>229</v>
      </c>
      <c r="E251" s="50" t="str">
        <f>VLOOKUP(D251,'Sales Team'!A$2:B$6,1,0)</f>
        <v>ST0004</v>
      </c>
      <c r="F251" s="28">
        <v>44101</v>
      </c>
      <c r="G251" s="17" t="s">
        <v>234</v>
      </c>
      <c r="H251" s="31">
        <v>39184230</v>
      </c>
      <c r="I251" s="17"/>
    </row>
    <row r="252" spans="1:9" ht="15.75" customHeight="1" x14ac:dyDescent="0.3">
      <c r="A252" s="17" t="s">
        <v>489</v>
      </c>
      <c r="B252" s="17" t="s">
        <v>185</v>
      </c>
      <c r="C252" s="50" t="str">
        <f>VLOOKUP(B252,'Patner Store'!A$2:A$51,1,0)</f>
        <v>PS0035</v>
      </c>
      <c r="D252" s="29" t="s">
        <v>229</v>
      </c>
      <c r="E252" s="50" t="str">
        <f>VLOOKUP(D252,'Sales Team'!A$2:B$6,1,0)</f>
        <v>ST0004</v>
      </c>
      <c r="F252" s="28">
        <v>44101</v>
      </c>
      <c r="G252" s="29" t="s">
        <v>237</v>
      </c>
      <c r="H252" s="31">
        <v>363414640</v>
      </c>
      <c r="I252" s="17" t="s">
        <v>247</v>
      </c>
    </row>
    <row r="253" spans="1:9" ht="15.75" customHeight="1" x14ac:dyDescent="0.3">
      <c r="A253" s="17" t="s">
        <v>490</v>
      </c>
      <c r="B253" s="17" t="s">
        <v>168</v>
      </c>
      <c r="C253" s="50" t="str">
        <f>VLOOKUP(B253,'Patner Store'!A$2:A$51,1,0)</f>
        <v>PS0027</v>
      </c>
      <c r="D253" s="29" t="s">
        <v>229</v>
      </c>
      <c r="E253" s="50" t="str">
        <f>VLOOKUP(D253,'Sales Team'!A$2:B$6,1,0)</f>
        <v>ST0004</v>
      </c>
      <c r="F253" s="28">
        <v>44102</v>
      </c>
      <c r="G253" s="17" t="s">
        <v>234</v>
      </c>
      <c r="H253" s="31">
        <v>72878080</v>
      </c>
      <c r="I253" s="17" t="s">
        <v>260</v>
      </c>
    </row>
    <row r="254" spans="1:9" ht="15.75" customHeight="1" x14ac:dyDescent="0.3">
      <c r="A254" s="17" t="s">
        <v>491</v>
      </c>
      <c r="B254" s="17" t="s">
        <v>199</v>
      </c>
      <c r="C254" s="50" t="str">
        <f>VLOOKUP(B254,'Patner Store'!A$2:A$51,1,0)</f>
        <v>PS0042</v>
      </c>
      <c r="D254" s="29" t="s">
        <v>225</v>
      </c>
      <c r="E254" s="50" t="str">
        <f>VLOOKUP(D254,'Sales Team'!A$2:B$6,1,0)</f>
        <v>ST0002</v>
      </c>
      <c r="F254" s="28">
        <v>44105</v>
      </c>
      <c r="G254" s="17" t="s">
        <v>234</v>
      </c>
      <c r="H254" s="31">
        <v>244851060</v>
      </c>
      <c r="I254" s="17" t="s">
        <v>247</v>
      </c>
    </row>
    <row r="255" spans="1:9" ht="15.75" customHeight="1" x14ac:dyDescent="0.3">
      <c r="A255" s="17" t="s">
        <v>492</v>
      </c>
      <c r="B255" s="17" t="s">
        <v>189</v>
      </c>
      <c r="C255" s="50" t="str">
        <f>VLOOKUP(B255,'Patner Store'!A$2:A$51,1,0)</f>
        <v>PS0037</v>
      </c>
      <c r="D255" s="29" t="s">
        <v>225</v>
      </c>
      <c r="E255" s="50" t="str">
        <f>VLOOKUP(D255,'Sales Team'!A$2:B$6,1,0)</f>
        <v>ST0002</v>
      </c>
      <c r="F255" s="28">
        <v>44106</v>
      </c>
      <c r="G255" s="29" t="s">
        <v>237</v>
      </c>
      <c r="H255" s="31">
        <v>679386910</v>
      </c>
      <c r="I255" s="17" t="s">
        <v>253</v>
      </c>
    </row>
    <row r="256" spans="1:9" ht="15.75" customHeight="1" x14ac:dyDescent="0.3">
      <c r="A256" s="17" t="s">
        <v>493</v>
      </c>
      <c r="B256" s="17" t="s">
        <v>199</v>
      </c>
      <c r="C256" s="50" t="str">
        <f>VLOOKUP(B256,'Patner Store'!A$2:A$51,1,0)</f>
        <v>PS0042</v>
      </c>
      <c r="D256" s="29" t="s">
        <v>225</v>
      </c>
      <c r="E256" s="50" t="str">
        <f>VLOOKUP(D256,'Sales Team'!A$2:B$6,1,0)</f>
        <v>ST0002</v>
      </c>
      <c r="F256" s="28">
        <v>44108</v>
      </c>
      <c r="G256" s="29" t="s">
        <v>237</v>
      </c>
      <c r="H256" s="31">
        <v>339312720</v>
      </c>
      <c r="I256" s="17"/>
    </row>
    <row r="257" spans="1:9" ht="15.75" customHeight="1" x14ac:dyDescent="0.3">
      <c r="A257" s="17" t="s">
        <v>494</v>
      </c>
      <c r="B257" s="17" t="s">
        <v>209</v>
      </c>
      <c r="C257" s="50" t="str">
        <f>VLOOKUP(B257,'Patner Store'!A$2:A$51,1,0)</f>
        <v>PS0047</v>
      </c>
      <c r="D257" s="29" t="s">
        <v>222</v>
      </c>
      <c r="E257" s="50" t="str">
        <f>VLOOKUP(D257,'Sales Team'!A$2:B$6,1,0)</f>
        <v>ST0001</v>
      </c>
      <c r="F257" s="28">
        <v>44114</v>
      </c>
      <c r="G257" s="29" t="s">
        <v>237</v>
      </c>
      <c r="H257" s="31">
        <v>311401050</v>
      </c>
      <c r="I257" s="17"/>
    </row>
    <row r="258" spans="1:9" ht="15.75" customHeight="1" x14ac:dyDescent="0.3">
      <c r="A258" s="17" t="s">
        <v>495</v>
      </c>
      <c r="B258" s="17" t="s">
        <v>191</v>
      </c>
      <c r="C258" s="50" t="str">
        <f>VLOOKUP(B258,'Patner Store'!A$2:A$51,1,0)</f>
        <v>PS0038</v>
      </c>
      <c r="D258" s="29" t="s">
        <v>229</v>
      </c>
      <c r="E258" s="50" t="str">
        <f>VLOOKUP(D258,'Sales Team'!A$2:B$6,1,0)</f>
        <v>ST0004</v>
      </c>
      <c r="F258" s="28">
        <v>44115</v>
      </c>
      <c r="G258" s="29" t="s">
        <v>237</v>
      </c>
      <c r="H258" s="31">
        <v>712731320</v>
      </c>
      <c r="I258" s="17" t="s">
        <v>238</v>
      </c>
    </row>
    <row r="259" spans="1:9" ht="15.75" customHeight="1" x14ac:dyDescent="0.3">
      <c r="A259" s="17" t="s">
        <v>496</v>
      </c>
      <c r="B259" s="17" t="s">
        <v>119</v>
      </c>
      <c r="C259" s="50" t="str">
        <f>VLOOKUP(B259,'Patner Store'!A$2:A$51,1,0)</f>
        <v>PS0005</v>
      </c>
      <c r="D259" s="29" t="s">
        <v>229</v>
      </c>
      <c r="E259" s="50" t="str">
        <f>VLOOKUP(D259,'Sales Team'!A$2:B$6,1,0)</f>
        <v>ST0004</v>
      </c>
      <c r="F259" s="28">
        <v>44116</v>
      </c>
      <c r="G259" s="29" t="s">
        <v>237</v>
      </c>
      <c r="H259" s="31">
        <v>588840348</v>
      </c>
      <c r="I259" s="17"/>
    </row>
    <row r="260" spans="1:9" ht="15.75" customHeight="1" x14ac:dyDescent="0.3">
      <c r="A260" s="17" t="s">
        <v>497</v>
      </c>
      <c r="B260" s="17" t="s">
        <v>171</v>
      </c>
      <c r="C260" s="50" t="str">
        <f>VLOOKUP(B260,'Patner Store'!A$2:A$51,1,0)</f>
        <v>PS0028</v>
      </c>
      <c r="D260" s="29" t="s">
        <v>231</v>
      </c>
      <c r="E260" s="50" t="str">
        <f>VLOOKUP(D260,'Sales Team'!A$2:B$6,1,0)</f>
        <v>ST0005</v>
      </c>
      <c r="F260" s="28">
        <v>44116</v>
      </c>
      <c r="G260" s="17" t="s">
        <v>234</v>
      </c>
      <c r="H260" s="31">
        <v>142782400</v>
      </c>
      <c r="I260" s="17"/>
    </row>
    <row r="261" spans="1:9" ht="15.75" customHeight="1" x14ac:dyDescent="0.3">
      <c r="A261" s="17" t="s">
        <v>498</v>
      </c>
      <c r="B261" s="17" t="s">
        <v>193</v>
      </c>
      <c r="C261" s="50" t="str">
        <f>VLOOKUP(B261,'Patner Store'!A$2:A$51,1,0)</f>
        <v>PS0039</v>
      </c>
      <c r="D261" s="29" t="s">
        <v>227</v>
      </c>
      <c r="E261" s="50" t="str">
        <f>VLOOKUP(D261,'Sales Team'!A$2:B$6,1,0)</f>
        <v>ST0003</v>
      </c>
      <c r="F261" s="28">
        <v>44116</v>
      </c>
      <c r="G261" s="17" t="s">
        <v>234</v>
      </c>
      <c r="H261" s="31">
        <v>237481100</v>
      </c>
      <c r="I261" s="17"/>
    </row>
    <row r="262" spans="1:9" ht="15.75" customHeight="1" x14ac:dyDescent="0.3">
      <c r="A262" s="17" t="s">
        <v>499</v>
      </c>
      <c r="B262" s="17" t="s">
        <v>171</v>
      </c>
      <c r="C262" s="50" t="str">
        <f>VLOOKUP(B262,'Patner Store'!A$2:A$51,1,0)</f>
        <v>PS0028</v>
      </c>
      <c r="D262" s="29" t="s">
        <v>231</v>
      </c>
      <c r="E262" s="50" t="str">
        <f>VLOOKUP(D262,'Sales Team'!A$2:B$6,1,0)</f>
        <v>ST0005</v>
      </c>
      <c r="F262" s="28">
        <v>44116</v>
      </c>
      <c r="G262" s="17" t="s">
        <v>234</v>
      </c>
      <c r="H262" s="31">
        <v>47511120</v>
      </c>
      <c r="I262" s="17"/>
    </row>
    <row r="263" spans="1:9" ht="15.75" customHeight="1" x14ac:dyDescent="0.3">
      <c r="A263" s="17" t="s">
        <v>500</v>
      </c>
      <c r="B263" s="17" t="s">
        <v>183</v>
      </c>
      <c r="C263" s="50" t="str">
        <f>VLOOKUP(B263,'Patner Store'!A$2:A$51,1,0)</f>
        <v>PS0034</v>
      </c>
      <c r="D263" s="29" t="s">
        <v>222</v>
      </c>
      <c r="E263" s="50" t="str">
        <f>VLOOKUP(D263,'Sales Team'!A$2:B$6,1,0)</f>
        <v>ST0001</v>
      </c>
      <c r="F263" s="28">
        <v>44118</v>
      </c>
      <c r="G263" s="17" t="s">
        <v>234</v>
      </c>
      <c r="H263" s="31">
        <v>8847090</v>
      </c>
      <c r="I263" s="17"/>
    </row>
    <row r="264" spans="1:9" ht="15.75" customHeight="1" x14ac:dyDescent="0.3">
      <c r="A264" s="17" t="s">
        <v>501</v>
      </c>
      <c r="B264" s="17" t="s">
        <v>207</v>
      </c>
      <c r="C264" s="50" t="str">
        <f>VLOOKUP(B264,'Patner Store'!A$2:A$51,1,0)</f>
        <v>PS0046</v>
      </c>
      <c r="D264" s="29" t="s">
        <v>227</v>
      </c>
      <c r="E264" s="50" t="str">
        <f>VLOOKUP(D264,'Sales Team'!A$2:B$6,1,0)</f>
        <v>ST0003</v>
      </c>
      <c r="F264" s="28">
        <v>44121</v>
      </c>
      <c r="G264" s="29" t="s">
        <v>237</v>
      </c>
      <c r="H264" s="31">
        <v>260442000</v>
      </c>
      <c r="I264" s="17"/>
    </row>
    <row r="265" spans="1:9" ht="15.75" customHeight="1" x14ac:dyDescent="0.3">
      <c r="A265" s="17" t="s">
        <v>502</v>
      </c>
      <c r="B265" s="17" t="s">
        <v>105</v>
      </c>
      <c r="C265" s="50" t="str">
        <f>VLOOKUP(B265,'Patner Store'!A$2:A$51,1,0)</f>
        <v>PS0001</v>
      </c>
      <c r="D265" s="29" t="s">
        <v>231</v>
      </c>
      <c r="E265" s="50" t="str">
        <f>VLOOKUP(D265,'Sales Team'!A$2:B$6,1,0)</f>
        <v>ST0005</v>
      </c>
      <c r="F265" s="28">
        <v>44122</v>
      </c>
      <c r="G265" s="17" t="s">
        <v>234</v>
      </c>
      <c r="H265" s="31">
        <v>32440353</v>
      </c>
      <c r="I265" s="17"/>
    </row>
    <row r="266" spans="1:9" ht="15.75" customHeight="1" x14ac:dyDescent="0.3">
      <c r="A266" s="17" t="s">
        <v>503</v>
      </c>
      <c r="B266" s="17" t="s">
        <v>131</v>
      </c>
      <c r="C266" s="50" t="str">
        <f>VLOOKUP(B266,'Patner Store'!A$2:A$51,1,0)</f>
        <v>PS0010</v>
      </c>
      <c r="D266" s="29" t="s">
        <v>222</v>
      </c>
      <c r="E266" s="50" t="str">
        <f>VLOOKUP(D266,'Sales Team'!A$2:B$6,1,0)</f>
        <v>ST0001</v>
      </c>
      <c r="F266" s="28">
        <v>44122</v>
      </c>
      <c r="G266" s="29" t="s">
        <v>237</v>
      </c>
      <c r="H266" s="31">
        <v>456702610</v>
      </c>
      <c r="I266" s="17"/>
    </row>
    <row r="267" spans="1:9" ht="15.75" customHeight="1" x14ac:dyDescent="0.3">
      <c r="A267" s="17" t="s">
        <v>504</v>
      </c>
      <c r="B267" s="17" t="s">
        <v>141</v>
      </c>
      <c r="C267" s="50" t="str">
        <f>VLOOKUP(B267,'Patner Store'!A$2:A$51,1,0)</f>
        <v>PS0015</v>
      </c>
      <c r="D267" s="29" t="s">
        <v>229</v>
      </c>
      <c r="E267" s="50" t="str">
        <f>VLOOKUP(D267,'Sales Team'!A$2:B$6,1,0)</f>
        <v>ST0004</v>
      </c>
      <c r="F267" s="28">
        <v>44122</v>
      </c>
      <c r="G267" s="17" t="s">
        <v>234</v>
      </c>
      <c r="H267" s="31">
        <v>74267600</v>
      </c>
      <c r="I267" s="17"/>
    </row>
    <row r="268" spans="1:9" ht="15.75" customHeight="1" x14ac:dyDescent="0.3">
      <c r="A268" s="17" t="s">
        <v>505</v>
      </c>
      <c r="B268" s="17" t="s">
        <v>144</v>
      </c>
      <c r="C268" s="50" t="str">
        <f>VLOOKUP(B268,'Patner Store'!A$2:A$51,1,0)</f>
        <v>PS0016</v>
      </c>
      <c r="D268" s="29" t="s">
        <v>227</v>
      </c>
      <c r="E268" s="50" t="str">
        <f>VLOOKUP(D268,'Sales Team'!A$2:B$6,1,0)</f>
        <v>ST0003</v>
      </c>
      <c r="F268" s="28">
        <v>44124</v>
      </c>
      <c r="G268" s="29" t="s">
        <v>237</v>
      </c>
      <c r="H268" s="31">
        <v>714896770</v>
      </c>
      <c r="I268" s="17"/>
    </row>
    <row r="269" spans="1:9" ht="15.75" customHeight="1" x14ac:dyDescent="0.3">
      <c r="A269" s="17" t="s">
        <v>506</v>
      </c>
      <c r="B269" s="17" t="s">
        <v>211</v>
      </c>
      <c r="C269" s="50" t="str">
        <f>VLOOKUP(B269,'Patner Store'!A$2:A$51,1,0)</f>
        <v>PS0048</v>
      </c>
      <c r="D269" s="29" t="s">
        <v>227</v>
      </c>
      <c r="E269" s="50" t="str">
        <f>VLOOKUP(D269,'Sales Team'!A$2:B$6,1,0)</f>
        <v>ST0003</v>
      </c>
      <c r="F269" s="28">
        <v>44126</v>
      </c>
      <c r="G269" s="17" t="s">
        <v>234</v>
      </c>
      <c r="H269" s="31">
        <v>148427980</v>
      </c>
      <c r="I269" s="17"/>
    </row>
    <row r="270" spans="1:9" ht="15.75" customHeight="1" x14ac:dyDescent="0.3">
      <c r="A270" s="17" t="s">
        <v>507</v>
      </c>
      <c r="B270" s="17" t="s">
        <v>168</v>
      </c>
      <c r="C270" s="50" t="str">
        <f>VLOOKUP(B270,'Patner Store'!A$2:A$51,1,0)</f>
        <v>PS0027</v>
      </c>
      <c r="D270" s="29" t="s">
        <v>229</v>
      </c>
      <c r="E270" s="50" t="str">
        <f>VLOOKUP(D270,'Sales Team'!A$2:B$6,1,0)</f>
        <v>ST0004</v>
      </c>
      <c r="F270" s="28">
        <v>44128</v>
      </c>
      <c r="G270" s="17" t="s">
        <v>234</v>
      </c>
      <c r="H270" s="31">
        <v>133303823</v>
      </c>
      <c r="I270" s="17"/>
    </row>
    <row r="271" spans="1:9" ht="15.75" customHeight="1" x14ac:dyDescent="0.3">
      <c r="A271" s="17" t="s">
        <v>508</v>
      </c>
      <c r="B271" s="17" t="s">
        <v>189</v>
      </c>
      <c r="C271" s="50" t="str">
        <f>VLOOKUP(B271,'Patner Store'!A$2:A$51,1,0)</f>
        <v>PS0037</v>
      </c>
      <c r="D271" s="29" t="s">
        <v>225</v>
      </c>
      <c r="E271" s="50" t="str">
        <f>VLOOKUP(D271,'Sales Team'!A$2:B$6,1,0)</f>
        <v>ST0002</v>
      </c>
      <c r="F271" s="28">
        <v>44128</v>
      </c>
      <c r="G271" s="17" t="s">
        <v>234</v>
      </c>
      <c r="H271" s="31">
        <v>16795240</v>
      </c>
      <c r="I271" s="17"/>
    </row>
    <row r="272" spans="1:9" ht="15.75" customHeight="1" x14ac:dyDescent="0.3">
      <c r="A272" s="17" t="s">
        <v>509</v>
      </c>
      <c r="B272" s="17" t="s">
        <v>126</v>
      </c>
      <c r="C272" s="50" t="str">
        <f>VLOOKUP(B272,'Patner Store'!A$2:A$51,1,0)</f>
        <v>PS0008</v>
      </c>
      <c r="D272" s="29" t="s">
        <v>229</v>
      </c>
      <c r="E272" s="50" t="str">
        <f>VLOOKUP(D272,'Sales Team'!A$2:B$6,1,0)</f>
        <v>ST0004</v>
      </c>
      <c r="F272" s="28">
        <v>44128</v>
      </c>
      <c r="G272" s="29" t="s">
        <v>237</v>
      </c>
      <c r="H272" s="31">
        <v>369317110</v>
      </c>
      <c r="I272" s="17"/>
    </row>
    <row r="273" spans="1:9" ht="15.75" customHeight="1" x14ac:dyDescent="0.3">
      <c r="A273" s="17" t="s">
        <v>510</v>
      </c>
      <c r="B273" s="17" t="s">
        <v>139</v>
      </c>
      <c r="C273" s="50" t="str">
        <f>VLOOKUP(B273,'Patner Store'!A$2:A$51,1,0)</f>
        <v>PS0014</v>
      </c>
      <c r="D273" s="29" t="s">
        <v>227</v>
      </c>
      <c r="E273" s="50" t="str">
        <f>VLOOKUP(D273,'Sales Team'!A$2:B$6,1,0)</f>
        <v>ST0003</v>
      </c>
      <c r="F273" s="28">
        <v>44129</v>
      </c>
      <c r="G273" s="17" t="s">
        <v>234</v>
      </c>
      <c r="H273" s="31">
        <v>232403634</v>
      </c>
      <c r="I273" s="17"/>
    </row>
    <row r="274" spans="1:9" ht="15.75" customHeight="1" x14ac:dyDescent="0.3">
      <c r="A274" s="17" t="s">
        <v>511</v>
      </c>
      <c r="B274" s="17" t="s">
        <v>124</v>
      </c>
      <c r="C274" s="50" t="str">
        <f>VLOOKUP(B274,'Patner Store'!A$2:A$51,1,0)</f>
        <v>PS0007</v>
      </c>
      <c r="D274" s="29" t="s">
        <v>222</v>
      </c>
      <c r="E274" s="50" t="str">
        <f>VLOOKUP(D274,'Sales Team'!A$2:B$6,1,0)</f>
        <v>ST0001</v>
      </c>
      <c r="F274" s="28">
        <v>44129</v>
      </c>
      <c r="G274" s="29" t="s">
        <v>237</v>
      </c>
      <c r="H274" s="31">
        <v>292660100</v>
      </c>
      <c r="I274" s="17" t="s">
        <v>253</v>
      </c>
    </row>
    <row r="275" spans="1:9" ht="15.75" customHeight="1" x14ac:dyDescent="0.3">
      <c r="A275" s="17" t="s">
        <v>512</v>
      </c>
      <c r="B275" s="17" t="s">
        <v>199</v>
      </c>
      <c r="C275" s="50" t="str">
        <f>VLOOKUP(B275,'Patner Store'!A$2:A$51,1,0)</f>
        <v>PS0042</v>
      </c>
      <c r="D275" s="29" t="s">
        <v>225</v>
      </c>
      <c r="E275" s="50" t="str">
        <f>VLOOKUP(D275,'Sales Team'!A$2:B$6,1,0)</f>
        <v>ST0002</v>
      </c>
      <c r="F275" s="28">
        <v>44130</v>
      </c>
      <c r="G275" s="17" t="s">
        <v>234</v>
      </c>
      <c r="H275" s="31">
        <v>23593140</v>
      </c>
      <c r="I275" s="17"/>
    </row>
    <row r="276" spans="1:9" ht="15.75" customHeight="1" x14ac:dyDescent="0.3">
      <c r="A276" s="17" t="s">
        <v>513</v>
      </c>
      <c r="B276" s="17" t="s">
        <v>162</v>
      </c>
      <c r="C276" s="50" t="str">
        <f>VLOOKUP(B276,'Patner Store'!A$2:A$51,1,0)</f>
        <v>PS0024</v>
      </c>
      <c r="D276" s="29" t="s">
        <v>222</v>
      </c>
      <c r="E276" s="50" t="str">
        <f>VLOOKUP(D276,'Sales Team'!A$2:B$6,1,0)</f>
        <v>ST0001</v>
      </c>
      <c r="F276" s="28">
        <v>44131</v>
      </c>
      <c r="G276" s="17" t="s">
        <v>234</v>
      </c>
      <c r="H276" s="31">
        <v>79320140</v>
      </c>
      <c r="I276" s="17" t="s">
        <v>247</v>
      </c>
    </row>
    <row r="277" spans="1:9" ht="15.75" customHeight="1" x14ac:dyDescent="0.3">
      <c r="A277" s="17" t="s">
        <v>514</v>
      </c>
      <c r="B277" s="17" t="s">
        <v>203</v>
      </c>
      <c r="C277" s="50" t="str">
        <f>VLOOKUP(B277,'Patner Store'!A$2:A$51,1,0)</f>
        <v>PS0044</v>
      </c>
      <c r="D277" s="29" t="s">
        <v>229</v>
      </c>
      <c r="E277" s="50" t="str">
        <f>VLOOKUP(D277,'Sales Team'!A$2:B$6,1,0)</f>
        <v>ST0004</v>
      </c>
      <c r="F277" s="28">
        <v>44135</v>
      </c>
      <c r="G277" s="29" t="s">
        <v>237</v>
      </c>
      <c r="H277" s="31">
        <v>541090180</v>
      </c>
      <c r="I277" s="17" t="s">
        <v>260</v>
      </c>
    </row>
    <row r="278" spans="1:9" ht="15.75" customHeight="1" x14ac:dyDescent="0.3">
      <c r="A278" s="17" t="s">
        <v>515</v>
      </c>
      <c r="B278" s="17" t="s">
        <v>166</v>
      </c>
      <c r="C278" s="50" t="str">
        <f>VLOOKUP(B278,'Patner Store'!A$2:A$51,1,0)</f>
        <v>PS0026</v>
      </c>
      <c r="D278" s="29" t="s">
        <v>229</v>
      </c>
      <c r="E278" s="50" t="str">
        <f>VLOOKUP(D278,'Sales Team'!A$2:B$6,1,0)</f>
        <v>ST0004</v>
      </c>
      <c r="F278" s="28">
        <v>44136</v>
      </c>
      <c r="G278" s="17" t="s">
        <v>234</v>
      </c>
      <c r="H278" s="31">
        <v>104175670</v>
      </c>
      <c r="I278" s="17"/>
    </row>
    <row r="279" spans="1:9" ht="15.75" customHeight="1" x14ac:dyDescent="0.3">
      <c r="A279" s="17" t="s">
        <v>516</v>
      </c>
      <c r="B279" s="17" t="s">
        <v>177</v>
      </c>
      <c r="C279" s="50" t="str">
        <f>VLOOKUP(B279,'Patner Store'!A$2:A$51,1,0)</f>
        <v>PS0031</v>
      </c>
      <c r="D279" s="29" t="s">
        <v>225</v>
      </c>
      <c r="E279" s="50" t="str">
        <f>VLOOKUP(D279,'Sales Team'!A$2:B$6,1,0)</f>
        <v>ST0002</v>
      </c>
      <c r="F279" s="28">
        <v>44136</v>
      </c>
      <c r="G279" s="29" t="s">
        <v>237</v>
      </c>
      <c r="H279" s="31">
        <v>1000550160</v>
      </c>
      <c r="I279" s="17" t="s">
        <v>238</v>
      </c>
    </row>
    <row r="280" spans="1:9" ht="15.75" customHeight="1" x14ac:dyDescent="0.3">
      <c r="A280" s="17" t="s">
        <v>517</v>
      </c>
      <c r="B280" s="17" t="s">
        <v>181</v>
      </c>
      <c r="C280" s="50" t="str">
        <f>VLOOKUP(B280,'Patner Store'!A$2:A$51,1,0)</f>
        <v>PS0033</v>
      </c>
      <c r="D280" s="29" t="s">
        <v>231</v>
      </c>
      <c r="E280" s="50" t="str">
        <f>VLOOKUP(D280,'Sales Team'!A$2:B$6,1,0)</f>
        <v>ST0005</v>
      </c>
      <c r="F280" s="28">
        <v>44137</v>
      </c>
      <c r="G280" s="29" t="s">
        <v>237</v>
      </c>
      <c r="H280" s="31">
        <v>407410210</v>
      </c>
      <c r="I280" s="17"/>
    </row>
    <row r="281" spans="1:9" ht="15.75" customHeight="1" x14ac:dyDescent="0.3">
      <c r="A281" s="17" t="s">
        <v>518</v>
      </c>
      <c r="B281" s="17" t="s">
        <v>185</v>
      </c>
      <c r="C281" s="50" t="str">
        <f>VLOOKUP(B281,'Patner Store'!A$2:A$51,1,0)</f>
        <v>PS0035</v>
      </c>
      <c r="D281" s="29" t="s">
        <v>229</v>
      </c>
      <c r="E281" s="50" t="str">
        <f>VLOOKUP(D281,'Sales Team'!A$2:B$6,1,0)</f>
        <v>ST0004</v>
      </c>
      <c r="F281" s="28">
        <v>44137</v>
      </c>
      <c r="G281" s="17" t="s">
        <v>234</v>
      </c>
      <c r="H281" s="31">
        <v>31455880</v>
      </c>
      <c r="I281" s="17"/>
    </row>
    <row r="282" spans="1:9" ht="15.75" customHeight="1" x14ac:dyDescent="0.3">
      <c r="A282" s="17" t="s">
        <v>519</v>
      </c>
      <c r="B282" s="17" t="s">
        <v>116</v>
      </c>
      <c r="C282" s="50" t="str">
        <f>VLOOKUP(B282,'Patner Store'!A$2:A$51,1,0)</f>
        <v>PS0004</v>
      </c>
      <c r="D282" s="29" t="s">
        <v>222</v>
      </c>
      <c r="E282" s="50" t="str">
        <f>VLOOKUP(D282,'Sales Team'!A$2:B$6,1,0)</f>
        <v>ST0001</v>
      </c>
      <c r="F282" s="28">
        <v>44141</v>
      </c>
      <c r="G282" s="29" t="s">
        <v>237</v>
      </c>
      <c r="H282" s="31">
        <v>1110706575</v>
      </c>
      <c r="I282" s="17" t="s">
        <v>238</v>
      </c>
    </row>
    <row r="283" spans="1:9" ht="15.75" customHeight="1" x14ac:dyDescent="0.3">
      <c r="A283" s="17" t="s">
        <v>520</v>
      </c>
      <c r="B283" s="17" t="s">
        <v>199</v>
      </c>
      <c r="C283" s="50" t="str">
        <f>VLOOKUP(B283,'Patner Store'!A$2:A$51,1,0)</f>
        <v>PS0042</v>
      </c>
      <c r="D283" s="29" t="s">
        <v>225</v>
      </c>
      <c r="E283" s="50" t="str">
        <f>VLOOKUP(D283,'Sales Team'!A$2:B$6,1,0)</f>
        <v>ST0002</v>
      </c>
      <c r="F283" s="28">
        <v>44141</v>
      </c>
      <c r="G283" s="17" t="s">
        <v>234</v>
      </c>
      <c r="H283" s="31">
        <v>128029240</v>
      </c>
      <c r="I283" s="17" t="s">
        <v>260</v>
      </c>
    </row>
    <row r="284" spans="1:9" ht="15.75" customHeight="1" x14ac:dyDescent="0.3">
      <c r="A284" s="17" t="s">
        <v>521</v>
      </c>
      <c r="B284" s="17" t="s">
        <v>173</v>
      </c>
      <c r="C284" s="50" t="str">
        <f>VLOOKUP(B284,'Patner Store'!A$2:A$51,1,0)</f>
        <v>PS0029</v>
      </c>
      <c r="D284" s="29" t="s">
        <v>229</v>
      </c>
      <c r="E284" s="50" t="str">
        <f>VLOOKUP(D284,'Sales Team'!A$2:B$6,1,0)</f>
        <v>ST0004</v>
      </c>
      <c r="F284" s="28">
        <v>44141</v>
      </c>
      <c r="G284" s="29" t="s">
        <v>237</v>
      </c>
      <c r="H284" s="31">
        <v>1118040600</v>
      </c>
      <c r="I284" s="17" t="s">
        <v>253</v>
      </c>
    </row>
    <row r="285" spans="1:9" ht="15.75" customHeight="1" x14ac:dyDescent="0.3">
      <c r="A285" s="17" t="s">
        <v>522</v>
      </c>
      <c r="B285" s="17" t="s">
        <v>116</v>
      </c>
      <c r="C285" s="50" t="str">
        <f>VLOOKUP(B285,'Patner Store'!A$2:A$51,1,0)</f>
        <v>PS0004</v>
      </c>
      <c r="D285" s="29" t="s">
        <v>222</v>
      </c>
      <c r="E285" s="50" t="str">
        <f>VLOOKUP(D285,'Sales Team'!A$2:B$6,1,0)</f>
        <v>ST0001</v>
      </c>
      <c r="F285" s="28">
        <v>44141</v>
      </c>
      <c r="G285" s="29" t="s">
        <v>237</v>
      </c>
      <c r="H285" s="31">
        <v>546443100</v>
      </c>
      <c r="I285" s="17" t="s">
        <v>253</v>
      </c>
    </row>
    <row r="286" spans="1:9" ht="15.75" customHeight="1" x14ac:dyDescent="0.3">
      <c r="A286" s="17" t="s">
        <v>523</v>
      </c>
      <c r="B286" s="17" t="s">
        <v>197</v>
      </c>
      <c r="C286" s="50" t="str">
        <f>VLOOKUP(B286,'Patner Store'!A$2:A$51,1,0)</f>
        <v>PS0041</v>
      </c>
      <c r="D286" s="29" t="s">
        <v>222</v>
      </c>
      <c r="E286" s="50" t="str">
        <f>VLOOKUP(D286,'Sales Team'!A$2:B$6,1,0)</f>
        <v>ST0001</v>
      </c>
      <c r="F286" s="28">
        <v>44141</v>
      </c>
      <c r="G286" s="17" t="s">
        <v>234</v>
      </c>
      <c r="H286" s="31">
        <v>154022980</v>
      </c>
      <c r="I286" s="17" t="s">
        <v>253</v>
      </c>
    </row>
    <row r="287" spans="1:9" ht="15.75" customHeight="1" x14ac:dyDescent="0.3">
      <c r="A287" s="17" t="s">
        <v>524</v>
      </c>
      <c r="B287" s="17" t="s">
        <v>175</v>
      </c>
      <c r="C287" s="50" t="str">
        <f>VLOOKUP(B287,'Patner Store'!A$2:A$51,1,0)</f>
        <v>PS0030</v>
      </c>
      <c r="D287" s="29" t="s">
        <v>229</v>
      </c>
      <c r="E287" s="50" t="str">
        <f>VLOOKUP(D287,'Sales Team'!A$2:B$6,1,0)</f>
        <v>ST0004</v>
      </c>
      <c r="F287" s="28">
        <v>44143</v>
      </c>
      <c r="G287" s="29" t="s">
        <v>237</v>
      </c>
      <c r="H287" s="31">
        <v>535807980</v>
      </c>
      <c r="I287" s="17" t="s">
        <v>247</v>
      </c>
    </row>
    <row r="288" spans="1:9" ht="15.75" customHeight="1" x14ac:dyDescent="0.3">
      <c r="A288" s="17" t="s">
        <v>525</v>
      </c>
      <c r="B288" s="17" t="s">
        <v>207</v>
      </c>
      <c r="C288" s="50" t="str">
        <f>VLOOKUP(B288,'Patner Store'!A$2:A$51,1,0)</f>
        <v>PS0046</v>
      </c>
      <c r="D288" s="29" t="s">
        <v>227</v>
      </c>
      <c r="E288" s="50" t="str">
        <f>VLOOKUP(D288,'Sales Team'!A$2:B$6,1,0)</f>
        <v>ST0003</v>
      </c>
      <c r="F288" s="28">
        <v>44143</v>
      </c>
      <c r="G288" s="17" t="s">
        <v>234</v>
      </c>
      <c r="H288" s="31">
        <v>211521470</v>
      </c>
      <c r="I288" s="17"/>
    </row>
    <row r="289" spans="1:9" ht="15.75" customHeight="1" x14ac:dyDescent="0.3">
      <c r="A289" s="17" t="s">
        <v>526</v>
      </c>
      <c r="B289" s="17" t="s">
        <v>119</v>
      </c>
      <c r="C289" s="50" t="str">
        <f>VLOOKUP(B289,'Patner Store'!A$2:A$51,1,0)</f>
        <v>PS0005</v>
      </c>
      <c r="D289" s="29" t="s">
        <v>229</v>
      </c>
      <c r="E289" s="50" t="str">
        <f>VLOOKUP(D289,'Sales Team'!A$2:B$6,1,0)</f>
        <v>ST0004</v>
      </c>
      <c r="F289" s="28">
        <v>44147</v>
      </c>
      <c r="G289" s="29" t="s">
        <v>237</v>
      </c>
      <c r="H289" s="31">
        <v>270065290</v>
      </c>
      <c r="I289" s="17"/>
    </row>
    <row r="290" spans="1:9" ht="15.75" customHeight="1" x14ac:dyDescent="0.3">
      <c r="A290" s="17" t="s">
        <v>527</v>
      </c>
      <c r="B290" s="17" t="s">
        <v>137</v>
      </c>
      <c r="C290" s="50" t="str">
        <f>VLOOKUP(B290,'Patner Store'!A$2:A$51,1,0)</f>
        <v>PS0013</v>
      </c>
      <c r="D290" s="29" t="s">
        <v>222</v>
      </c>
      <c r="E290" s="50" t="str">
        <f>VLOOKUP(D290,'Sales Team'!A$2:B$6,1,0)</f>
        <v>ST0001</v>
      </c>
      <c r="F290" s="28">
        <v>44147</v>
      </c>
      <c r="G290" s="17" t="s">
        <v>234</v>
      </c>
      <c r="H290" s="31">
        <v>78766250</v>
      </c>
      <c r="I290" s="17"/>
    </row>
    <row r="291" spans="1:9" ht="15.75" customHeight="1" x14ac:dyDescent="0.3">
      <c r="A291" s="17" t="s">
        <v>528</v>
      </c>
      <c r="B291" s="17" t="s">
        <v>146</v>
      </c>
      <c r="C291" s="50" t="str">
        <f>VLOOKUP(B291,'Patner Store'!A$2:A$51,1,0)</f>
        <v>PS0017</v>
      </c>
      <c r="D291" s="29" t="s">
        <v>222</v>
      </c>
      <c r="E291" s="50" t="str">
        <f>VLOOKUP(D291,'Sales Team'!A$2:B$6,1,0)</f>
        <v>ST0001</v>
      </c>
      <c r="F291" s="28">
        <v>44149</v>
      </c>
      <c r="G291" s="17" t="s">
        <v>234</v>
      </c>
      <c r="H291" s="31">
        <v>24259314</v>
      </c>
      <c r="I291" s="17"/>
    </row>
    <row r="292" spans="1:9" ht="15.75" customHeight="1" x14ac:dyDescent="0.3">
      <c r="A292" s="17" t="s">
        <v>529</v>
      </c>
      <c r="B292" s="17" t="s">
        <v>139</v>
      </c>
      <c r="C292" s="50" t="str">
        <f>VLOOKUP(B292,'Patner Store'!A$2:A$51,1,0)</f>
        <v>PS0014</v>
      </c>
      <c r="D292" s="29" t="s">
        <v>227</v>
      </c>
      <c r="E292" s="50" t="str">
        <f>VLOOKUP(D292,'Sales Team'!A$2:B$6,1,0)</f>
        <v>ST0003</v>
      </c>
      <c r="F292" s="28">
        <v>44149</v>
      </c>
      <c r="G292" s="29" t="s">
        <v>237</v>
      </c>
      <c r="H292" s="31">
        <v>851382930</v>
      </c>
      <c r="I292" s="17" t="s">
        <v>238</v>
      </c>
    </row>
    <row r="293" spans="1:9" ht="15.75" customHeight="1" x14ac:dyDescent="0.3">
      <c r="A293" s="17" t="s">
        <v>530</v>
      </c>
      <c r="B293" s="17" t="s">
        <v>139</v>
      </c>
      <c r="C293" s="50" t="str">
        <f>VLOOKUP(B293,'Patner Store'!A$2:A$51,1,0)</f>
        <v>PS0014</v>
      </c>
      <c r="D293" s="29" t="s">
        <v>227</v>
      </c>
      <c r="E293" s="50" t="str">
        <f>VLOOKUP(D293,'Sales Team'!A$2:B$6,1,0)</f>
        <v>ST0003</v>
      </c>
      <c r="F293" s="28">
        <v>44149</v>
      </c>
      <c r="G293" s="29" t="s">
        <v>237</v>
      </c>
      <c r="H293" s="31">
        <v>274048000</v>
      </c>
      <c r="I293" s="17" t="s">
        <v>247</v>
      </c>
    </row>
    <row r="294" spans="1:9" ht="15.75" customHeight="1" x14ac:dyDescent="0.3">
      <c r="A294" s="17" t="s">
        <v>531</v>
      </c>
      <c r="B294" s="17" t="s">
        <v>124</v>
      </c>
      <c r="C294" s="50" t="str">
        <f>VLOOKUP(B294,'Patner Store'!A$2:A$51,1,0)</f>
        <v>PS0007</v>
      </c>
      <c r="D294" s="29" t="s">
        <v>222</v>
      </c>
      <c r="E294" s="50" t="str">
        <f>VLOOKUP(D294,'Sales Team'!A$2:B$6,1,0)</f>
        <v>ST0001</v>
      </c>
      <c r="F294" s="28">
        <v>44149</v>
      </c>
      <c r="G294" s="29" t="s">
        <v>237</v>
      </c>
      <c r="H294" s="31">
        <v>1000127730</v>
      </c>
      <c r="I294" s="17" t="s">
        <v>260</v>
      </c>
    </row>
    <row r="295" spans="1:9" ht="15.75" customHeight="1" x14ac:dyDescent="0.3">
      <c r="A295" s="17" t="s">
        <v>532</v>
      </c>
      <c r="B295" s="17" t="s">
        <v>162</v>
      </c>
      <c r="C295" s="50" t="str">
        <f>VLOOKUP(B295,'Patner Store'!A$2:A$51,1,0)</f>
        <v>PS0024</v>
      </c>
      <c r="D295" s="29" t="s">
        <v>222</v>
      </c>
      <c r="E295" s="50" t="str">
        <f>VLOOKUP(D295,'Sales Team'!A$2:B$6,1,0)</f>
        <v>ST0001</v>
      </c>
      <c r="F295" s="28">
        <v>44151</v>
      </c>
      <c r="G295" s="17" t="s">
        <v>234</v>
      </c>
      <c r="H295" s="31">
        <v>26277210</v>
      </c>
      <c r="I295" s="17"/>
    </row>
    <row r="296" spans="1:9" ht="15.75" customHeight="1" x14ac:dyDescent="0.3">
      <c r="A296" s="17" t="s">
        <v>533</v>
      </c>
      <c r="B296" s="17" t="s">
        <v>189</v>
      </c>
      <c r="C296" s="50" t="str">
        <f>VLOOKUP(B296,'Patner Store'!A$2:A$51,1,0)</f>
        <v>PS0037</v>
      </c>
      <c r="D296" s="29" t="s">
        <v>225</v>
      </c>
      <c r="E296" s="50" t="str">
        <f>VLOOKUP(D296,'Sales Team'!A$2:B$6,1,0)</f>
        <v>ST0002</v>
      </c>
      <c r="F296" s="28">
        <v>44152</v>
      </c>
      <c r="G296" s="17" t="s">
        <v>234</v>
      </c>
      <c r="H296" s="31">
        <v>122986880</v>
      </c>
      <c r="I296" s="17" t="s">
        <v>260</v>
      </c>
    </row>
    <row r="297" spans="1:9" ht="15.75" customHeight="1" x14ac:dyDescent="0.3">
      <c r="A297" s="17" t="s">
        <v>534</v>
      </c>
      <c r="B297" s="17" t="s">
        <v>211</v>
      </c>
      <c r="C297" s="50" t="str">
        <f>VLOOKUP(B297,'Patner Store'!A$2:A$51,1,0)</f>
        <v>PS0048</v>
      </c>
      <c r="D297" s="29" t="s">
        <v>227</v>
      </c>
      <c r="E297" s="50" t="str">
        <f>VLOOKUP(D297,'Sales Team'!A$2:B$6,1,0)</f>
        <v>ST0003</v>
      </c>
      <c r="F297" s="28">
        <v>44154</v>
      </c>
      <c r="G297" s="17" t="s">
        <v>234</v>
      </c>
      <c r="H297" s="31">
        <v>166874500</v>
      </c>
      <c r="I297" s="17"/>
    </row>
    <row r="298" spans="1:9" ht="15.75" customHeight="1" x14ac:dyDescent="0.3">
      <c r="A298" s="17" t="s">
        <v>535</v>
      </c>
      <c r="B298" s="17" t="s">
        <v>199</v>
      </c>
      <c r="C298" s="50" t="str">
        <f>VLOOKUP(B298,'Patner Store'!A$2:A$51,1,0)</f>
        <v>PS0042</v>
      </c>
      <c r="D298" s="29" t="s">
        <v>225</v>
      </c>
      <c r="E298" s="50" t="str">
        <f>VLOOKUP(D298,'Sales Team'!A$2:B$6,1,0)</f>
        <v>ST0002</v>
      </c>
      <c r="F298" s="28">
        <v>44155</v>
      </c>
      <c r="G298" s="29" t="s">
        <v>237</v>
      </c>
      <c r="H298" s="31">
        <v>586969334</v>
      </c>
      <c r="I298" s="17" t="s">
        <v>247</v>
      </c>
    </row>
    <row r="299" spans="1:9" ht="15.75" customHeight="1" x14ac:dyDescent="0.3">
      <c r="A299" s="17" t="s">
        <v>536</v>
      </c>
      <c r="B299" s="17" t="s">
        <v>141</v>
      </c>
      <c r="C299" s="50" t="str">
        <f>VLOOKUP(B299,'Patner Store'!A$2:A$51,1,0)</f>
        <v>PS0015</v>
      </c>
      <c r="D299" s="29" t="s">
        <v>229</v>
      </c>
      <c r="E299" s="50" t="str">
        <f>VLOOKUP(D299,'Sales Team'!A$2:B$6,1,0)</f>
        <v>ST0004</v>
      </c>
      <c r="F299" s="28">
        <v>44157</v>
      </c>
      <c r="G299" s="29" t="s">
        <v>237</v>
      </c>
      <c r="H299" s="31">
        <v>251956230</v>
      </c>
      <c r="I299" s="17" t="s">
        <v>247</v>
      </c>
    </row>
    <row r="300" spans="1:9" ht="15.75" customHeight="1" x14ac:dyDescent="0.3">
      <c r="A300" s="17" t="s">
        <v>537</v>
      </c>
      <c r="B300" s="17" t="s">
        <v>126</v>
      </c>
      <c r="C300" s="50" t="str">
        <f>VLOOKUP(B300,'Patner Store'!A$2:A$51,1,0)</f>
        <v>PS0008</v>
      </c>
      <c r="D300" s="29" t="s">
        <v>229</v>
      </c>
      <c r="E300" s="50" t="str">
        <f>VLOOKUP(D300,'Sales Team'!A$2:B$6,1,0)</f>
        <v>ST0004</v>
      </c>
      <c r="F300" s="28">
        <v>44158</v>
      </c>
      <c r="G300" s="29" t="s">
        <v>237</v>
      </c>
      <c r="H300" s="31">
        <v>271966470</v>
      </c>
      <c r="I300" s="17"/>
    </row>
    <row r="301" spans="1:9" ht="15.75" customHeight="1" x14ac:dyDescent="0.3">
      <c r="A301" s="17" t="s">
        <v>538</v>
      </c>
      <c r="B301" s="17" t="s">
        <v>189</v>
      </c>
      <c r="C301" s="50" t="str">
        <f>VLOOKUP(B301,'Patner Store'!A$2:A$51,1,0)</f>
        <v>PS0037</v>
      </c>
      <c r="D301" s="29" t="s">
        <v>225</v>
      </c>
      <c r="E301" s="50" t="str">
        <f>VLOOKUP(D301,'Sales Team'!A$2:B$6,1,0)</f>
        <v>ST0002</v>
      </c>
      <c r="F301" s="28">
        <v>44158</v>
      </c>
      <c r="G301" s="29" t="s">
        <v>237</v>
      </c>
      <c r="H301" s="31">
        <v>934920070</v>
      </c>
      <c r="I301" s="17" t="s">
        <v>238</v>
      </c>
    </row>
    <row r="302" spans="1:9" ht="15.75" customHeight="1" x14ac:dyDescent="0.3">
      <c r="A302" s="17" t="s">
        <v>539</v>
      </c>
      <c r="B302" s="17" t="s">
        <v>139</v>
      </c>
      <c r="C302" s="50" t="str">
        <f>VLOOKUP(B302,'Patner Store'!A$2:A$51,1,0)</f>
        <v>PS0014</v>
      </c>
      <c r="D302" s="29" t="s">
        <v>227</v>
      </c>
      <c r="E302" s="50" t="str">
        <f>VLOOKUP(D302,'Sales Team'!A$2:B$6,1,0)</f>
        <v>ST0003</v>
      </c>
      <c r="F302" s="28">
        <v>44159</v>
      </c>
      <c r="G302" s="17" t="s">
        <v>234</v>
      </c>
      <c r="H302" s="31">
        <v>162498750</v>
      </c>
      <c r="I302" s="17"/>
    </row>
    <row r="303" spans="1:9" ht="15.75" customHeight="1" x14ac:dyDescent="0.3">
      <c r="A303" s="17" t="s">
        <v>540</v>
      </c>
      <c r="B303" s="17" t="s">
        <v>105</v>
      </c>
      <c r="C303" s="50" t="str">
        <f>VLOOKUP(B303,'Patner Store'!A$2:A$51,1,0)</f>
        <v>PS0001</v>
      </c>
      <c r="D303" s="29" t="s">
        <v>231</v>
      </c>
      <c r="E303" s="50" t="str">
        <f>VLOOKUP(D303,'Sales Team'!A$2:B$6,1,0)</f>
        <v>ST0005</v>
      </c>
      <c r="F303" s="28">
        <v>44160</v>
      </c>
      <c r="G303" s="29" t="s">
        <v>237</v>
      </c>
      <c r="H303" s="31">
        <v>448628280</v>
      </c>
      <c r="I303" s="17"/>
    </row>
    <row r="304" spans="1:9" ht="15.75" customHeight="1" x14ac:dyDescent="0.3">
      <c r="A304" s="17" t="s">
        <v>541</v>
      </c>
      <c r="B304" s="17" t="s">
        <v>113</v>
      </c>
      <c r="C304" s="50" t="str">
        <f>VLOOKUP(B304,'Patner Store'!A$2:A$51,1,0)</f>
        <v>PS0003</v>
      </c>
      <c r="D304" s="29" t="s">
        <v>227</v>
      </c>
      <c r="E304" s="50" t="str">
        <f>VLOOKUP(D304,'Sales Team'!A$2:B$6,1,0)</f>
        <v>ST0003</v>
      </c>
      <c r="F304" s="28">
        <v>44160</v>
      </c>
      <c r="G304" s="29" t="s">
        <v>237</v>
      </c>
      <c r="H304" s="31">
        <v>481486500</v>
      </c>
      <c r="I304" s="17" t="s">
        <v>247</v>
      </c>
    </row>
    <row r="305" spans="1:9" ht="15.75" customHeight="1" x14ac:dyDescent="0.3">
      <c r="A305" s="17" t="s">
        <v>542</v>
      </c>
      <c r="B305" s="17" t="s">
        <v>131</v>
      </c>
      <c r="C305" s="50" t="str">
        <f>VLOOKUP(B305,'Patner Store'!A$2:A$51,1,0)</f>
        <v>PS0010</v>
      </c>
      <c r="D305" s="29" t="s">
        <v>222</v>
      </c>
      <c r="E305" s="50" t="str">
        <f>VLOOKUP(D305,'Sales Team'!A$2:B$6,1,0)</f>
        <v>ST0001</v>
      </c>
      <c r="F305" s="28">
        <v>44160</v>
      </c>
      <c r="G305" s="29" t="s">
        <v>237</v>
      </c>
      <c r="H305" s="31">
        <v>257259910</v>
      </c>
      <c r="I305" s="17"/>
    </row>
    <row r="306" spans="1:9" ht="15.75" customHeight="1" x14ac:dyDescent="0.3">
      <c r="A306" s="17" t="s">
        <v>543</v>
      </c>
      <c r="B306" s="17" t="s">
        <v>189</v>
      </c>
      <c r="C306" s="50" t="str">
        <f>VLOOKUP(B306,'Patner Store'!A$2:A$51,1,0)</f>
        <v>PS0037</v>
      </c>
      <c r="D306" s="29" t="s">
        <v>225</v>
      </c>
      <c r="E306" s="50" t="str">
        <f>VLOOKUP(D306,'Sales Team'!A$2:B$6,1,0)</f>
        <v>ST0002</v>
      </c>
      <c r="F306" s="28">
        <v>44160</v>
      </c>
      <c r="G306" s="29" t="s">
        <v>237</v>
      </c>
      <c r="H306" s="31">
        <v>555095690</v>
      </c>
      <c r="I306" s="17" t="s">
        <v>247</v>
      </c>
    </row>
    <row r="307" spans="1:9" ht="15.75" customHeight="1" x14ac:dyDescent="0.3">
      <c r="A307" s="17" t="s">
        <v>544</v>
      </c>
      <c r="B307" s="17" t="s">
        <v>135</v>
      </c>
      <c r="C307" s="50" t="str">
        <f>VLOOKUP(B307,'Patner Store'!A$2:A$51,1,0)</f>
        <v>PS0012</v>
      </c>
      <c r="D307" s="29" t="s">
        <v>227</v>
      </c>
      <c r="E307" s="50" t="str">
        <f>VLOOKUP(D307,'Sales Team'!A$2:B$6,1,0)</f>
        <v>ST0003</v>
      </c>
      <c r="F307" s="28">
        <v>44161</v>
      </c>
      <c r="G307" s="17" t="s">
        <v>234</v>
      </c>
      <c r="H307" s="31">
        <v>116999700</v>
      </c>
      <c r="I307" s="17"/>
    </row>
    <row r="308" spans="1:9" ht="15.75" customHeight="1" x14ac:dyDescent="0.3">
      <c r="A308" s="17" t="s">
        <v>545</v>
      </c>
      <c r="B308" s="17" t="s">
        <v>201</v>
      </c>
      <c r="C308" s="50" t="str">
        <f>VLOOKUP(B308,'Patner Store'!A$2:A$51,1,0)</f>
        <v>PS0043</v>
      </c>
      <c r="D308" s="29" t="s">
        <v>229</v>
      </c>
      <c r="E308" s="50" t="str">
        <f>VLOOKUP(D308,'Sales Team'!A$2:B$6,1,0)</f>
        <v>ST0004</v>
      </c>
      <c r="F308" s="28">
        <v>44162</v>
      </c>
      <c r="G308" s="29" t="s">
        <v>237</v>
      </c>
      <c r="H308" s="31">
        <v>253386900</v>
      </c>
      <c r="I308" s="17" t="s">
        <v>260</v>
      </c>
    </row>
    <row r="309" spans="1:9" ht="15.75" customHeight="1" x14ac:dyDescent="0.3">
      <c r="A309" s="17" t="s">
        <v>546</v>
      </c>
      <c r="B309" s="17" t="s">
        <v>215</v>
      </c>
      <c r="C309" s="50" t="str">
        <f>VLOOKUP(B309,'Patner Store'!A$2:A$51,1,0)</f>
        <v>PS0050</v>
      </c>
      <c r="D309" s="29" t="s">
        <v>229</v>
      </c>
      <c r="E309" s="50" t="str">
        <f>VLOOKUP(D309,'Sales Team'!A$2:B$6,1,0)</f>
        <v>ST0004</v>
      </c>
      <c r="F309" s="28">
        <v>44162</v>
      </c>
      <c r="G309" s="29" t="s">
        <v>237</v>
      </c>
      <c r="H309" s="31">
        <v>257744970</v>
      </c>
      <c r="I309" s="17"/>
    </row>
    <row r="310" spans="1:9" ht="15.75" customHeight="1" x14ac:dyDescent="0.3">
      <c r="A310" s="17" t="s">
        <v>547</v>
      </c>
      <c r="B310" s="17" t="s">
        <v>191</v>
      </c>
      <c r="C310" s="50" t="str">
        <f>VLOOKUP(B310,'Patner Store'!A$2:A$51,1,0)</f>
        <v>PS0038</v>
      </c>
      <c r="D310" s="29" t="s">
        <v>229</v>
      </c>
      <c r="E310" s="50" t="str">
        <f>VLOOKUP(D310,'Sales Team'!A$2:B$6,1,0)</f>
        <v>ST0004</v>
      </c>
      <c r="F310" s="28">
        <v>44162</v>
      </c>
      <c r="G310" s="17" t="s">
        <v>234</v>
      </c>
      <c r="H310" s="31">
        <v>155530280</v>
      </c>
      <c r="I310" s="17"/>
    </row>
    <row r="311" spans="1:9" ht="15.75" customHeight="1" x14ac:dyDescent="0.3">
      <c r="A311" s="17" t="s">
        <v>548</v>
      </c>
      <c r="B311" s="17" t="s">
        <v>164</v>
      </c>
      <c r="C311" s="50" t="str">
        <f>VLOOKUP(B311,'Patner Store'!A$2:A$51,1,0)</f>
        <v>PS0025</v>
      </c>
      <c r="D311" s="29" t="s">
        <v>227</v>
      </c>
      <c r="E311" s="50" t="str">
        <f>VLOOKUP(D311,'Sales Team'!A$2:B$6,1,0)</f>
        <v>ST0003</v>
      </c>
      <c r="F311" s="28">
        <v>44164</v>
      </c>
      <c r="G311" s="29" t="s">
        <v>237</v>
      </c>
      <c r="H311" s="31">
        <v>281179780</v>
      </c>
      <c r="I311" s="17"/>
    </row>
    <row r="312" spans="1:9" ht="15.75" customHeight="1" x14ac:dyDescent="0.3">
      <c r="A312" s="17" t="s">
        <v>549</v>
      </c>
      <c r="B312" s="17" t="s">
        <v>154</v>
      </c>
      <c r="C312" s="50" t="str">
        <f>VLOOKUP(B312,'Patner Store'!A$2:A$51,1,0)</f>
        <v>PS0020</v>
      </c>
      <c r="D312" s="29" t="s">
        <v>229</v>
      </c>
      <c r="E312" s="50" t="str">
        <f>VLOOKUP(D312,'Sales Team'!A$2:B$6,1,0)</f>
        <v>ST0004</v>
      </c>
      <c r="F312" s="28">
        <v>44164</v>
      </c>
      <c r="G312" s="17" t="s">
        <v>234</v>
      </c>
      <c r="H312" s="31">
        <v>63201600</v>
      </c>
      <c r="I312" s="17" t="s">
        <v>253</v>
      </c>
    </row>
    <row r="313" spans="1:9" ht="15.75" customHeight="1" x14ac:dyDescent="0.3">
      <c r="A313" s="17" t="s">
        <v>550</v>
      </c>
      <c r="B313" s="17" t="s">
        <v>209</v>
      </c>
      <c r="C313" s="50" t="str">
        <f>VLOOKUP(B313,'Patner Store'!A$2:A$51,1,0)</f>
        <v>PS0047</v>
      </c>
      <c r="D313" s="29" t="s">
        <v>222</v>
      </c>
      <c r="E313" s="50" t="str">
        <f>VLOOKUP(D313,'Sales Team'!A$2:B$6,1,0)</f>
        <v>ST0001</v>
      </c>
      <c r="F313" s="28">
        <v>44167</v>
      </c>
      <c r="G313" s="17" t="s">
        <v>234</v>
      </c>
      <c r="H313" s="31">
        <v>24750000</v>
      </c>
      <c r="I313" s="17"/>
    </row>
    <row r="314" spans="1:9" ht="15.75" customHeight="1" x14ac:dyDescent="0.3">
      <c r="A314" s="17" t="s">
        <v>551</v>
      </c>
      <c r="B314" s="17" t="s">
        <v>119</v>
      </c>
      <c r="C314" s="50" t="str">
        <f>VLOOKUP(B314,'Patner Store'!A$2:A$51,1,0)</f>
        <v>PS0005</v>
      </c>
      <c r="D314" s="29" t="s">
        <v>229</v>
      </c>
      <c r="E314" s="50" t="str">
        <f>VLOOKUP(D314,'Sales Team'!A$2:B$6,1,0)</f>
        <v>ST0004</v>
      </c>
      <c r="F314" s="28">
        <v>44167</v>
      </c>
      <c r="G314" s="17" t="s">
        <v>234</v>
      </c>
      <c r="H314" s="31">
        <v>120019190</v>
      </c>
      <c r="I314" s="17"/>
    </row>
    <row r="315" spans="1:9" ht="15.75" customHeight="1" x14ac:dyDescent="0.3">
      <c r="A315" s="17" t="s">
        <v>552</v>
      </c>
      <c r="B315" s="17" t="s">
        <v>135</v>
      </c>
      <c r="C315" s="50" t="str">
        <f>VLOOKUP(B315,'Patner Store'!A$2:A$51,1,0)</f>
        <v>PS0012</v>
      </c>
      <c r="D315" s="29" t="s">
        <v>227</v>
      </c>
      <c r="E315" s="50" t="str">
        <f>VLOOKUP(D315,'Sales Team'!A$2:B$6,1,0)</f>
        <v>ST0003</v>
      </c>
      <c r="F315" s="28">
        <v>44168</v>
      </c>
      <c r="G315" s="17" t="s">
        <v>234</v>
      </c>
      <c r="H315" s="31">
        <v>86428070</v>
      </c>
      <c r="I315" s="17"/>
    </row>
    <row r="316" spans="1:9" ht="15.75" customHeight="1" x14ac:dyDescent="0.3">
      <c r="A316" s="17" t="s">
        <v>553</v>
      </c>
      <c r="B316" s="17" t="s">
        <v>179</v>
      </c>
      <c r="C316" s="50" t="str">
        <f>VLOOKUP(B316,'Patner Store'!A$2:A$51,1,0)</f>
        <v>PS0032</v>
      </c>
      <c r="D316" s="29" t="s">
        <v>229</v>
      </c>
      <c r="E316" s="50" t="str">
        <f>VLOOKUP(D316,'Sales Team'!A$2:B$6,1,0)</f>
        <v>ST0004</v>
      </c>
      <c r="F316" s="28">
        <v>44168</v>
      </c>
      <c r="G316" s="29" t="s">
        <v>237</v>
      </c>
      <c r="H316" s="31">
        <v>549546700</v>
      </c>
      <c r="I316" s="17"/>
    </row>
    <row r="317" spans="1:9" ht="15.75" customHeight="1" x14ac:dyDescent="0.3">
      <c r="A317" s="17" t="s">
        <v>554</v>
      </c>
      <c r="B317" s="17" t="s">
        <v>195</v>
      </c>
      <c r="C317" s="50" t="str">
        <f>VLOOKUP(B317,'Patner Store'!A$2:A$51,1,0)</f>
        <v>PS0040</v>
      </c>
      <c r="D317" s="29" t="s">
        <v>227</v>
      </c>
      <c r="E317" s="50" t="str">
        <f>VLOOKUP(D317,'Sales Team'!A$2:B$6,1,0)</f>
        <v>ST0003</v>
      </c>
      <c r="F317" s="28">
        <v>44168</v>
      </c>
      <c r="G317" s="29" t="s">
        <v>237</v>
      </c>
      <c r="H317" s="31">
        <v>738416990</v>
      </c>
      <c r="I317" s="17"/>
    </row>
    <row r="318" spans="1:9" ht="15.75" customHeight="1" x14ac:dyDescent="0.3">
      <c r="A318" s="17" t="s">
        <v>555</v>
      </c>
      <c r="B318" s="17" t="s">
        <v>156</v>
      </c>
      <c r="C318" s="50" t="str">
        <f>VLOOKUP(B318,'Patner Store'!A$2:A$51,1,0)</f>
        <v>PS0021</v>
      </c>
      <c r="D318" s="29" t="s">
        <v>222</v>
      </c>
      <c r="E318" s="50" t="str">
        <f>VLOOKUP(D318,'Sales Team'!A$2:B$6,1,0)</f>
        <v>ST0001</v>
      </c>
      <c r="F318" s="28">
        <v>44169</v>
      </c>
      <c r="G318" s="17" t="s">
        <v>234</v>
      </c>
      <c r="H318" s="31">
        <v>43177863</v>
      </c>
      <c r="I318" s="17"/>
    </row>
    <row r="319" spans="1:9" ht="15.75" customHeight="1" x14ac:dyDescent="0.3">
      <c r="A319" s="17" t="s">
        <v>556</v>
      </c>
      <c r="B319" s="17" t="s">
        <v>211</v>
      </c>
      <c r="C319" s="50" t="str">
        <f>VLOOKUP(B319,'Patner Store'!A$2:A$51,1,0)</f>
        <v>PS0048</v>
      </c>
      <c r="D319" s="29" t="s">
        <v>227</v>
      </c>
      <c r="E319" s="50" t="str">
        <f>VLOOKUP(D319,'Sales Team'!A$2:B$6,1,0)</f>
        <v>ST0003</v>
      </c>
      <c r="F319" s="28">
        <v>44169</v>
      </c>
      <c r="G319" s="17" t="s">
        <v>234</v>
      </c>
      <c r="H319" s="31">
        <v>243801900</v>
      </c>
      <c r="I319" s="17" t="s">
        <v>253</v>
      </c>
    </row>
    <row r="320" spans="1:9" ht="15.75" customHeight="1" x14ac:dyDescent="0.3">
      <c r="A320" s="17" t="s">
        <v>557</v>
      </c>
      <c r="B320" s="17" t="s">
        <v>213</v>
      </c>
      <c r="C320" s="50" t="str">
        <f>VLOOKUP(B320,'Patner Store'!A$2:A$51,1,0)</f>
        <v>PS0049</v>
      </c>
      <c r="D320" s="29" t="s">
        <v>229</v>
      </c>
      <c r="E320" s="50" t="str">
        <f>VLOOKUP(D320,'Sales Team'!A$2:B$6,1,0)</f>
        <v>ST0004</v>
      </c>
      <c r="F320" s="28">
        <v>44170</v>
      </c>
      <c r="G320" s="29" t="s">
        <v>237</v>
      </c>
      <c r="H320" s="31">
        <v>673523350</v>
      </c>
      <c r="I320" s="17"/>
    </row>
    <row r="321" spans="1:9" ht="15.75" customHeight="1" x14ac:dyDescent="0.3">
      <c r="A321" s="17" t="s">
        <v>558</v>
      </c>
      <c r="B321" s="17" t="s">
        <v>215</v>
      </c>
      <c r="C321" s="50" t="str">
        <f>VLOOKUP(B321,'Patner Store'!A$2:A$51,1,0)</f>
        <v>PS0050</v>
      </c>
      <c r="D321" s="29" t="s">
        <v>229</v>
      </c>
      <c r="E321" s="50" t="str">
        <f>VLOOKUP(D321,'Sales Team'!A$2:B$6,1,0)</f>
        <v>ST0004</v>
      </c>
      <c r="F321" s="28">
        <v>44171</v>
      </c>
      <c r="G321" s="17" t="s">
        <v>234</v>
      </c>
      <c r="H321" s="31">
        <v>16876320</v>
      </c>
      <c r="I321" s="17"/>
    </row>
    <row r="322" spans="1:9" ht="15.75" customHeight="1" x14ac:dyDescent="0.3">
      <c r="A322" s="17" t="s">
        <v>559</v>
      </c>
      <c r="B322" s="17" t="s">
        <v>144</v>
      </c>
      <c r="C322" s="50" t="str">
        <f>VLOOKUP(B322,'Patner Store'!A$2:A$51,1,0)</f>
        <v>PS0016</v>
      </c>
      <c r="D322" s="29" t="s">
        <v>227</v>
      </c>
      <c r="E322" s="50" t="str">
        <f>VLOOKUP(D322,'Sales Team'!A$2:B$6,1,0)</f>
        <v>ST0003</v>
      </c>
      <c r="F322" s="28">
        <v>44171</v>
      </c>
      <c r="G322" s="17" t="s">
        <v>234</v>
      </c>
      <c r="H322" s="31">
        <v>105222130</v>
      </c>
      <c r="I322" s="17" t="s">
        <v>260</v>
      </c>
    </row>
    <row r="323" spans="1:9" ht="15.75" customHeight="1" x14ac:dyDescent="0.3">
      <c r="A323" s="17" t="s">
        <v>560</v>
      </c>
      <c r="B323" s="17" t="s">
        <v>187</v>
      </c>
      <c r="C323" s="50" t="str">
        <f>VLOOKUP(B323,'Patner Store'!A$2:A$51,1,0)</f>
        <v>PS0036</v>
      </c>
      <c r="D323" s="29" t="s">
        <v>231</v>
      </c>
      <c r="E323" s="50" t="str">
        <f>VLOOKUP(D323,'Sales Team'!A$2:B$6,1,0)</f>
        <v>ST0005</v>
      </c>
      <c r="F323" s="28">
        <v>44172</v>
      </c>
      <c r="G323" s="29" t="s">
        <v>237</v>
      </c>
      <c r="H323" s="31">
        <v>371187460</v>
      </c>
      <c r="I323" s="17"/>
    </row>
    <row r="324" spans="1:9" ht="15.75" customHeight="1" x14ac:dyDescent="0.3">
      <c r="A324" s="17" t="s">
        <v>561</v>
      </c>
      <c r="B324" s="17" t="s">
        <v>113</v>
      </c>
      <c r="C324" s="50" t="str">
        <f>VLOOKUP(B324,'Patner Store'!A$2:A$51,1,0)</f>
        <v>PS0003</v>
      </c>
      <c r="D324" s="29" t="s">
        <v>227</v>
      </c>
      <c r="E324" s="50" t="str">
        <f>VLOOKUP(D324,'Sales Team'!A$2:B$6,1,0)</f>
        <v>ST0003</v>
      </c>
      <c r="F324" s="28">
        <v>44173</v>
      </c>
      <c r="G324" s="29" t="s">
        <v>237</v>
      </c>
      <c r="H324" s="31">
        <v>287904700</v>
      </c>
      <c r="I324" s="17"/>
    </row>
    <row r="325" spans="1:9" ht="15.75" customHeight="1" x14ac:dyDescent="0.3">
      <c r="A325" s="17" t="s">
        <v>562</v>
      </c>
      <c r="B325" s="17" t="s">
        <v>164</v>
      </c>
      <c r="C325" s="50" t="str">
        <f>VLOOKUP(B325,'Patner Store'!A$2:A$51,1,0)</f>
        <v>PS0025</v>
      </c>
      <c r="D325" s="29" t="s">
        <v>227</v>
      </c>
      <c r="E325" s="50" t="str">
        <f>VLOOKUP(D325,'Sales Team'!A$2:B$6,1,0)</f>
        <v>ST0003</v>
      </c>
      <c r="F325" s="28">
        <v>44174</v>
      </c>
      <c r="G325" s="29" t="s">
        <v>237</v>
      </c>
      <c r="H325" s="31">
        <v>290475200</v>
      </c>
      <c r="I325" s="17" t="s">
        <v>247</v>
      </c>
    </row>
    <row r="326" spans="1:9" ht="15.75" customHeight="1" x14ac:dyDescent="0.3">
      <c r="A326" s="17" t="s">
        <v>563</v>
      </c>
      <c r="B326" s="17" t="s">
        <v>166</v>
      </c>
      <c r="C326" s="50" t="str">
        <f>VLOOKUP(B326,'Patner Store'!A$2:A$51,1,0)</f>
        <v>PS0026</v>
      </c>
      <c r="D326" s="29" t="s">
        <v>229</v>
      </c>
      <c r="E326" s="50" t="str">
        <f>VLOOKUP(D326,'Sales Team'!A$2:B$6,1,0)</f>
        <v>ST0004</v>
      </c>
      <c r="F326" s="28">
        <v>44175</v>
      </c>
      <c r="G326" s="17" t="s">
        <v>234</v>
      </c>
      <c r="H326" s="31">
        <v>147603820</v>
      </c>
      <c r="I326" s="17"/>
    </row>
    <row r="327" spans="1:9" ht="15.75" customHeight="1" x14ac:dyDescent="0.3">
      <c r="A327" s="17" t="s">
        <v>564</v>
      </c>
      <c r="B327" s="17" t="s">
        <v>144</v>
      </c>
      <c r="C327" s="50" t="str">
        <f>VLOOKUP(B327,'Patner Store'!A$2:A$51,1,0)</f>
        <v>PS0016</v>
      </c>
      <c r="D327" s="29" t="s">
        <v>227</v>
      </c>
      <c r="E327" s="50" t="str">
        <f>VLOOKUP(D327,'Sales Team'!A$2:B$6,1,0)</f>
        <v>ST0003</v>
      </c>
      <c r="F327" s="28">
        <v>44176</v>
      </c>
      <c r="G327" s="17" t="s">
        <v>234</v>
      </c>
      <c r="H327" s="31">
        <v>6478380</v>
      </c>
      <c r="I327" s="17" t="s">
        <v>247</v>
      </c>
    </row>
    <row r="328" spans="1:9" ht="15.75" customHeight="1" x14ac:dyDescent="0.3">
      <c r="A328" s="17" t="s">
        <v>565</v>
      </c>
      <c r="B328" s="17" t="s">
        <v>158</v>
      </c>
      <c r="C328" s="50" t="str">
        <f>VLOOKUP(B328,'Patner Store'!A$2:A$51,1,0)</f>
        <v>PS0022</v>
      </c>
      <c r="D328" s="29" t="s">
        <v>229</v>
      </c>
      <c r="E328" s="50" t="str">
        <f>VLOOKUP(D328,'Sales Team'!A$2:B$6,1,0)</f>
        <v>ST0004</v>
      </c>
      <c r="F328" s="28">
        <v>44176</v>
      </c>
      <c r="G328" s="29" t="s">
        <v>237</v>
      </c>
      <c r="H328" s="31">
        <v>311322000</v>
      </c>
      <c r="I328" s="17" t="s">
        <v>260</v>
      </c>
    </row>
    <row r="329" spans="1:9" ht="15.75" customHeight="1" x14ac:dyDescent="0.3">
      <c r="A329" s="17" t="s">
        <v>566</v>
      </c>
      <c r="B329" s="17" t="s">
        <v>109</v>
      </c>
      <c r="C329" s="50" t="str">
        <f>VLOOKUP(B329,'Patner Store'!A$2:A$51,1,0)</f>
        <v>PS0002</v>
      </c>
      <c r="D329" s="29" t="s">
        <v>225</v>
      </c>
      <c r="E329" s="50" t="str">
        <f>VLOOKUP(D329,'Sales Team'!A$2:B$6,1,0)</f>
        <v>ST0002</v>
      </c>
      <c r="F329" s="28">
        <v>44176</v>
      </c>
      <c r="G329" s="17" t="s">
        <v>234</v>
      </c>
      <c r="H329" s="31">
        <v>153854120</v>
      </c>
      <c r="I329" s="17" t="s">
        <v>253</v>
      </c>
    </row>
    <row r="330" spans="1:9" ht="15.75" customHeight="1" x14ac:dyDescent="0.3">
      <c r="A330" s="17" t="s">
        <v>567</v>
      </c>
      <c r="B330" s="17" t="s">
        <v>126</v>
      </c>
      <c r="C330" s="50" t="str">
        <f>VLOOKUP(B330,'Patner Store'!A$2:A$51,1,0)</f>
        <v>PS0008</v>
      </c>
      <c r="D330" s="29" t="s">
        <v>229</v>
      </c>
      <c r="E330" s="50" t="str">
        <f>VLOOKUP(D330,'Sales Team'!A$2:B$6,1,0)</f>
        <v>ST0004</v>
      </c>
      <c r="F330" s="28">
        <v>44177</v>
      </c>
      <c r="G330" s="29" t="s">
        <v>237</v>
      </c>
      <c r="H330" s="31">
        <v>628753920</v>
      </c>
      <c r="I330" s="17" t="s">
        <v>253</v>
      </c>
    </row>
    <row r="331" spans="1:9" ht="15.75" customHeight="1" x14ac:dyDescent="0.3">
      <c r="A331" s="17" t="s">
        <v>568</v>
      </c>
      <c r="B331" s="17" t="s">
        <v>139</v>
      </c>
      <c r="C331" s="50" t="str">
        <f>VLOOKUP(B331,'Patner Store'!A$2:A$51,1,0)</f>
        <v>PS0014</v>
      </c>
      <c r="D331" s="29" t="s">
        <v>227</v>
      </c>
      <c r="E331" s="50" t="str">
        <f>VLOOKUP(D331,'Sales Team'!A$2:B$6,1,0)</f>
        <v>ST0003</v>
      </c>
      <c r="F331" s="28">
        <v>44177</v>
      </c>
      <c r="G331" s="29" t="s">
        <v>237</v>
      </c>
      <c r="H331" s="31">
        <v>371594100</v>
      </c>
      <c r="I331" s="17"/>
    </row>
    <row r="332" spans="1:9" ht="15.75" customHeight="1" x14ac:dyDescent="0.3">
      <c r="A332" s="17" t="s">
        <v>569</v>
      </c>
      <c r="B332" s="17" t="s">
        <v>164</v>
      </c>
      <c r="C332" s="50" t="str">
        <f>VLOOKUP(B332,'Patner Store'!A$2:A$51,1,0)</f>
        <v>PS0025</v>
      </c>
      <c r="D332" s="29" t="s">
        <v>227</v>
      </c>
      <c r="E332" s="50" t="str">
        <f>VLOOKUP(D332,'Sales Team'!A$2:B$6,1,0)</f>
        <v>ST0003</v>
      </c>
      <c r="F332" s="28">
        <v>44179</v>
      </c>
      <c r="G332" s="29" t="s">
        <v>237</v>
      </c>
      <c r="H332" s="31">
        <v>597486340</v>
      </c>
      <c r="I332" s="17" t="s">
        <v>253</v>
      </c>
    </row>
    <row r="333" spans="1:9" ht="15.75" customHeight="1" x14ac:dyDescent="0.3">
      <c r="A333" s="17" t="s">
        <v>570</v>
      </c>
      <c r="B333" s="17" t="s">
        <v>175</v>
      </c>
      <c r="C333" s="50" t="str">
        <f>VLOOKUP(B333,'Patner Store'!A$2:A$51,1,0)</f>
        <v>PS0030</v>
      </c>
      <c r="D333" s="29" t="s">
        <v>229</v>
      </c>
      <c r="E333" s="50" t="str">
        <f>VLOOKUP(D333,'Sales Team'!A$2:B$6,1,0)</f>
        <v>ST0004</v>
      </c>
      <c r="F333" s="28">
        <v>44179</v>
      </c>
      <c r="G333" s="17" t="s">
        <v>234</v>
      </c>
      <c r="H333" s="31">
        <v>223292600</v>
      </c>
      <c r="I333" s="17"/>
    </row>
    <row r="334" spans="1:9" ht="15.75" customHeight="1" x14ac:dyDescent="0.3">
      <c r="A334" s="17" t="s">
        <v>571</v>
      </c>
      <c r="B334" s="17" t="s">
        <v>171</v>
      </c>
      <c r="C334" s="50" t="str">
        <f>VLOOKUP(B334,'Patner Store'!A$2:A$51,1,0)</f>
        <v>PS0028</v>
      </c>
      <c r="D334" s="29" t="s">
        <v>231</v>
      </c>
      <c r="E334" s="50" t="str">
        <f>VLOOKUP(D334,'Sales Team'!A$2:B$6,1,0)</f>
        <v>ST0005</v>
      </c>
      <c r="F334" s="28">
        <v>44179</v>
      </c>
      <c r="G334" s="17" t="s">
        <v>234</v>
      </c>
      <c r="H334" s="31">
        <v>211153230</v>
      </c>
      <c r="I334" s="17"/>
    </row>
    <row r="335" spans="1:9" ht="15.75" customHeight="1" x14ac:dyDescent="0.3">
      <c r="A335" s="17" t="s">
        <v>572</v>
      </c>
      <c r="B335" s="17" t="s">
        <v>168</v>
      </c>
      <c r="C335" s="50" t="str">
        <f>VLOOKUP(B335,'Patner Store'!A$2:A$51,1,0)</f>
        <v>PS0027</v>
      </c>
      <c r="D335" s="29" t="s">
        <v>229</v>
      </c>
      <c r="E335" s="50" t="str">
        <f>VLOOKUP(D335,'Sales Team'!A$2:B$6,1,0)</f>
        <v>ST0004</v>
      </c>
      <c r="F335" s="28">
        <v>44179</v>
      </c>
      <c r="G335" s="29" t="s">
        <v>237</v>
      </c>
      <c r="H335" s="31">
        <v>833562150</v>
      </c>
      <c r="I335" s="17" t="s">
        <v>238</v>
      </c>
    </row>
    <row r="336" spans="1:9" ht="15.75" customHeight="1" x14ac:dyDescent="0.3">
      <c r="A336" s="17" t="s">
        <v>573</v>
      </c>
      <c r="B336" s="17" t="s">
        <v>158</v>
      </c>
      <c r="C336" s="50" t="str">
        <f>VLOOKUP(B336,'Patner Store'!A$2:A$51,1,0)</f>
        <v>PS0022</v>
      </c>
      <c r="D336" s="29" t="s">
        <v>229</v>
      </c>
      <c r="E336" s="50" t="str">
        <f>VLOOKUP(D336,'Sales Team'!A$2:B$6,1,0)</f>
        <v>ST0004</v>
      </c>
      <c r="F336" s="28">
        <v>44179</v>
      </c>
      <c r="G336" s="29" t="s">
        <v>237</v>
      </c>
      <c r="H336" s="31">
        <v>479511750</v>
      </c>
      <c r="I336" s="17"/>
    </row>
    <row r="337" spans="1:9" ht="15.75" customHeight="1" x14ac:dyDescent="0.3">
      <c r="A337" s="17" t="s">
        <v>574</v>
      </c>
      <c r="B337" s="17" t="s">
        <v>211</v>
      </c>
      <c r="C337" s="50" t="str">
        <f>VLOOKUP(B337,'Patner Store'!A$2:A$51,1,0)</f>
        <v>PS0048</v>
      </c>
      <c r="D337" s="29" t="s">
        <v>227</v>
      </c>
      <c r="E337" s="50" t="str">
        <f>VLOOKUP(D337,'Sales Team'!A$2:B$6,1,0)</f>
        <v>ST0003</v>
      </c>
      <c r="F337" s="28">
        <v>44179</v>
      </c>
      <c r="G337" s="29" t="s">
        <v>237</v>
      </c>
      <c r="H337" s="31">
        <v>554125630</v>
      </c>
      <c r="I337" s="17" t="s">
        <v>247</v>
      </c>
    </row>
    <row r="338" spans="1:9" ht="15.75" customHeight="1" x14ac:dyDescent="0.3">
      <c r="A338" s="17" t="s">
        <v>575</v>
      </c>
      <c r="B338" s="17" t="s">
        <v>168</v>
      </c>
      <c r="C338" s="50" t="str">
        <f>VLOOKUP(B338,'Patner Store'!A$2:A$51,1,0)</f>
        <v>PS0027</v>
      </c>
      <c r="D338" s="29" t="s">
        <v>229</v>
      </c>
      <c r="E338" s="50" t="str">
        <f>VLOOKUP(D338,'Sales Team'!A$2:B$6,1,0)</f>
        <v>ST0004</v>
      </c>
      <c r="F338" s="28">
        <v>44181</v>
      </c>
      <c r="G338" s="29" t="s">
        <v>237</v>
      </c>
      <c r="H338" s="31">
        <v>463321880</v>
      </c>
      <c r="I338" s="17"/>
    </row>
    <row r="339" spans="1:9" ht="15.75" customHeight="1" x14ac:dyDescent="0.3">
      <c r="A339" s="17" t="s">
        <v>576</v>
      </c>
      <c r="B339" s="17" t="s">
        <v>207</v>
      </c>
      <c r="C339" s="50" t="str">
        <f>VLOOKUP(B339,'Patner Store'!A$2:A$51,1,0)</f>
        <v>PS0046</v>
      </c>
      <c r="D339" s="29" t="s">
        <v>227</v>
      </c>
      <c r="E339" s="50" t="str">
        <f>VLOOKUP(D339,'Sales Team'!A$2:B$6,1,0)</f>
        <v>ST0003</v>
      </c>
      <c r="F339" s="28">
        <v>44181</v>
      </c>
      <c r="G339" s="29" t="s">
        <v>237</v>
      </c>
      <c r="H339" s="31">
        <v>442807440</v>
      </c>
      <c r="I339" s="17"/>
    </row>
    <row r="340" spans="1:9" ht="15.75" customHeight="1" x14ac:dyDescent="0.3">
      <c r="A340" s="17" t="s">
        <v>577</v>
      </c>
      <c r="B340" s="17" t="s">
        <v>207</v>
      </c>
      <c r="C340" s="50" t="str">
        <f>VLOOKUP(B340,'Patner Store'!A$2:A$51,1,0)</f>
        <v>PS0046</v>
      </c>
      <c r="D340" s="29" t="s">
        <v>227</v>
      </c>
      <c r="E340" s="50" t="str">
        <f>VLOOKUP(D340,'Sales Team'!A$2:B$6,1,0)</f>
        <v>ST0003</v>
      </c>
      <c r="F340" s="28">
        <v>44181</v>
      </c>
      <c r="G340" s="17" t="s">
        <v>234</v>
      </c>
      <c r="H340" s="31">
        <v>77629714</v>
      </c>
      <c r="I340" s="17"/>
    </row>
    <row r="341" spans="1:9" ht="15.75" customHeight="1" x14ac:dyDescent="0.3">
      <c r="A341" s="17" t="s">
        <v>578</v>
      </c>
      <c r="B341" s="17" t="s">
        <v>207</v>
      </c>
      <c r="C341" s="50" t="str">
        <f>VLOOKUP(B341,'Patner Store'!A$2:A$51,1,0)</f>
        <v>PS0046</v>
      </c>
      <c r="D341" s="29" t="s">
        <v>227</v>
      </c>
      <c r="E341" s="50" t="str">
        <f>VLOOKUP(D341,'Sales Team'!A$2:B$6,1,0)</f>
        <v>ST0003</v>
      </c>
      <c r="F341" s="28">
        <v>44182</v>
      </c>
      <c r="G341" s="17" t="s">
        <v>234</v>
      </c>
      <c r="H341" s="31">
        <v>75810000</v>
      </c>
      <c r="I341" s="17"/>
    </row>
    <row r="342" spans="1:9" ht="15.75" customHeight="1" x14ac:dyDescent="0.3">
      <c r="A342" s="17" t="s">
        <v>579</v>
      </c>
      <c r="B342" s="17" t="s">
        <v>213</v>
      </c>
      <c r="C342" s="50" t="str">
        <f>VLOOKUP(B342,'Patner Store'!A$2:A$51,1,0)</f>
        <v>PS0049</v>
      </c>
      <c r="D342" s="29" t="s">
        <v>229</v>
      </c>
      <c r="E342" s="50" t="str">
        <f>VLOOKUP(D342,'Sales Team'!A$2:B$6,1,0)</f>
        <v>ST0004</v>
      </c>
      <c r="F342" s="28">
        <v>44182</v>
      </c>
      <c r="G342" s="17" t="s">
        <v>234</v>
      </c>
      <c r="H342" s="31">
        <v>51848530</v>
      </c>
      <c r="I342" s="17"/>
    </row>
    <row r="343" spans="1:9" ht="15.75" customHeight="1" x14ac:dyDescent="0.3">
      <c r="A343" s="17" t="s">
        <v>580</v>
      </c>
      <c r="B343" s="17" t="s">
        <v>183</v>
      </c>
      <c r="C343" s="50" t="str">
        <f>VLOOKUP(B343,'Patner Store'!A$2:A$51,1,0)</f>
        <v>PS0034</v>
      </c>
      <c r="D343" s="29" t="s">
        <v>222</v>
      </c>
      <c r="E343" s="50" t="str">
        <f>VLOOKUP(D343,'Sales Team'!A$2:B$6,1,0)</f>
        <v>ST0001</v>
      </c>
      <c r="F343" s="28">
        <v>44183</v>
      </c>
      <c r="G343" s="29" t="s">
        <v>237</v>
      </c>
      <c r="H343" s="31">
        <v>338170525</v>
      </c>
      <c r="I343" s="17"/>
    </row>
    <row r="344" spans="1:9" ht="15.75" customHeight="1" x14ac:dyDescent="0.3">
      <c r="A344" s="17" t="s">
        <v>581</v>
      </c>
      <c r="B344" s="17" t="s">
        <v>160</v>
      </c>
      <c r="C344" s="50" t="str">
        <f>VLOOKUP(B344,'Patner Store'!A$2:A$51,1,0)</f>
        <v>PS0023</v>
      </c>
      <c r="D344" s="29" t="s">
        <v>227</v>
      </c>
      <c r="E344" s="50" t="str">
        <f>VLOOKUP(D344,'Sales Team'!A$2:B$6,1,0)</f>
        <v>ST0003</v>
      </c>
      <c r="F344" s="28">
        <v>44183</v>
      </c>
      <c r="G344" s="17" t="s">
        <v>234</v>
      </c>
      <c r="H344" s="31">
        <v>19031760</v>
      </c>
      <c r="I344" s="17" t="s">
        <v>260</v>
      </c>
    </row>
    <row r="345" spans="1:9" ht="15.75" customHeight="1" x14ac:dyDescent="0.3">
      <c r="A345" s="17" t="s">
        <v>582</v>
      </c>
      <c r="B345" s="17" t="s">
        <v>183</v>
      </c>
      <c r="C345" s="50" t="str">
        <f>VLOOKUP(B345,'Patner Store'!A$2:A$51,1,0)</f>
        <v>PS0034</v>
      </c>
      <c r="D345" s="29" t="s">
        <v>222</v>
      </c>
      <c r="E345" s="50" t="str">
        <f>VLOOKUP(D345,'Sales Team'!A$2:B$6,1,0)</f>
        <v>ST0001</v>
      </c>
      <c r="F345" s="28">
        <v>44186</v>
      </c>
      <c r="G345" s="17" t="s">
        <v>234</v>
      </c>
      <c r="H345" s="31">
        <v>130459540</v>
      </c>
      <c r="I345" s="17"/>
    </row>
    <row r="346" spans="1:9" ht="15.75" customHeight="1" x14ac:dyDescent="0.3">
      <c r="A346" s="17" t="s">
        <v>583</v>
      </c>
      <c r="B346" s="17" t="s">
        <v>116</v>
      </c>
      <c r="C346" s="50" t="str">
        <f>VLOOKUP(B346,'Patner Store'!A$2:A$51,1,0)</f>
        <v>PS0004</v>
      </c>
      <c r="D346" s="29" t="s">
        <v>222</v>
      </c>
      <c r="E346" s="50" t="str">
        <f>VLOOKUP(D346,'Sales Team'!A$2:B$6,1,0)</f>
        <v>ST0001</v>
      </c>
      <c r="F346" s="28">
        <v>44188</v>
      </c>
      <c r="G346" s="29" t="s">
        <v>237</v>
      </c>
      <c r="H346" s="31">
        <v>351704645</v>
      </c>
      <c r="I346" s="17"/>
    </row>
    <row r="347" spans="1:9" ht="15.75" customHeight="1" x14ac:dyDescent="0.3">
      <c r="A347" s="17" t="s">
        <v>584</v>
      </c>
      <c r="B347" s="17" t="s">
        <v>175</v>
      </c>
      <c r="C347" s="50" t="str">
        <f>VLOOKUP(B347,'Patner Store'!A$2:A$51,1,0)</f>
        <v>PS0030</v>
      </c>
      <c r="D347" s="29" t="s">
        <v>229</v>
      </c>
      <c r="E347" s="50" t="str">
        <f>VLOOKUP(D347,'Sales Team'!A$2:B$6,1,0)</f>
        <v>ST0004</v>
      </c>
      <c r="F347" s="28">
        <v>44189</v>
      </c>
      <c r="G347" s="17" t="s">
        <v>234</v>
      </c>
      <c r="H347" s="31">
        <v>78225894</v>
      </c>
      <c r="I347" s="17"/>
    </row>
    <row r="348" spans="1:9" ht="15.75" customHeight="1" x14ac:dyDescent="0.3">
      <c r="A348" s="17" t="s">
        <v>585</v>
      </c>
      <c r="B348" s="17" t="s">
        <v>146</v>
      </c>
      <c r="C348" s="50" t="str">
        <f>VLOOKUP(B348,'Patner Store'!A$2:A$51,1,0)</f>
        <v>PS0017</v>
      </c>
      <c r="D348" s="29" t="s">
        <v>222</v>
      </c>
      <c r="E348" s="50" t="str">
        <f>VLOOKUP(D348,'Sales Team'!A$2:B$6,1,0)</f>
        <v>ST0001</v>
      </c>
      <c r="F348" s="28">
        <v>44189</v>
      </c>
      <c r="G348" s="17" t="s">
        <v>234</v>
      </c>
      <c r="H348" s="31">
        <v>126553720</v>
      </c>
      <c r="I348" s="17"/>
    </row>
    <row r="349" spans="1:9" ht="15.75" customHeight="1" x14ac:dyDescent="0.3">
      <c r="A349" s="17" t="s">
        <v>586</v>
      </c>
      <c r="B349" s="17" t="s">
        <v>122</v>
      </c>
      <c r="C349" s="50" t="str">
        <f>VLOOKUP(B349,'Patner Store'!A$2:A$51,1,0)</f>
        <v>PS0006</v>
      </c>
      <c r="D349" s="29" t="s">
        <v>227</v>
      </c>
      <c r="E349" s="50" t="str">
        <f>VLOOKUP(D349,'Sales Team'!A$2:B$6,1,0)</f>
        <v>ST0003</v>
      </c>
      <c r="F349" s="28">
        <v>44190</v>
      </c>
      <c r="G349" s="17" t="s">
        <v>234</v>
      </c>
      <c r="H349" s="31">
        <v>90259860</v>
      </c>
      <c r="I349" s="17"/>
    </row>
    <row r="350" spans="1:9" ht="15.75" customHeight="1" x14ac:dyDescent="0.3">
      <c r="A350" s="17" t="s">
        <v>587</v>
      </c>
      <c r="B350" s="17" t="s">
        <v>215</v>
      </c>
      <c r="C350" s="50" t="str">
        <f>VLOOKUP(B350,'Patner Store'!A$2:A$51,1,0)</f>
        <v>PS0050</v>
      </c>
      <c r="D350" s="29" t="s">
        <v>229</v>
      </c>
      <c r="E350" s="50" t="str">
        <f>VLOOKUP(D350,'Sales Team'!A$2:B$6,1,0)</f>
        <v>ST0004</v>
      </c>
      <c r="F350" s="28">
        <v>44190</v>
      </c>
      <c r="G350" s="29" t="s">
        <v>237</v>
      </c>
      <c r="H350" s="31">
        <v>727842370</v>
      </c>
      <c r="I350" s="17" t="s">
        <v>238</v>
      </c>
    </row>
    <row r="351" spans="1:9" ht="15.75" customHeight="1" x14ac:dyDescent="0.3">
      <c r="A351" s="17" t="s">
        <v>588</v>
      </c>
      <c r="B351" s="17" t="s">
        <v>116</v>
      </c>
      <c r="C351" s="50" t="str">
        <f>VLOOKUP(B351,'Patner Store'!A$2:A$51,1,0)</f>
        <v>PS0004</v>
      </c>
      <c r="D351" s="29" t="s">
        <v>222</v>
      </c>
      <c r="E351" s="50" t="str">
        <f>VLOOKUP(D351,'Sales Team'!A$2:B$6,1,0)</f>
        <v>ST0001</v>
      </c>
      <c r="F351" s="28">
        <v>44190</v>
      </c>
      <c r="G351" s="29" t="s">
        <v>237</v>
      </c>
      <c r="H351" s="31">
        <v>471561990</v>
      </c>
      <c r="I351" s="17"/>
    </row>
    <row r="352" spans="1:9" ht="15.75" customHeight="1" x14ac:dyDescent="0.3">
      <c r="A352" s="17" t="s">
        <v>589</v>
      </c>
      <c r="B352" s="17" t="s">
        <v>175</v>
      </c>
      <c r="C352" s="50" t="str">
        <f>VLOOKUP(B352,'Patner Store'!A$2:A$51,1,0)</f>
        <v>PS0030</v>
      </c>
      <c r="D352" s="29" t="s">
        <v>229</v>
      </c>
      <c r="E352" s="50" t="str">
        <f>VLOOKUP(D352,'Sales Team'!A$2:B$6,1,0)</f>
        <v>ST0004</v>
      </c>
      <c r="F352" s="28">
        <v>44194</v>
      </c>
      <c r="G352" s="17" t="s">
        <v>234</v>
      </c>
      <c r="H352" s="31">
        <v>16017760</v>
      </c>
      <c r="I352" s="17"/>
    </row>
    <row r="353" spans="1:9" ht="15.75" customHeight="1" x14ac:dyDescent="0.3">
      <c r="A353" s="17" t="s">
        <v>590</v>
      </c>
      <c r="B353" s="17" t="s">
        <v>203</v>
      </c>
      <c r="C353" s="50" t="str">
        <f>VLOOKUP(B353,'Patner Store'!A$2:A$51,1,0)</f>
        <v>PS0044</v>
      </c>
      <c r="D353" s="29" t="s">
        <v>229</v>
      </c>
      <c r="E353" s="50" t="str">
        <f>VLOOKUP(D353,'Sales Team'!A$2:B$6,1,0)</f>
        <v>ST0004</v>
      </c>
      <c r="F353" s="28">
        <v>44194</v>
      </c>
      <c r="G353" s="17" t="s">
        <v>234</v>
      </c>
      <c r="H353" s="31">
        <v>78162480</v>
      </c>
      <c r="I353" s="17"/>
    </row>
    <row r="354" spans="1:9" ht="15.75" customHeight="1" x14ac:dyDescent="0.3">
      <c r="A354" s="17" t="s">
        <v>591</v>
      </c>
      <c r="B354" s="17" t="s">
        <v>146</v>
      </c>
      <c r="C354" s="50" t="str">
        <f>VLOOKUP(B354,'Patner Store'!A$2:A$51,1,0)</f>
        <v>PS0017</v>
      </c>
      <c r="D354" s="29" t="s">
        <v>222</v>
      </c>
      <c r="E354" s="50" t="str">
        <f>VLOOKUP(D354,'Sales Team'!A$2:B$6,1,0)</f>
        <v>ST0001</v>
      </c>
      <c r="F354" s="28">
        <v>44194</v>
      </c>
      <c r="G354" s="17" t="s">
        <v>234</v>
      </c>
      <c r="H354" s="31">
        <v>50854050</v>
      </c>
      <c r="I354" s="17"/>
    </row>
    <row r="355" spans="1:9" ht="15.75" customHeight="1" x14ac:dyDescent="0.3">
      <c r="A355" s="17" t="s">
        <v>592</v>
      </c>
      <c r="B355" s="17" t="s">
        <v>160</v>
      </c>
      <c r="C355" s="50" t="str">
        <f>VLOOKUP(B355,'Patner Store'!A$2:A$51,1,0)</f>
        <v>PS0023</v>
      </c>
      <c r="D355" s="29" t="s">
        <v>227</v>
      </c>
      <c r="E355" s="50" t="str">
        <f>VLOOKUP(D355,'Sales Team'!A$2:B$6,1,0)</f>
        <v>ST0003</v>
      </c>
      <c r="F355" s="28">
        <v>44195</v>
      </c>
      <c r="G355" s="17" t="s">
        <v>234</v>
      </c>
      <c r="H355" s="31">
        <v>123334884</v>
      </c>
      <c r="I355" s="17"/>
    </row>
    <row r="356" spans="1:9" ht="15.75" customHeight="1" x14ac:dyDescent="0.3">
      <c r="A356" s="17" t="s">
        <v>593</v>
      </c>
      <c r="B356" s="17" t="s">
        <v>141</v>
      </c>
      <c r="C356" s="50" t="str">
        <f>VLOOKUP(B356,'Patner Store'!A$2:A$51,1,0)</f>
        <v>PS0015</v>
      </c>
      <c r="D356" s="29" t="s">
        <v>229</v>
      </c>
      <c r="E356" s="50" t="str">
        <f>VLOOKUP(D356,'Sales Team'!A$2:B$6,1,0)</f>
        <v>ST0004</v>
      </c>
      <c r="F356" s="28">
        <v>44196</v>
      </c>
      <c r="G356" s="29" t="s">
        <v>237</v>
      </c>
      <c r="H356" s="31">
        <v>305587700</v>
      </c>
      <c r="I356" s="17"/>
    </row>
    <row r="357" spans="1:9" ht="15.75" customHeight="1" x14ac:dyDescent="0.3">
      <c r="A357" s="17" t="s">
        <v>594</v>
      </c>
      <c r="B357" s="17" t="s">
        <v>213</v>
      </c>
      <c r="C357" s="50" t="str">
        <f>VLOOKUP(B357,'Patner Store'!A$2:A$51,1,0)</f>
        <v>PS0049</v>
      </c>
      <c r="D357" s="29" t="s">
        <v>229</v>
      </c>
      <c r="E357" s="50" t="str">
        <f>VLOOKUP(D357,'Sales Team'!A$2:B$6,1,0)</f>
        <v>ST0004</v>
      </c>
      <c r="F357" s="28">
        <v>44197</v>
      </c>
      <c r="G357" s="17" t="s">
        <v>234</v>
      </c>
      <c r="H357" s="31">
        <v>17998200</v>
      </c>
      <c r="I357" s="17"/>
    </row>
    <row r="358" spans="1:9" ht="15.75" customHeight="1" x14ac:dyDescent="0.3">
      <c r="A358" s="17" t="s">
        <v>595</v>
      </c>
      <c r="B358" s="17" t="s">
        <v>133</v>
      </c>
      <c r="C358" s="50" t="str">
        <f>VLOOKUP(B358,'Patner Store'!A$2:A$51,1,0)</f>
        <v>PS0011</v>
      </c>
      <c r="D358" s="29" t="s">
        <v>225</v>
      </c>
      <c r="E358" s="50" t="str">
        <f>VLOOKUP(D358,'Sales Team'!A$2:B$6,1,0)</f>
        <v>ST0002</v>
      </c>
      <c r="F358" s="28">
        <v>44197</v>
      </c>
      <c r="G358" s="29" t="s">
        <v>237</v>
      </c>
      <c r="H358" s="31">
        <v>438953900</v>
      </c>
      <c r="I358" s="17"/>
    </row>
    <row r="359" spans="1:9" ht="15.75" customHeight="1" x14ac:dyDescent="0.3">
      <c r="A359" s="17" t="s">
        <v>596</v>
      </c>
      <c r="B359" s="17" t="s">
        <v>177</v>
      </c>
      <c r="C359" s="50" t="str">
        <f>VLOOKUP(B359,'Patner Store'!A$2:A$51,1,0)</f>
        <v>PS0031</v>
      </c>
      <c r="D359" s="29" t="s">
        <v>225</v>
      </c>
      <c r="E359" s="50" t="str">
        <f>VLOOKUP(D359,'Sales Team'!A$2:B$6,1,0)</f>
        <v>ST0002</v>
      </c>
      <c r="F359" s="28">
        <v>44198</v>
      </c>
      <c r="G359" s="17" t="s">
        <v>234</v>
      </c>
      <c r="H359" s="31">
        <v>28694250.000000004</v>
      </c>
      <c r="I359" s="17"/>
    </row>
    <row r="360" spans="1:9" ht="15.75" customHeight="1" x14ac:dyDescent="0.3">
      <c r="A360" s="17" t="s">
        <v>597</v>
      </c>
      <c r="B360" s="17" t="s">
        <v>109</v>
      </c>
      <c r="C360" s="50" t="str">
        <f>VLOOKUP(B360,'Patner Store'!A$2:A$51,1,0)</f>
        <v>PS0002</v>
      </c>
      <c r="D360" s="29" t="s">
        <v>225</v>
      </c>
      <c r="E360" s="50" t="str">
        <f>VLOOKUP(D360,'Sales Team'!A$2:B$6,1,0)</f>
        <v>ST0002</v>
      </c>
      <c r="F360" s="28">
        <v>44199</v>
      </c>
      <c r="G360" s="17" t="s">
        <v>234</v>
      </c>
      <c r="H360" s="31">
        <v>2171400</v>
      </c>
      <c r="I360" s="17" t="s">
        <v>253</v>
      </c>
    </row>
    <row r="361" spans="1:9" ht="15.75" customHeight="1" x14ac:dyDescent="0.3">
      <c r="A361" s="17" t="s">
        <v>598</v>
      </c>
      <c r="B361" s="17" t="s">
        <v>209</v>
      </c>
      <c r="C361" s="50" t="str">
        <f>VLOOKUP(B361,'Patner Store'!A$2:A$51,1,0)</f>
        <v>PS0047</v>
      </c>
      <c r="D361" s="29" t="s">
        <v>222</v>
      </c>
      <c r="E361" s="50" t="str">
        <f>VLOOKUP(D361,'Sales Team'!A$2:B$6,1,0)</f>
        <v>ST0001</v>
      </c>
      <c r="F361" s="28">
        <v>44200</v>
      </c>
      <c r="G361" s="17" t="s">
        <v>234</v>
      </c>
      <c r="H361" s="31">
        <v>20453175</v>
      </c>
      <c r="I361" s="17"/>
    </row>
    <row r="362" spans="1:9" ht="15.75" customHeight="1" x14ac:dyDescent="0.3">
      <c r="A362" s="17" t="s">
        <v>599</v>
      </c>
      <c r="B362" s="17" t="s">
        <v>105</v>
      </c>
      <c r="C362" s="50" t="str">
        <f>VLOOKUP(B362,'Patner Store'!A$2:A$51,1,0)</f>
        <v>PS0001</v>
      </c>
      <c r="D362" s="29" t="s">
        <v>231</v>
      </c>
      <c r="E362" s="50" t="str">
        <f>VLOOKUP(D362,'Sales Team'!A$2:B$6,1,0)</f>
        <v>ST0005</v>
      </c>
      <c r="F362" s="28">
        <v>44202</v>
      </c>
      <c r="G362" s="17" t="s">
        <v>234</v>
      </c>
      <c r="H362" s="31">
        <v>26372640</v>
      </c>
      <c r="I362" s="17"/>
    </row>
    <row r="363" spans="1:9" ht="15.75" customHeight="1" x14ac:dyDescent="0.3">
      <c r="A363" s="17" t="s">
        <v>600</v>
      </c>
      <c r="B363" s="17" t="s">
        <v>185</v>
      </c>
      <c r="C363" s="50" t="str">
        <f>VLOOKUP(B363,'Patner Store'!A$2:A$51,1,0)</f>
        <v>PS0035</v>
      </c>
      <c r="D363" s="29" t="s">
        <v>229</v>
      </c>
      <c r="E363" s="50" t="str">
        <f>VLOOKUP(D363,'Sales Team'!A$2:B$6,1,0)</f>
        <v>ST0004</v>
      </c>
      <c r="F363" s="28">
        <v>44203</v>
      </c>
      <c r="G363" s="17" t="s">
        <v>234</v>
      </c>
      <c r="H363" s="31">
        <v>245018180</v>
      </c>
      <c r="I363" s="17"/>
    </row>
    <row r="364" spans="1:9" ht="15.75" customHeight="1" x14ac:dyDescent="0.3">
      <c r="A364" s="17" t="s">
        <v>601</v>
      </c>
      <c r="B364" s="17" t="s">
        <v>173</v>
      </c>
      <c r="C364" s="50" t="str">
        <f>VLOOKUP(B364,'Patner Store'!A$2:A$51,1,0)</f>
        <v>PS0029</v>
      </c>
      <c r="D364" s="29" t="s">
        <v>229</v>
      </c>
      <c r="E364" s="50" t="str">
        <f>VLOOKUP(D364,'Sales Team'!A$2:B$6,1,0)</f>
        <v>ST0004</v>
      </c>
      <c r="F364" s="28">
        <v>44204</v>
      </c>
      <c r="G364" s="17" t="s">
        <v>234</v>
      </c>
      <c r="H364" s="31">
        <v>24468020</v>
      </c>
      <c r="I364" s="17"/>
    </row>
    <row r="365" spans="1:9" ht="15.75" customHeight="1" x14ac:dyDescent="0.3">
      <c r="A365" s="17" t="s">
        <v>602</v>
      </c>
      <c r="B365" s="17" t="s">
        <v>177</v>
      </c>
      <c r="C365" s="50" t="str">
        <f>VLOOKUP(B365,'Patner Store'!A$2:A$51,1,0)</f>
        <v>PS0031</v>
      </c>
      <c r="D365" s="29" t="s">
        <v>225</v>
      </c>
      <c r="E365" s="50" t="str">
        <f>VLOOKUP(D365,'Sales Team'!A$2:B$6,1,0)</f>
        <v>ST0002</v>
      </c>
      <c r="F365" s="28">
        <v>44205</v>
      </c>
      <c r="G365" s="29" t="s">
        <v>237</v>
      </c>
      <c r="H365" s="31">
        <v>251863150</v>
      </c>
      <c r="I365" s="17"/>
    </row>
    <row r="366" spans="1:9" ht="15.75" customHeight="1" x14ac:dyDescent="0.3">
      <c r="A366" s="17" t="s">
        <v>603</v>
      </c>
      <c r="B366" s="17" t="s">
        <v>213</v>
      </c>
      <c r="C366" s="50" t="str">
        <f>VLOOKUP(B366,'Patner Store'!A$2:A$51,1,0)</f>
        <v>PS0049</v>
      </c>
      <c r="D366" s="29" t="s">
        <v>229</v>
      </c>
      <c r="E366" s="50" t="str">
        <f>VLOOKUP(D366,'Sales Team'!A$2:B$6,1,0)</f>
        <v>ST0004</v>
      </c>
      <c r="F366" s="28">
        <v>44205</v>
      </c>
      <c r="G366" s="17" t="s">
        <v>234</v>
      </c>
      <c r="H366" s="31">
        <v>39319293</v>
      </c>
      <c r="I366" s="17"/>
    </row>
    <row r="367" spans="1:9" ht="15.75" customHeight="1" x14ac:dyDescent="0.3">
      <c r="A367" s="17" t="s">
        <v>604</v>
      </c>
      <c r="B367" s="17" t="s">
        <v>175</v>
      </c>
      <c r="C367" s="50" t="str">
        <f>VLOOKUP(B367,'Patner Store'!A$2:A$51,1,0)</f>
        <v>PS0030</v>
      </c>
      <c r="D367" s="29" t="s">
        <v>229</v>
      </c>
      <c r="E367" s="50" t="str">
        <f>VLOOKUP(D367,'Sales Team'!A$2:B$6,1,0)</f>
        <v>ST0004</v>
      </c>
      <c r="F367" s="28">
        <v>44205</v>
      </c>
      <c r="G367" s="29" t="s">
        <v>237</v>
      </c>
      <c r="H367" s="31">
        <v>272841130</v>
      </c>
      <c r="I367" s="17"/>
    </row>
    <row r="368" spans="1:9" ht="15.75" customHeight="1" x14ac:dyDescent="0.3">
      <c r="A368" s="17" t="s">
        <v>605</v>
      </c>
      <c r="B368" s="17" t="s">
        <v>173</v>
      </c>
      <c r="C368" s="50" t="str">
        <f>VLOOKUP(B368,'Patner Store'!A$2:A$51,1,0)</f>
        <v>PS0029</v>
      </c>
      <c r="D368" s="29" t="s">
        <v>229</v>
      </c>
      <c r="E368" s="50" t="str">
        <f>VLOOKUP(D368,'Sales Team'!A$2:B$6,1,0)</f>
        <v>ST0004</v>
      </c>
      <c r="F368" s="28">
        <v>44210</v>
      </c>
      <c r="G368" s="29" t="s">
        <v>237</v>
      </c>
      <c r="H368" s="31">
        <v>585726234</v>
      </c>
      <c r="I368" s="17"/>
    </row>
    <row r="369" spans="1:9" ht="15.75" customHeight="1" x14ac:dyDescent="0.3">
      <c r="A369" s="17" t="s">
        <v>606</v>
      </c>
      <c r="B369" s="17" t="s">
        <v>193</v>
      </c>
      <c r="C369" s="50" t="str">
        <f>VLOOKUP(B369,'Patner Store'!A$2:A$51,1,0)</f>
        <v>PS0039</v>
      </c>
      <c r="D369" s="29" t="s">
        <v>227</v>
      </c>
      <c r="E369" s="50" t="str">
        <f>VLOOKUP(D369,'Sales Team'!A$2:B$6,1,0)</f>
        <v>ST0003</v>
      </c>
      <c r="F369" s="28">
        <v>44210</v>
      </c>
      <c r="G369" s="17" t="s">
        <v>234</v>
      </c>
      <c r="H369" s="31">
        <v>123583210</v>
      </c>
      <c r="I369" s="17" t="s">
        <v>247</v>
      </c>
    </row>
    <row r="370" spans="1:9" ht="15.75" customHeight="1" x14ac:dyDescent="0.3">
      <c r="A370" s="17" t="s">
        <v>607</v>
      </c>
      <c r="B370" s="17" t="s">
        <v>128</v>
      </c>
      <c r="C370" s="50" t="str">
        <f>VLOOKUP(B370,'Patner Store'!A$2:A$51,1,0)</f>
        <v>PS0009</v>
      </c>
      <c r="D370" s="29" t="s">
        <v>227</v>
      </c>
      <c r="E370" s="50" t="str">
        <f>VLOOKUP(D370,'Sales Team'!A$2:B$6,1,0)</f>
        <v>ST0003</v>
      </c>
      <c r="F370" s="28">
        <v>44213</v>
      </c>
      <c r="G370" s="17" t="s">
        <v>234</v>
      </c>
      <c r="H370" s="31">
        <v>12608950</v>
      </c>
      <c r="I370" s="17" t="s">
        <v>253</v>
      </c>
    </row>
    <row r="371" spans="1:9" ht="15.75" customHeight="1" x14ac:dyDescent="0.3">
      <c r="A371" s="17" t="s">
        <v>608</v>
      </c>
      <c r="B371" s="17" t="s">
        <v>166</v>
      </c>
      <c r="C371" s="50" t="str">
        <f>VLOOKUP(B371,'Patner Store'!A$2:A$51,1,0)</f>
        <v>PS0026</v>
      </c>
      <c r="D371" s="29" t="s">
        <v>229</v>
      </c>
      <c r="E371" s="50" t="str">
        <f>VLOOKUP(D371,'Sales Team'!A$2:B$6,1,0)</f>
        <v>ST0004</v>
      </c>
      <c r="F371" s="28">
        <v>44214</v>
      </c>
      <c r="G371" s="29" t="s">
        <v>237</v>
      </c>
      <c r="H371" s="31">
        <v>344747974</v>
      </c>
      <c r="I371" s="17"/>
    </row>
    <row r="372" spans="1:9" ht="15.75" customHeight="1" x14ac:dyDescent="0.3">
      <c r="A372" s="17" t="s">
        <v>609</v>
      </c>
      <c r="B372" s="17" t="s">
        <v>124</v>
      </c>
      <c r="C372" s="50" t="str">
        <f>VLOOKUP(B372,'Patner Store'!A$2:A$51,1,0)</f>
        <v>PS0007</v>
      </c>
      <c r="D372" s="29" t="s">
        <v>222</v>
      </c>
      <c r="E372" s="50" t="str">
        <f>VLOOKUP(D372,'Sales Team'!A$2:B$6,1,0)</f>
        <v>ST0001</v>
      </c>
      <c r="F372" s="28">
        <v>44216</v>
      </c>
      <c r="G372" s="29" t="s">
        <v>237</v>
      </c>
      <c r="H372" s="31">
        <v>680117640</v>
      </c>
      <c r="I372" s="17"/>
    </row>
    <row r="373" spans="1:9" ht="15.75" customHeight="1" x14ac:dyDescent="0.3">
      <c r="A373" s="17" t="s">
        <v>610</v>
      </c>
      <c r="B373" s="17" t="s">
        <v>209</v>
      </c>
      <c r="C373" s="50" t="str">
        <f>VLOOKUP(B373,'Patner Store'!A$2:A$51,1,0)</f>
        <v>PS0047</v>
      </c>
      <c r="D373" s="29" t="s">
        <v>222</v>
      </c>
      <c r="E373" s="50" t="str">
        <f>VLOOKUP(D373,'Sales Team'!A$2:B$6,1,0)</f>
        <v>ST0001</v>
      </c>
      <c r="F373" s="28">
        <v>44217</v>
      </c>
      <c r="G373" s="29" t="s">
        <v>237</v>
      </c>
      <c r="H373" s="31">
        <v>704557790</v>
      </c>
      <c r="I373" s="17"/>
    </row>
    <row r="374" spans="1:9" ht="15.75" customHeight="1" x14ac:dyDescent="0.3">
      <c r="A374" s="17" t="s">
        <v>611</v>
      </c>
      <c r="B374" s="17" t="s">
        <v>158</v>
      </c>
      <c r="C374" s="50" t="str">
        <f>VLOOKUP(B374,'Patner Store'!A$2:A$51,1,0)</f>
        <v>PS0022</v>
      </c>
      <c r="D374" s="29" t="s">
        <v>229</v>
      </c>
      <c r="E374" s="50" t="str">
        <f>VLOOKUP(D374,'Sales Team'!A$2:B$6,1,0)</f>
        <v>ST0004</v>
      </c>
      <c r="F374" s="28">
        <v>44217</v>
      </c>
      <c r="G374" s="29" t="s">
        <v>237</v>
      </c>
      <c r="H374" s="31">
        <v>259697480</v>
      </c>
      <c r="I374" s="17"/>
    </row>
    <row r="375" spans="1:9" ht="15.75" customHeight="1" x14ac:dyDescent="0.3">
      <c r="A375" s="17" t="s">
        <v>612</v>
      </c>
      <c r="B375" s="17" t="s">
        <v>173</v>
      </c>
      <c r="C375" s="50" t="str">
        <f>VLOOKUP(B375,'Patner Store'!A$2:A$51,1,0)</f>
        <v>PS0029</v>
      </c>
      <c r="D375" s="29" t="s">
        <v>229</v>
      </c>
      <c r="E375" s="50" t="str">
        <f>VLOOKUP(D375,'Sales Team'!A$2:B$6,1,0)</f>
        <v>ST0004</v>
      </c>
      <c r="F375" s="28">
        <v>44218</v>
      </c>
      <c r="G375" s="17" t="s">
        <v>234</v>
      </c>
      <c r="H375" s="31">
        <v>45288740</v>
      </c>
      <c r="I375" s="17"/>
    </row>
    <row r="376" spans="1:9" ht="15.75" customHeight="1" x14ac:dyDescent="0.3">
      <c r="A376" s="17" t="s">
        <v>613</v>
      </c>
      <c r="B376" s="17" t="s">
        <v>141</v>
      </c>
      <c r="C376" s="50" t="str">
        <f>VLOOKUP(B376,'Patner Store'!A$2:A$51,1,0)</f>
        <v>PS0015</v>
      </c>
      <c r="D376" s="29" t="s">
        <v>229</v>
      </c>
      <c r="E376" s="50" t="str">
        <f>VLOOKUP(D376,'Sales Team'!A$2:B$6,1,0)</f>
        <v>ST0004</v>
      </c>
      <c r="F376" s="28">
        <v>44219</v>
      </c>
      <c r="G376" s="17" t="s">
        <v>234</v>
      </c>
      <c r="H376" s="31">
        <v>64783420</v>
      </c>
      <c r="I376" s="17"/>
    </row>
    <row r="377" spans="1:9" ht="15.75" customHeight="1" x14ac:dyDescent="0.3">
      <c r="A377" s="17" t="s">
        <v>614</v>
      </c>
      <c r="B377" s="17" t="s">
        <v>185</v>
      </c>
      <c r="C377" s="50" t="str">
        <f>VLOOKUP(B377,'Patner Store'!A$2:A$51,1,0)</f>
        <v>PS0035</v>
      </c>
      <c r="D377" s="29" t="s">
        <v>229</v>
      </c>
      <c r="E377" s="50" t="str">
        <f>VLOOKUP(D377,'Sales Team'!A$2:B$6,1,0)</f>
        <v>ST0004</v>
      </c>
      <c r="F377" s="28">
        <v>44219</v>
      </c>
      <c r="G377" s="29" t="s">
        <v>237</v>
      </c>
      <c r="H377" s="31">
        <v>340635520</v>
      </c>
      <c r="I377" s="17"/>
    </row>
    <row r="378" spans="1:9" ht="15.75" customHeight="1" x14ac:dyDescent="0.3">
      <c r="A378" s="17" t="s">
        <v>615</v>
      </c>
      <c r="B378" s="17" t="s">
        <v>122</v>
      </c>
      <c r="C378" s="50" t="str">
        <f>VLOOKUP(B378,'Patner Store'!A$2:A$51,1,0)</f>
        <v>PS0006</v>
      </c>
      <c r="D378" s="29" t="s">
        <v>227</v>
      </c>
      <c r="E378" s="50" t="str">
        <f>VLOOKUP(D378,'Sales Team'!A$2:B$6,1,0)</f>
        <v>ST0003</v>
      </c>
      <c r="F378" s="28">
        <v>44220</v>
      </c>
      <c r="G378" s="17" t="s">
        <v>234</v>
      </c>
      <c r="H378" s="31">
        <v>160512000</v>
      </c>
      <c r="I378" s="17"/>
    </row>
    <row r="379" spans="1:9" ht="15.75" customHeight="1" x14ac:dyDescent="0.3">
      <c r="A379" s="17" t="s">
        <v>616</v>
      </c>
      <c r="B379" s="17" t="s">
        <v>146</v>
      </c>
      <c r="C379" s="50" t="str">
        <f>VLOOKUP(B379,'Patner Store'!A$2:A$51,1,0)</f>
        <v>PS0017</v>
      </c>
      <c r="D379" s="29" t="s">
        <v>222</v>
      </c>
      <c r="E379" s="50" t="str">
        <f>VLOOKUP(D379,'Sales Team'!A$2:B$6,1,0)</f>
        <v>ST0001</v>
      </c>
      <c r="F379" s="28">
        <v>44223</v>
      </c>
      <c r="G379" s="17" t="s">
        <v>234</v>
      </c>
      <c r="H379" s="31">
        <v>18726500</v>
      </c>
      <c r="I379" s="17"/>
    </row>
    <row r="380" spans="1:9" ht="15.75" customHeight="1" x14ac:dyDescent="0.3">
      <c r="A380" s="17" t="s">
        <v>617</v>
      </c>
      <c r="B380" s="17" t="s">
        <v>166</v>
      </c>
      <c r="C380" s="50" t="str">
        <f>VLOOKUP(B380,'Patner Store'!A$2:A$51,1,0)</f>
        <v>PS0026</v>
      </c>
      <c r="D380" s="29" t="s">
        <v>229</v>
      </c>
      <c r="E380" s="50" t="str">
        <f>VLOOKUP(D380,'Sales Team'!A$2:B$6,1,0)</f>
        <v>ST0004</v>
      </c>
      <c r="F380" s="28">
        <v>44223</v>
      </c>
      <c r="G380" s="17" t="s">
        <v>234</v>
      </c>
      <c r="H380" s="31">
        <v>64936500</v>
      </c>
      <c r="I380" s="17"/>
    </row>
    <row r="381" spans="1:9" ht="15.75" customHeight="1" x14ac:dyDescent="0.3">
      <c r="A381" s="17" t="s">
        <v>618</v>
      </c>
      <c r="B381" s="17" t="s">
        <v>177</v>
      </c>
      <c r="C381" s="50" t="str">
        <f>VLOOKUP(B381,'Patner Store'!A$2:A$51,1,0)</f>
        <v>PS0031</v>
      </c>
      <c r="D381" s="29" t="s">
        <v>225</v>
      </c>
      <c r="E381" s="50" t="str">
        <f>VLOOKUP(D381,'Sales Team'!A$2:B$6,1,0)</f>
        <v>ST0002</v>
      </c>
      <c r="F381" s="28">
        <v>44223</v>
      </c>
      <c r="G381" s="17" t="s">
        <v>234</v>
      </c>
      <c r="H381" s="31">
        <v>168115240</v>
      </c>
      <c r="I381" s="17"/>
    </row>
    <row r="382" spans="1:9" ht="15.75" customHeight="1" x14ac:dyDescent="0.3">
      <c r="A382" s="17" t="s">
        <v>619</v>
      </c>
      <c r="B382" s="17" t="s">
        <v>166</v>
      </c>
      <c r="C382" s="50" t="str">
        <f>VLOOKUP(B382,'Patner Store'!A$2:A$51,1,0)</f>
        <v>PS0026</v>
      </c>
      <c r="D382" s="29" t="s">
        <v>229</v>
      </c>
      <c r="E382" s="50" t="str">
        <f>VLOOKUP(D382,'Sales Team'!A$2:B$6,1,0)</f>
        <v>ST0004</v>
      </c>
      <c r="F382" s="28">
        <v>44224</v>
      </c>
      <c r="G382" s="29" t="s">
        <v>237</v>
      </c>
      <c r="H382" s="31">
        <v>580474400</v>
      </c>
      <c r="I382" s="17"/>
    </row>
    <row r="383" spans="1:9" ht="15.75" customHeight="1" x14ac:dyDescent="0.3">
      <c r="A383" s="17" t="s">
        <v>620</v>
      </c>
      <c r="B383" s="17" t="s">
        <v>205</v>
      </c>
      <c r="C383" s="50" t="str">
        <f>VLOOKUP(B383,'Patner Store'!A$2:A$51,1,0)</f>
        <v>PS0045</v>
      </c>
      <c r="D383" s="29" t="s">
        <v>231</v>
      </c>
      <c r="E383" s="50" t="str">
        <f>VLOOKUP(D383,'Sales Team'!A$2:B$6,1,0)</f>
        <v>ST0005</v>
      </c>
      <c r="F383" s="28">
        <v>44224</v>
      </c>
      <c r="G383" s="17" t="s">
        <v>234</v>
      </c>
      <c r="H383" s="31">
        <v>60787636</v>
      </c>
      <c r="I383" s="17"/>
    </row>
    <row r="384" spans="1:9" ht="15.75" customHeight="1" x14ac:dyDescent="0.3">
      <c r="A384" s="17" t="s">
        <v>621</v>
      </c>
      <c r="B384" s="17" t="s">
        <v>193</v>
      </c>
      <c r="C384" s="50" t="str">
        <f>VLOOKUP(B384,'Patner Store'!A$2:A$51,1,0)</f>
        <v>PS0039</v>
      </c>
      <c r="D384" s="29" t="s">
        <v>227</v>
      </c>
      <c r="E384" s="50" t="str">
        <f>VLOOKUP(D384,'Sales Team'!A$2:B$6,1,0)</f>
        <v>ST0003</v>
      </c>
      <c r="F384" s="28">
        <v>44226</v>
      </c>
      <c r="G384" s="17" t="s">
        <v>234</v>
      </c>
      <c r="H384" s="31">
        <v>80981360</v>
      </c>
      <c r="I384" s="17"/>
    </row>
    <row r="385" spans="1:9" ht="15.75" customHeight="1" x14ac:dyDescent="0.3">
      <c r="A385" s="17" t="s">
        <v>622</v>
      </c>
      <c r="B385" s="17" t="s">
        <v>144</v>
      </c>
      <c r="C385" s="50" t="str">
        <f>VLOOKUP(B385,'Patner Store'!A$2:A$51,1,0)</f>
        <v>PS0016</v>
      </c>
      <c r="D385" s="29" t="s">
        <v>227</v>
      </c>
      <c r="E385" s="50" t="str">
        <f>VLOOKUP(D385,'Sales Team'!A$2:B$6,1,0)</f>
        <v>ST0003</v>
      </c>
      <c r="F385" s="28">
        <v>44227</v>
      </c>
      <c r="G385" s="29" t="s">
        <v>237</v>
      </c>
      <c r="H385" s="31">
        <v>342486990</v>
      </c>
      <c r="I385" s="17"/>
    </row>
    <row r="386" spans="1:9" ht="15.75" customHeight="1" x14ac:dyDescent="0.3">
      <c r="A386" s="17" t="s">
        <v>623</v>
      </c>
      <c r="B386" s="17" t="s">
        <v>119</v>
      </c>
      <c r="C386" s="50" t="str">
        <f>VLOOKUP(B386,'Patner Store'!A$2:A$51,1,0)</f>
        <v>PS0005</v>
      </c>
      <c r="D386" s="29" t="s">
        <v>229</v>
      </c>
      <c r="E386" s="50" t="str">
        <f>VLOOKUP(D386,'Sales Team'!A$2:B$6,1,0)</f>
        <v>ST0004</v>
      </c>
      <c r="F386" s="28">
        <v>44228</v>
      </c>
      <c r="G386" s="17" t="s">
        <v>234</v>
      </c>
      <c r="H386" s="31">
        <v>918000</v>
      </c>
      <c r="I386" s="17"/>
    </row>
    <row r="387" spans="1:9" ht="15.75" customHeight="1" x14ac:dyDescent="0.3">
      <c r="A387" s="17" t="s">
        <v>624</v>
      </c>
      <c r="B387" s="17" t="s">
        <v>201</v>
      </c>
      <c r="C387" s="50" t="str">
        <f>VLOOKUP(B387,'Patner Store'!A$2:A$51,1,0)</f>
        <v>PS0043</v>
      </c>
      <c r="D387" s="29" t="s">
        <v>229</v>
      </c>
      <c r="E387" s="50" t="str">
        <f>VLOOKUP(D387,'Sales Team'!A$2:B$6,1,0)</f>
        <v>ST0004</v>
      </c>
      <c r="F387" s="28">
        <v>44229</v>
      </c>
      <c r="G387" s="17" t="s">
        <v>234</v>
      </c>
      <c r="H387" s="31">
        <v>231752710</v>
      </c>
      <c r="I387" s="17"/>
    </row>
    <row r="388" spans="1:9" ht="15.75" customHeight="1" x14ac:dyDescent="0.3">
      <c r="A388" s="17" t="s">
        <v>625</v>
      </c>
      <c r="B388" s="17" t="s">
        <v>181</v>
      </c>
      <c r="C388" s="50" t="str">
        <f>VLOOKUP(B388,'Patner Store'!A$2:A$51,1,0)</f>
        <v>PS0033</v>
      </c>
      <c r="D388" s="29" t="s">
        <v>231</v>
      </c>
      <c r="E388" s="50" t="str">
        <f>VLOOKUP(D388,'Sales Team'!A$2:B$6,1,0)</f>
        <v>ST0005</v>
      </c>
      <c r="F388" s="28">
        <v>44230</v>
      </c>
      <c r="G388" s="29" t="s">
        <v>237</v>
      </c>
      <c r="H388" s="31">
        <v>371539773</v>
      </c>
      <c r="I388" s="17"/>
    </row>
    <row r="389" spans="1:9" ht="15.75" customHeight="1" x14ac:dyDescent="0.3">
      <c r="A389" s="17" t="s">
        <v>626</v>
      </c>
      <c r="B389" s="17" t="s">
        <v>133</v>
      </c>
      <c r="C389" s="50" t="str">
        <f>VLOOKUP(B389,'Patner Store'!A$2:A$51,1,0)</f>
        <v>PS0011</v>
      </c>
      <c r="D389" s="29" t="s">
        <v>225</v>
      </c>
      <c r="E389" s="50" t="str">
        <f>VLOOKUP(D389,'Sales Team'!A$2:B$6,1,0)</f>
        <v>ST0002</v>
      </c>
      <c r="F389" s="28">
        <v>44231</v>
      </c>
      <c r="G389" s="17" t="s">
        <v>234</v>
      </c>
      <c r="H389" s="31">
        <v>70678250</v>
      </c>
      <c r="I389" s="17"/>
    </row>
    <row r="390" spans="1:9" ht="15.75" customHeight="1" x14ac:dyDescent="0.3">
      <c r="A390" s="17" t="s">
        <v>627</v>
      </c>
      <c r="B390" s="17" t="s">
        <v>187</v>
      </c>
      <c r="C390" s="50" t="str">
        <f>VLOOKUP(B390,'Patner Store'!A$2:A$51,1,0)</f>
        <v>PS0036</v>
      </c>
      <c r="D390" s="29" t="s">
        <v>231</v>
      </c>
      <c r="E390" s="50" t="str">
        <f>VLOOKUP(D390,'Sales Team'!A$2:B$6,1,0)</f>
        <v>ST0005</v>
      </c>
      <c r="F390" s="28">
        <v>44231</v>
      </c>
      <c r="G390" s="17" t="s">
        <v>234</v>
      </c>
      <c r="H390" s="31">
        <v>170414160</v>
      </c>
      <c r="I390" s="17" t="s">
        <v>247</v>
      </c>
    </row>
    <row r="391" spans="1:9" ht="15.75" customHeight="1" x14ac:dyDescent="0.3">
      <c r="A391" s="17" t="s">
        <v>628</v>
      </c>
      <c r="B391" s="17" t="s">
        <v>215</v>
      </c>
      <c r="C391" s="50" t="str">
        <f>VLOOKUP(B391,'Patner Store'!A$2:A$51,1,0)</f>
        <v>PS0050</v>
      </c>
      <c r="D391" s="29" t="s">
        <v>229</v>
      </c>
      <c r="E391" s="50" t="str">
        <f>VLOOKUP(D391,'Sales Team'!A$2:B$6,1,0)</f>
        <v>ST0004</v>
      </c>
      <c r="F391" s="28">
        <v>44231</v>
      </c>
      <c r="G391" s="29" t="s">
        <v>237</v>
      </c>
      <c r="H391" s="31">
        <v>557271300</v>
      </c>
      <c r="I391" s="17" t="s">
        <v>247</v>
      </c>
    </row>
    <row r="392" spans="1:9" ht="15.75" customHeight="1" x14ac:dyDescent="0.3">
      <c r="A392" s="17" t="s">
        <v>629</v>
      </c>
      <c r="B392" s="17" t="s">
        <v>175</v>
      </c>
      <c r="C392" s="50" t="str">
        <f>VLOOKUP(B392,'Patner Store'!A$2:A$51,1,0)</f>
        <v>PS0030</v>
      </c>
      <c r="D392" s="29" t="s">
        <v>229</v>
      </c>
      <c r="E392" s="50" t="str">
        <f>VLOOKUP(D392,'Sales Team'!A$2:B$6,1,0)</f>
        <v>ST0004</v>
      </c>
      <c r="F392" s="28">
        <v>44231</v>
      </c>
      <c r="G392" s="29" t="s">
        <v>237</v>
      </c>
      <c r="H392" s="31">
        <v>1281327240</v>
      </c>
      <c r="I392" s="17" t="s">
        <v>238</v>
      </c>
    </row>
    <row r="393" spans="1:9" ht="15.75" customHeight="1" x14ac:dyDescent="0.3">
      <c r="A393" s="17" t="s">
        <v>630</v>
      </c>
      <c r="B393" s="17" t="s">
        <v>193</v>
      </c>
      <c r="C393" s="50" t="str">
        <f>VLOOKUP(B393,'Patner Store'!A$2:A$51,1,0)</f>
        <v>PS0039</v>
      </c>
      <c r="D393" s="29" t="s">
        <v>227</v>
      </c>
      <c r="E393" s="50" t="str">
        <f>VLOOKUP(D393,'Sales Team'!A$2:B$6,1,0)</f>
        <v>ST0003</v>
      </c>
      <c r="F393" s="28">
        <v>44233</v>
      </c>
      <c r="G393" s="29" t="s">
        <v>237</v>
      </c>
      <c r="H393" s="31">
        <v>427491780</v>
      </c>
      <c r="I393" s="17"/>
    </row>
    <row r="394" spans="1:9" ht="15.75" customHeight="1" x14ac:dyDescent="0.3">
      <c r="A394" s="17" t="s">
        <v>631</v>
      </c>
      <c r="B394" s="17" t="s">
        <v>175</v>
      </c>
      <c r="C394" s="50" t="str">
        <f>VLOOKUP(B394,'Patner Store'!A$2:A$51,1,0)</f>
        <v>PS0030</v>
      </c>
      <c r="D394" s="29" t="s">
        <v>229</v>
      </c>
      <c r="E394" s="50" t="str">
        <f>VLOOKUP(D394,'Sales Team'!A$2:B$6,1,0)</f>
        <v>ST0004</v>
      </c>
      <c r="F394" s="28">
        <v>44234</v>
      </c>
      <c r="G394" s="29" t="s">
        <v>237</v>
      </c>
      <c r="H394" s="31">
        <v>708007640</v>
      </c>
      <c r="I394" s="17"/>
    </row>
    <row r="395" spans="1:9" ht="15.75" customHeight="1" x14ac:dyDescent="0.3">
      <c r="A395" s="17" t="s">
        <v>632</v>
      </c>
      <c r="B395" s="17" t="s">
        <v>191</v>
      </c>
      <c r="C395" s="50" t="str">
        <f>VLOOKUP(B395,'Patner Store'!A$2:A$51,1,0)</f>
        <v>PS0038</v>
      </c>
      <c r="D395" s="29" t="s">
        <v>229</v>
      </c>
      <c r="E395" s="50" t="str">
        <f>VLOOKUP(D395,'Sales Team'!A$2:B$6,1,0)</f>
        <v>ST0004</v>
      </c>
      <c r="F395" s="28">
        <v>44237</v>
      </c>
      <c r="G395" s="29" t="s">
        <v>237</v>
      </c>
      <c r="H395" s="31">
        <v>585726390</v>
      </c>
      <c r="I395" s="17"/>
    </row>
    <row r="396" spans="1:9" ht="15.75" customHeight="1" x14ac:dyDescent="0.3">
      <c r="A396" s="17" t="s">
        <v>633</v>
      </c>
      <c r="B396" s="17" t="s">
        <v>181</v>
      </c>
      <c r="C396" s="50" t="str">
        <f>VLOOKUP(B396,'Patner Store'!A$2:A$51,1,0)</f>
        <v>PS0033</v>
      </c>
      <c r="D396" s="29" t="s">
        <v>231</v>
      </c>
      <c r="E396" s="50" t="str">
        <f>VLOOKUP(D396,'Sales Team'!A$2:B$6,1,0)</f>
        <v>ST0005</v>
      </c>
      <c r="F396" s="28">
        <v>44237</v>
      </c>
      <c r="G396" s="17" t="s">
        <v>234</v>
      </c>
      <c r="H396" s="31">
        <v>114121450</v>
      </c>
      <c r="I396" s="17"/>
    </row>
    <row r="397" spans="1:9" ht="15.75" customHeight="1" x14ac:dyDescent="0.3">
      <c r="A397" s="17" t="s">
        <v>634</v>
      </c>
      <c r="B397" s="17" t="s">
        <v>164</v>
      </c>
      <c r="C397" s="50" t="str">
        <f>VLOOKUP(B397,'Patner Store'!A$2:A$51,1,0)</f>
        <v>PS0025</v>
      </c>
      <c r="D397" s="29" t="s">
        <v>227</v>
      </c>
      <c r="E397" s="50" t="str">
        <f>VLOOKUP(D397,'Sales Team'!A$2:B$6,1,0)</f>
        <v>ST0003</v>
      </c>
      <c r="F397" s="28">
        <v>44238</v>
      </c>
      <c r="G397" s="29" t="s">
        <v>237</v>
      </c>
      <c r="H397" s="31">
        <v>463175280</v>
      </c>
      <c r="I397" s="17"/>
    </row>
    <row r="398" spans="1:9" ht="15.75" customHeight="1" x14ac:dyDescent="0.3">
      <c r="A398" s="17" t="s">
        <v>635</v>
      </c>
      <c r="B398" s="17" t="s">
        <v>144</v>
      </c>
      <c r="C398" s="50" t="str">
        <f>VLOOKUP(B398,'Patner Store'!A$2:A$51,1,0)</f>
        <v>PS0016</v>
      </c>
      <c r="D398" s="29" t="s">
        <v>227</v>
      </c>
      <c r="E398" s="50" t="str">
        <f>VLOOKUP(D398,'Sales Team'!A$2:B$6,1,0)</f>
        <v>ST0003</v>
      </c>
      <c r="F398" s="28">
        <v>44239</v>
      </c>
      <c r="G398" s="17" t="s">
        <v>234</v>
      </c>
      <c r="H398" s="31">
        <v>210861000</v>
      </c>
      <c r="I398" s="17"/>
    </row>
    <row r="399" spans="1:9" ht="15.75" customHeight="1" x14ac:dyDescent="0.3">
      <c r="A399" s="17" t="s">
        <v>636</v>
      </c>
      <c r="B399" s="17" t="s">
        <v>185</v>
      </c>
      <c r="C399" s="50" t="str">
        <f>VLOOKUP(B399,'Patner Store'!A$2:A$51,1,0)</f>
        <v>PS0035</v>
      </c>
      <c r="D399" s="29" t="s">
        <v>229</v>
      </c>
      <c r="E399" s="50" t="str">
        <f>VLOOKUP(D399,'Sales Team'!A$2:B$6,1,0)</f>
        <v>ST0004</v>
      </c>
      <c r="F399" s="28">
        <v>44239</v>
      </c>
      <c r="G399" s="17" t="s">
        <v>234</v>
      </c>
      <c r="H399" s="31">
        <v>163028860</v>
      </c>
      <c r="I399" s="17"/>
    </row>
    <row r="400" spans="1:9" ht="15.75" customHeight="1" x14ac:dyDescent="0.3">
      <c r="A400" s="17" t="s">
        <v>637</v>
      </c>
      <c r="B400" s="17" t="s">
        <v>205</v>
      </c>
      <c r="C400" s="50" t="str">
        <f>VLOOKUP(B400,'Patner Store'!A$2:A$51,1,0)</f>
        <v>PS0045</v>
      </c>
      <c r="D400" s="29" t="s">
        <v>231</v>
      </c>
      <c r="E400" s="50" t="str">
        <f>VLOOKUP(D400,'Sales Team'!A$2:B$6,1,0)</f>
        <v>ST0005</v>
      </c>
      <c r="F400" s="28">
        <v>44239</v>
      </c>
      <c r="G400" s="17" t="s">
        <v>234</v>
      </c>
      <c r="H400" s="31">
        <v>235085970</v>
      </c>
      <c r="I400" s="17"/>
    </row>
    <row r="401" spans="1:9" ht="15.75" customHeight="1" x14ac:dyDescent="0.3">
      <c r="A401" s="17" t="s">
        <v>638</v>
      </c>
      <c r="B401" s="17" t="s">
        <v>116</v>
      </c>
      <c r="C401" s="50" t="str">
        <f>VLOOKUP(B401,'Patner Store'!A$2:A$51,1,0)</f>
        <v>PS0004</v>
      </c>
      <c r="D401" s="29" t="s">
        <v>222</v>
      </c>
      <c r="E401" s="50" t="str">
        <f>VLOOKUP(D401,'Sales Team'!A$2:B$6,1,0)</f>
        <v>ST0001</v>
      </c>
      <c r="F401" s="28">
        <v>44240</v>
      </c>
      <c r="G401" s="17" t="s">
        <v>234</v>
      </c>
      <c r="H401" s="31">
        <v>217839910</v>
      </c>
      <c r="I401" s="17" t="s">
        <v>260</v>
      </c>
    </row>
    <row r="402" spans="1:9" ht="15.75" customHeight="1" x14ac:dyDescent="0.3">
      <c r="A402" s="17" t="s">
        <v>639</v>
      </c>
      <c r="B402" s="17" t="s">
        <v>141</v>
      </c>
      <c r="C402" s="50" t="str">
        <f>VLOOKUP(B402,'Patner Store'!A$2:A$51,1,0)</f>
        <v>PS0015</v>
      </c>
      <c r="D402" s="29" t="s">
        <v>229</v>
      </c>
      <c r="E402" s="50" t="str">
        <f>VLOOKUP(D402,'Sales Team'!A$2:B$6,1,0)</f>
        <v>ST0004</v>
      </c>
      <c r="F402" s="28">
        <v>44242</v>
      </c>
      <c r="G402" s="17" t="s">
        <v>234</v>
      </c>
      <c r="H402" s="31">
        <v>61318900</v>
      </c>
      <c r="I402" s="17"/>
    </row>
    <row r="403" spans="1:9" ht="15.75" customHeight="1" x14ac:dyDescent="0.3">
      <c r="A403" s="17" t="s">
        <v>640</v>
      </c>
      <c r="B403" s="17" t="s">
        <v>148</v>
      </c>
      <c r="C403" s="50" t="str">
        <f>VLOOKUP(B403,'Patner Store'!A$2:A$51,1,0)</f>
        <v>PS0018</v>
      </c>
      <c r="D403" s="29" t="s">
        <v>225</v>
      </c>
      <c r="E403" s="50" t="str">
        <f>VLOOKUP(D403,'Sales Team'!A$2:B$6,1,0)</f>
        <v>ST0002</v>
      </c>
      <c r="F403" s="28">
        <v>44243</v>
      </c>
      <c r="G403" s="17" t="s">
        <v>234</v>
      </c>
      <c r="H403" s="31">
        <v>35954650</v>
      </c>
      <c r="I403" s="17"/>
    </row>
    <row r="404" spans="1:9" ht="15.75" customHeight="1" x14ac:dyDescent="0.3">
      <c r="A404" s="17" t="s">
        <v>641</v>
      </c>
      <c r="B404" s="17" t="s">
        <v>144</v>
      </c>
      <c r="C404" s="50" t="str">
        <f>VLOOKUP(B404,'Patner Store'!A$2:A$51,1,0)</f>
        <v>PS0016</v>
      </c>
      <c r="D404" s="29" t="s">
        <v>227</v>
      </c>
      <c r="E404" s="50" t="str">
        <f>VLOOKUP(D404,'Sales Team'!A$2:B$6,1,0)</f>
        <v>ST0003</v>
      </c>
      <c r="F404" s="28">
        <v>44243</v>
      </c>
      <c r="G404" s="29" t="s">
        <v>237</v>
      </c>
      <c r="H404" s="31">
        <v>423820090</v>
      </c>
      <c r="I404" s="17"/>
    </row>
    <row r="405" spans="1:9" ht="15.75" customHeight="1" x14ac:dyDescent="0.3">
      <c r="A405" s="17" t="s">
        <v>642</v>
      </c>
      <c r="B405" s="17" t="s">
        <v>179</v>
      </c>
      <c r="C405" s="50" t="str">
        <f>VLOOKUP(B405,'Patner Store'!A$2:A$51,1,0)</f>
        <v>PS0032</v>
      </c>
      <c r="D405" s="29" t="s">
        <v>229</v>
      </c>
      <c r="E405" s="50" t="str">
        <f>VLOOKUP(D405,'Sales Team'!A$2:B$6,1,0)</f>
        <v>ST0004</v>
      </c>
      <c r="F405" s="28">
        <v>44243</v>
      </c>
      <c r="G405" s="29" t="s">
        <v>237</v>
      </c>
      <c r="H405" s="31">
        <v>320629620</v>
      </c>
      <c r="I405" s="17"/>
    </row>
    <row r="406" spans="1:9" ht="15.75" customHeight="1" x14ac:dyDescent="0.3">
      <c r="A406" s="17" t="s">
        <v>643</v>
      </c>
      <c r="B406" s="17" t="s">
        <v>141</v>
      </c>
      <c r="C406" s="50" t="str">
        <f>VLOOKUP(B406,'Patner Store'!A$2:A$51,1,0)</f>
        <v>PS0015</v>
      </c>
      <c r="D406" s="29" t="s">
        <v>229</v>
      </c>
      <c r="E406" s="50" t="str">
        <f>VLOOKUP(D406,'Sales Team'!A$2:B$6,1,0)</f>
        <v>ST0004</v>
      </c>
      <c r="F406" s="28">
        <v>44244</v>
      </c>
      <c r="G406" s="17" t="s">
        <v>234</v>
      </c>
      <c r="H406" s="31">
        <v>155801100</v>
      </c>
      <c r="I406" s="17"/>
    </row>
    <row r="407" spans="1:9" ht="15.75" customHeight="1" x14ac:dyDescent="0.3">
      <c r="A407" s="17" t="s">
        <v>644</v>
      </c>
      <c r="B407" s="17" t="s">
        <v>197</v>
      </c>
      <c r="C407" s="50" t="str">
        <f>VLOOKUP(B407,'Patner Store'!A$2:A$51,1,0)</f>
        <v>PS0041</v>
      </c>
      <c r="D407" s="29" t="s">
        <v>222</v>
      </c>
      <c r="E407" s="50" t="str">
        <f>VLOOKUP(D407,'Sales Team'!A$2:B$6,1,0)</f>
        <v>ST0001</v>
      </c>
      <c r="F407" s="28">
        <v>44245</v>
      </c>
      <c r="G407" s="29" t="s">
        <v>237</v>
      </c>
      <c r="H407" s="31">
        <v>1136080590</v>
      </c>
      <c r="I407" s="17" t="s">
        <v>238</v>
      </c>
    </row>
    <row r="408" spans="1:9" ht="15.75" customHeight="1" x14ac:dyDescent="0.3">
      <c r="A408" s="17" t="s">
        <v>645</v>
      </c>
      <c r="B408" s="17" t="s">
        <v>122</v>
      </c>
      <c r="C408" s="50" t="str">
        <f>VLOOKUP(B408,'Patner Store'!A$2:A$51,1,0)</f>
        <v>PS0006</v>
      </c>
      <c r="D408" s="29" t="s">
        <v>227</v>
      </c>
      <c r="E408" s="50" t="str">
        <f>VLOOKUP(D408,'Sales Team'!A$2:B$6,1,0)</f>
        <v>ST0003</v>
      </c>
      <c r="F408" s="28">
        <v>44245</v>
      </c>
      <c r="G408" s="17" t="s">
        <v>234</v>
      </c>
      <c r="H408" s="31">
        <v>205659580</v>
      </c>
      <c r="I408" s="17"/>
    </row>
    <row r="409" spans="1:9" ht="15.75" customHeight="1" x14ac:dyDescent="0.3">
      <c r="A409" s="17" t="s">
        <v>646</v>
      </c>
      <c r="B409" s="17" t="s">
        <v>166</v>
      </c>
      <c r="C409" s="50" t="str">
        <f>VLOOKUP(B409,'Patner Store'!A$2:A$51,1,0)</f>
        <v>PS0026</v>
      </c>
      <c r="D409" s="29" t="s">
        <v>229</v>
      </c>
      <c r="E409" s="50" t="str">
        <f>VLOOKUP(D409,'Sales Team'!A$2:B$6,1,0)</f>
        <v>ST0004</v>
      </c>
      <c r="F409" s="28">
        <v>44247</v>
      </c>
      <c r="G409" s="17" t="s">
        <v>234</v>
      </c>
      <c r="H409" s="31">
        <v>41297860</v>
      </c>
      <c r="I409" s="17" t="s">
        <v>247</v>
      </c>
    </row>
    <row r="410" spans="1:9" ht="15.75" customHeight="1" x14ac:dyDescent="0.3">
      <c r="A410" s="17" t="s">
        <v>647</v>
      </c>
      <c r="B410" s="17" t="s">
        <v>197</v>
      </c>
      <c r="C410" s="50" t="str">
        <f>VLOOKUP(B410,'Patner Store'!A$2:A$51,1,0)</f>
        <v>PS0041</v>
      </c>
      <c r="D410" s="29" t="s">
        <v>222</v>
      </c>
      <c r="E410" s="50" t="str">
        <f>VLOOKUP(D410,'Sales Team'!A$2:B$6,1,0)</f>
        <v>ST0001</v>
      </c>
      <c r="F410" s="28">
        <v>44248</v>
      </c>
      <c r="G410" s="17" t="s">
        <v>234</v>
      </c>
      <c r="H410" s="31">
        <v>24031000</v>
      </c>
      <c r="I410" s="17"/>
    </row>
    <row r="411" spans="1:9" ht="15.75" customHeight="1" x14ac:dyDescent="0.3">
      <c r="A411" s="17" t="s">
        <v>648</v>
      </c>
      <c r="B411" s="17" t="s">
        <v>158</v>
      </c>
      <c r="C411" s="50" t="str">
        <f>VLOOKUP(B411,'Patner Store'!A$2:A$51,1,0)</f>
        <v>PS0022</v>
      </c>
      <c r="D411" s="29" t="s">
        <v>229</v>
      </c>
      <c r="E411" s="50" t="str">
        <f>VLOOKUP(D411,'Sales Team'!A$2:B$6,1,0)</f>
        <v>ST0004</v>
      </c>
      <c r="F411" s="28">
        <v>44248</v>
      </c>
      <c r="G411" s="29" t="s">
        <v>237</v>
      </c>
      <c r="H411" s="31">
        <v>748380810</v>
      </c>
      <c r="I411" s="17" t="s">
        <v>238</v>
      </c>
    </row>
    <row r="412" spans="1:9" ht="15.75" customHeight="1" x14ac:dyDescent="0.3">
      <c r="A412" s="17" t="s">
        <v>649</v>
      </c>
      <c r="B412" s="17" t="s">
        <v>175</v>
      </c>
      <c r="C412" s="50" t="str">
        <f>VLOOKUP(B412,'Patner Store'!A$2:A$51,1,0)</f>
        <v>PS0030</v>
      </c>
      <c r="D412" s="29" t="s">
        <v>229</v>
      </c>
      <c r="E412" s="50" t="str">
        <f>VLOOKUP(D412,'Sales Team'!A$2:B$6,1,0)</f>
        <v>ST0004</v>
      </c>
      <c r="F412" s="28">
        <v>44248</v>
      </c>
      <c r="G412" s="17" t="s">
        <v>234</v>
      </c>
      <c r="H412" s="31">
        <v>81765000</v>
      </c>
      <c r="I412" s="17" t="s">
        <v>253</v>
      </c>
    </row>
    <row r="413" spans="1:9" ht="15.75" customHeight="1" x14ac:dyDescent="0.3">
      <c r="A413" s="17" t="s">
        <v>650</v>
      </c>
      <c r="B413" s="17" t="s">
        <v>185</v>
      </c>
      <c r="C413" s="50" t="str">
        <f>VLOOKUP(B413,'Patner Store'!A$2:A$51,1,0)</f>
        <v>PS0035</v>
      </c>
      <c r="D413" s="29" t="s">
        <v>229</v>
      </c>
      <c r="E413" s="50" t="str">
        <f>VLOOKUP(D413,'Sales Team'!A$2:B$6,1,0)</f>
        <v>ST0004</v>
      </c>
      <c r="F413" s="28">
        <v>44249</v>
      </c>
      <c r="G413" s="17" t="s">
        <v>234</v>
      </c>
      <c r="H413" s="31">
        <v>237082300</v>
      </c>
      <c r="I413" s="17"/>
    </row>
    <row r="414" spans="1:9" ht="15.75" customHeight="1" x14ac:dyDescent="0.3">
      <c r="A414" s="17" t="s">
        <v>651</v>
      </c>
      <c r="B414" s="17" t="s">
        <v>179</v>
      </c>
      <c r="C414" s="50" t="str">
        <f>VLOOKUP(B414,'Patner Store'!A$2:A$51,1,0)</f>
        <v>PS0032</v>
      </c>
      <c r="D414" s="29" t="s">
        <v>229</v>
      </c>
      <c r="E414" s="50" t="str">
        <f>VLOOKUP(D414,'Sales Team'!A$2:B$6,1,0)</f>
        <v>ST0004</v>
      </c>
      <c r="F414" s="28">
        <v>44250</v>
      </c>
      <c r="G414" s="29" t="s">
        <v>237</v>
      </c>
      <c r="H414" s="31">
        <v>343106270</v>
      </c>
      <c r="I414" s="17"/>
    </row>
    <row r="415" spans="1:9" ht="15.75" customHeight="1" x14ac:dyDescent="0.3">
      <c r="A415" s="17" t="s">
        <v>652</v>
      </c>
      <c r="B415" s="17" t="s">
        <v>173</v>
      </c>
      <c r="C415" s="50" t="str">
        <f>VLOOKUP(B415,'Patner Store'!A$2:A$51,1,0)</f>
        <v>PS0029</v>
      </c>
      <c r="D415" s="29" t="s">
        <v>229</v>
      </c>
      <c r="E415" s="50" t="str">
        <f>VLOOKUP(D415,'Sales Team'!A$2:B$6,1,0)</f>
        <v>ST0004</v>
      </c>
      <c r="F415" s="28">
        <v>44251</v>
      </c>
      <c r="G415" s="17" t="s">
        <v>234</v>
      </c>
      <c r="H415" s="31">
        <v>248503180.00000003</v>
      </c>
      <c r="I415" s="17"/>
    </row>
    <row r="416" spans="1:9" ht="15.75" customHeight="1" x14ac:dyDescent="0.3">
      <c r="A416" s="17" t="s">
        <v>653</v>
      </c>
      <c r="B416" s="17" t="s">
        <v>197</v>
      </c>
      <c r="C416" s="50" t="str">
        <f>VLOOKUP(B416,'Patner Store'!A$2:A$51,1,0)</f>
        <v>PS0041</v>
      </c>
      <c r="D416" s="29" t="s">
        <v>222</v>
      </c>
      <c r="E416" s="50" t="str">
        <f>VLOOKUP(D416,'Sales Team'!A$2:B$6,1,0)</f>
        <v>ST0001</v>
      </c>
      <c r="F416" s="28">
        <v>44252</v>
      </c>
      <c r="G416" s="29" t="s">
        <v>237</v>
      </c>
      <c r="H416" s="31">
        <v>796416552</v>
      </c>
      <c r="I416" s="17"/>
    </row>
    <row r="417" spans="1:9" ht="15.75" customHeight="1" x14ac:dyDescent="0.3">
      <c r="A417" s="17" t="s">
        <v>654</v>
      </c>
      <c r="B417" s="17" t="s">
        <v>203</v>
      </c>
      <c r="C417" s="50" t="str">
        <f>VLOOKUP(B417,'Patner Store'!A$2:A$51,1,0)</f>
        <v>PS0044</v>
      </c>
      <c r="D417" s="29" t="s">
        <v>229</v>
      </c>
      <c r="E417" s="50" t="str">
        <f>VLOOKUP(D417,'Sales Team'!A$2:B$6,1,0)</f>
        <v>ST0004</v>
      </c>
      <c r="F417" s="28">
        <v>44254</v>
      </c>
      <c r="G417" s="17" t="s">
        <v>234</v>
      </c>
      <c r="H417" s="31">
        <v>141857450</v>
      </c>
      <c r="I417" s="17" t="s">
        <v>260</v>
      </c>
    </row>
    <row r="418" spans="1:9" ht="15.75" customHeight="1" x14ac:dyDescent="0.3">
      <c r="A418" s="17" t="s">
        <v>655</v>
      </c>
      <c r="B418" s="17" t="s">
        <v>139</v>
      </c>
      <c r="C418" s="50" t="str">
        <f>VLOOKUP(B418,'Patner Store'!A$2:A$51,1,0)</f>
        <v>PS0014</v>
      </c>
      <c r="D418" s="29" t="s">
        <v>227</v>
      </c>
      <c r="E418" s="50" t="str">
        <f>VLOOKUP(D418,'Sales Team'!A$2:B$6,1,0)</f>
        <v>ST0003</v>
      </c>
      <c r="F418" s="28">
        <v>44256</v>
      </c>
      <c r="G418" s="29" t="s">
        <v>237</v>
      </c>
      <c r="H418" s="31">
        <v>530749580</v>
      </c>
      <c r="I418" s="17"/>
    </row>
    <row r="419" spans="1:9" ht="15.75" customHeight="1" x14ac:dyDescent="0.3">
      <c r="A419" s="17" t="s">
        <v>656</v>
      </c>
      <c r="B419" s="17" t="s">
        <v>201</v>
      </c>
      <c r="C419" s="50" t="str">
        <f>VLOOKUP(B419,'Patner Store'!A$2:A$51,1,0)</f>
        <v>PS0043</v>
      </c>
      <c r="D419" s="29" t="s">
        <v>229</v>
      </c>
      <c r="E419" s="50" t="str">
        <f>VLOOKUP(D419,'Sales Team'!A$2:B$6,1,0)</f>
        <v>ST0004</v>
      </c>
      <c r="F419" s="28">
        <v>44257</v>
      </c>
      <c r="G419" s="17" t="s">
        <v>234</v>
      </c>
      <c r="H419" s="31">
        <v>6816744</v>
      </c>
      <c r="I419" s="17"/>
    </row>
    <row r="420" spans="1:9" ht="15.75" customHeight="1" x14ac:dyDescent="0.3">
      <c r="A420" s="17" t="s">
        <v>657</v>
      </c>
      <c r="B420" s="17" t="s">
        <v>201</v>
      </c>
      <c r="C420" s="50" t="str">
        <f>VLOOKUP(B420,'Patner Store'!A$2:A$51,1,0)</f>
        <v>PS0043</v>
      </c>
      <c r="D420" s="29" t="s">
        <v>229</v>
      </c>
      <c r="E420" s="50" t="str">
        <f>VLOOKUP(D420,'Sales Team'!A$2:B$6,1,0)</f>
        <v>ST0004</v>
      </c>
      <c r="F420" s="28">
        <v>44257</v>
      </c>
      <c r="G420" s="29" t="s">
        <v>237</v>
      </c>
      <c r="H420" s="31">
        <v>414463470</v>
      </c>
      <c r="I420" s="17"/>
    </row>
    <row r="421" spans="1:9" ht="15.75" customHeight="1" x14ac:dyDescent="0.3">
      <c r="A421" s="17" t="s">
        <v>658</v>
      </c>
      <c r="B421" s="17" t="s">
        <v>187</v>
      </c>
      <c r="C421" s="50" t="str">
        <f>VLOOKUP(B421,'Patner Store'!A$2:A$51,1,0)</f>
        <v>PS0036</v>
      </c>
      <c r="D421" s="29" t="s">
        <v>231</v>
      </c>
      <c r="E421" s="50" t="str">
        <f>VLOOKUP(D421,'Sales Team'!A$2:B$6,1,0)</f>
        <v>ST0005</v>
      </c>
      <c r="F421" s="28">
        <v>44257</v>
      </c>
      <c r="G421" s="17" t="s">
        <v>234</v>
      </c>
      <c r="H421" s="31">
        <v>229673020</v>
      </c>
      <c r="I421" s="17"/>
    </row>
    <row r="422" spans="1:9" ht="15.75" customHeight="1" x14ac:dyDescent="0.3">
      <c r="A422" s="17" t="s">
        <v>659</v>
      </c>
      <c r="B422" s="17" t="s">
        <v>183</v>
      </c>
      <c r="C422" s="50" t="str">
        <f>VLOOKUP(B422,'Patner Store'!A$2:A$51,1,0)</f>
        <v>PS0034</v>
      </c>
      <c r="D422" s="29" t="s">
        <v>222</v>
      </c>
      <c r="E422" s="50" t="str">
        <f>VLOOKUP(D422,'Sales Team'!A$2:B$6,1,0)</f>
        <v>ST0001</v>
      </c>
      <c r="F422" s="28">
        <v>44259</v>
      </c>
      <c r="G422" s="17" t="s">
        <v>234</v>
      </c>
      <c r="H422" s="31">
        <v>77104190</v>
      </c>
      <c r="I422" s="17" t="s">
        <v>247</v>
      </c>
    </row>
    <row r="423" spans="1:9" ht="15.75" customHeight="1" x14ac:dyDescent="0.3">
      <c r="A423" s="17" t="s">
        <v>660</v>
      </c>
      <c r="B423" s="17" t="s">
        <v>185</v>
      </c>
      <c r="C423" s="50" t="str">
        <f>VLOOKUP(B423,'Patner Store'!A$2:A$51,1,0)</f>
        <v>PS0035</v>
      </c>
      <c r="D423" s="29" t="s">
        <v>229</v>
      </c>
      <c r="E423" s="50" t="str">
        <f>VLOOKUP(D423,'Sales Team'!A$2:B$6,1,0)</f>
        <v>ST0004</v>
      </c>
      <c r="F423" s="28">
        <v>44259</v>
      </c>
      <c r="G423" s="29" t="s">
        <v>237</v>
      </c>
      <c r="H423" s="31">
        <v>587307480</v>
      </c>
      <c r="I423" s="17"/>
    </row>
    <row r="424" spans="1:9" ht="15.75" customHeight="1" x14ac:dyDescent="0.3">
      <c r="A424" s="17" t="s">
        <v>661</v>
      </c>
      <c r="B424" s="17" t="s">
        <v>207</v>
      </c>
      <c r="C424" s="50" t="str">
        <f>VLOOKUP(B424,'Patner Store'!A$2:A$51,1,0)</f>
        <v>PS0046</v>
      </c>
      <c r="D424" s="29" t="s">
        <v>227</v>
      </c>
      <c r="E424" s="50" t="str">
        <f>VLOOKUP(D424,'Sales Team'!A$2:B$6,1,0)</f>
        <v>ST0003</v>
      </c>
      <c r="F424" s="28">
        <v>44260</v>
      </c>
      <c r="G424" s="17" t="s">
        <v>234</v>
      </c>
      <c r="H424" s="31">
        <v>100247630</v>
      </c>
      <c r="I424" s="17"/>
    </row>
    <row r="425" spans="1:9" ht="15.75" customHeight="1" x14ac:dyDescent="0.3">
      <c r="A425" s="17" t="s">
        <v>662</v>
      </c>
      <c r="B425" s="17" t="s">
        <v>211</v>
      </c>
      <c r="C425" s="50" t="str">
        <f>VLOOKUP(B425,'Patner Store'!A$2:A$51,1,0)</f>
        <v>PS0048</v>
      </c>
      <c r="D425" s="29" t="s">
        <v>227</v>
      </c>
      <c r="E425" s="50" t="str">
        <f>VLOOKUP(D425,'Sales Team'!A$2:B$6,1,0)</f>
        <v>ST0003</v>
      </c>
      <c r="F425" s="28">
        <v>44260</v>
      </c>
      <c r="G425" s="29" t="s">
        <v>237</v>
      </c>
      <c r="H425" s="31">
        <v>292680760</v>
      </c>
      <c r="I425" s="17"/>
    </row>
    <row r="426" spans="1:9" ht="15.75" customHeight="1" x14ac:dyDescent="0.3">
      <c r="A426" s="17" t="s">
        <v>663</v>
      </c>
      <c r="B426" s="17" t="s">
        <v>141</v>
      </c>
      <c r="C426" s="50" t="str">
        <f>VLOOKUP(B426,'Patner Store'!A$2:A$51,1,0)</f>
        <v>PS0015</v>
      </c>
      <c r="D426" s="29" t="s">
        <v>229</v>
      </c>
      <c r="E426" s="50" t="str">
        <f>VLOOKUP(D426,'Sales Team'!A$2:B$6,1,0)</f>
        <v>ST0004</v>
      </c>
      <c r="F426" s="28">
        <v>44261</v>
      </c>
      <c r="G426" s="17" t="s">
        <v>234</v>
      </c>
      <c r="H426" s="31">
        <v>101104300</v>
      </c>
      <c r="I426" s="17"/>
    </row>
    <row r="427" spans="1:9" ht="15.75" customHeight="1" x14ac:dyDescent="0.3">
      <c r="A427" s="17" t="s">
        <v>664</v>
      </c>
      <c r="B427" s="17" t="s">
        <v>109</v>
      </c>
      <c r="C427" s="50" t="str">
        <f>VLOOKUP(B427,'Patner Store'!A$2:A$51,1,0)</f>
        <v>PS0002</v>
      </c>
      <c r="D427" s="29" t="s">
        <v>225</v>
      </c>
      <c r="E427" s="50" t="str">
        <f>VLOOKUP(D427,'Sales Team'!A$2:B$6,1,0)</f>
        <v>ST0002</v>
      </c>
      <c r="F427" s="28">
        <v>44261</v>
      </c>
      <c r="G427" s="29" t="s">
        <v>237</v>
      </c>
      <c r="H427" s="31">
        <v>363691080</v>
      </c>
      <c r="I427" s="17"/>
    </row>
    <row r="428" spans="1:9" ht="15.75" customHeight="1" x14ac:dyDescent="0.3">
      <c r="A428" s="17" t="s">
        <v>665</v>
      </c>
      <c r="B428" s="17" t="s">
        <v>105</v>
      </c>
      <c r="C428" s="50" t="str">
        <f>VLOOKUP(B428,'Patner Store'!A$2:A$51,1,0)</f>
        <v>PS0001</v>
      </c>
      <c r="D428" s="29" t="s">
        <v>231</v>
      </c>
      <c r="E428" s="50" t="str">
        <f>VLOOKUP(D428,'Sales Team'!A$2:B$6,1,0)</f>
        <v>ST0005</v>
      </c>
      <c r="F428" s="28">
        <v>44262</v>
      </c>
      <c r="G428" s="29" t="s">
        <v>237</v>
      </c>
      <c r="H428" s="31">
        <v>273834110</v>
      </c>
      <c r="I428" s="17"/>
    </row>
    <row r="429" spans="1:9" ht="15.75" customHeight="1" x14ac:dyDescent="0.3">
      <c r="A429" s="17" t="s">
        <v>666</v>
      </c>
      <c r="B429" s="17" t="s">
        <v>139</v>
      </c>
      <c r="C429" s="50" t="str">
        <f>VLOOKUP(B429,'Patner Store'!A$2:A$51,1,0)</f>
        <v>PS0014</v>
      </c>
      <c r="D429" s="29" t="s">
        <v>227</v>
      </c>
      <c r="E429" s="50" t="str">
        <f>VLOOKUP(D429,'Sales Team'!A$2:B$6,1,0)</f>
        <v>ST0003</v>
      </c>
      <c r="F429" s="28">
        <v>44263</v>
      </c>
      <c r="G429" s="29" t="s">
        <v>237</v>
      </c>
      <c r="H429" s="31">
        <v>782139400</v>
      </c>
      <c r="I429" s="17"/>
    </row>
    <row r="430" spans="1:9" ht="15.75" customHeight="1" x14ac:dyDescent="0.3">
      <c r="A430" s="17" t="s">
        <v>667</v>
      </c>
      <c r="B430" s="17" t="s">
        <v>156</v>
      </c>
      <c r="C430" s="50" t="str">
        <f>VLOOKUP(B430,'Patner Store'!A$2:A$51,1,0)</f>
        <v>PS0021</v>
      </c>
      <c r="D430" s="29" t="s">
        <v>222</v>
      </c>
      <c r="E430" s="50" t="str">
        <f>VLOOKUP(D430,'Sales Team'!A$2:B$6,1,0)</f>
        <v>ST0001</v>
      </c>
      <c r="F430" s="28">
        <v>44264</v>
      </c>
      <c r="G430" s="29" t="s">
        <v>237</v>
      </c>
      <c r="H430" s="31">
        <v>319178900</v>
      </c>
      <c r="I430" s="17"/>
    </row>
    <row r="431" spans="1:9" ht="15.75" customHeight="1" x14ac:dyDescent="0.3">
      <c r="A431" s="17" t="s">
        <v>668</v>
      </c>
      <c r="B431" s="17" t="s">
        <v>185</v>
      </c>
      <c r="C431" s="50" t="str">
        <f>VLOOKUP(B431,'Patner Store'!A$2:A$51,1,0)</f>
        <v>PS0035</v>
      </c>
      <c r="D431" s="29" t="s">
        <v>229</v>
      </c>
      <c r="E431" s="50" t="str">
        <f>VLOOKUP(D431,'Sales Team'!A$2:B$6,1,0)</f>
        <v>ST0004</v>
      </c>
      <c r="F431" s="28">
        <v>44268</v>
      </c>
      <c r="G431" s="29" t="s">
        <v>237</v>
      </c>
      <c r="H431" s="31">
        <v>303946900</v>
      </c>
      <c r="I431" s="17"/>
    </row>
    <row r="432" spans="1:9" ht="15.75" customHeight="1" x14ac:dyDescent="0.3">
      <c r="A432" s="17" t="s">
        <v>669</v>
      </c>
      <c r="B432" s="17" t="s">
        <v>199</v>
      </c>
      <c r="C432" s="50" t="str">
        <f>VLOOKUP(B432,'Patner Store'!A$2:A$51,1,0)</f>
        <v>PS0042</v>
      </c>
      <c r="D432" s="29" t="s">
        <v>225</v>
      </c>
      <c r="E432" s="50" t="str">
        <f>VLOOKUP(D432,'Sales Team'!A$2:B$6,1,0)</f>
        <v>ST0002</v>
      </c>
      <c r="F432" s="28">
        <v>44270</v>
      </c>
      <c r="G432" s="17" t="s">
        <v>234</v>
      </c>
      <c r="H432" s="31">
        <v>213303440</v>
      </c>
      <c r="I432" s="17"/>
    </row>
    <row r="433" spans="1:9" ht="15.75" customHeight="1" x14ac:dyDescent="0.3">
      <c r="A433" s="17" t="s">
        <v>670</v>
      </c>
      <c r="B433" s="17" t="s">
        <v>128</v>
      </c>
      <c r="C433" s="50" t="str">
        <f>VLOOKUP(B433,'Patner Store'!A$2:A$51,1,0)</f>
        <v>PS0009</v>
      </c>
      <c r="D433" s="29" t="s">
        <v>227</v>
      </c>
      <c r="E433" s="50" t="str">
        <f>VLOOKUP(D433,'Sales Team'!A$2:B$6,1,0)</f>
        <v>ST0003</v>
      </c>
      <c r="F433" s="28">
        <v>44270</v>
      </c>
      <c r="G433" s="29" t="s">
        <v>237</v>
      </c>
      <c r="H433" s="31">
        <v>264019500.00000003</v>
      </c>
      <c r="I433" s="17"/>
    </row>
    <row r="434" spans="1:9" ht="15.75" customHeight="1" x14ac:dyDescent="0.3">
      <c r="A434" s="17" t="s">
        <v>671</v>
      </c>
      <c r="B434" s="17" t="s">
        <v>151</v>
      </c>
      <c r="C434" s="50" t="str">
        <f>VLOOKUP(B434,'Patner Store'!A$2:A$51,1,0)</f>
        <v>PS0019</v>
      </c>
      <c r="D434" s="29" t="s">
        <v>231</v>
      </c>
      <c r="E434" s="50" t="str">
        <f>VLOOKUP(D434,'Sales Team'!A$2:B$6,1,0)</f>
        <v>ST0005</v>
      </c>
      <c r="F434" s="28">
        <v>44270</v>
      </c>
      <c r="G434" s="17" t="s">
        <v>234</v>
      </c>
      <c r="H434" s="31">
        <v>233172490</v>
      </c>
      <c r="I434" s="17"/>
    </row>
    <row r="435" spans="1:9" ht="15.75" customHeight="1" x14ac:dyDescent="0.3">
      <c r="A435" s="17" t="s">
        <v>672</v>
      </c>
      <c r="B435" s="17" t="s">
        <v>193</v>
      </c>
      <c r="C435" s="50" t="str">
        <f>VLOOKUP(B435,'Patner Store'!A$2:A$51,1,0)</f>
        <v>PS0039</v>
      </c>
      <c r="D435" s="29" t="s">
        <v>227</v>
      </c>
      <c r="E435" s="50" t="str">
        <f>VLOOKUP(D435,'Sales Team'!A$2:B$6,1,0)</f>
        <v>ST0003</v>
      </c>
      <c r="F435" s="28">
        <v>44271</v>
      </c>
      <c r="G435" s="29" t="s">
        <v>237</v>
      </c>
      <c r="H435" s="31">
        <v>766658936</v>
      </c>
      <c r="I435" s="17"/>
    </row>
    <row r="436" spans="1:9" ht="15.75" customHeight="1" x14ac:dyDescent="0.3">
      <c r="A436" s="17" t="s">
        <v>673</v>
      </c>
      <c r="B436" s="17" t="s">
        <v>171</v>
      </c>
      <c r="C436" s="50" t="str">
        <f>VLOOKUP(B436,'Patner Store'!A$2:A$51,1,0)</f>
        <v>PS0028</v>
      </c>
      <c r="D436" s="29" t="s">
        <v>231</v>
      </c>
      <c r="E436" s="50" t="str">
        <f>VLOOKUP(D436,'Sales Team'!A$2:B$6,1,0)</f>
        <v>ST0005</v>
      </c>
      <c r="F436" s="28">
        <v>44273</v>
      </c>
      <c r="G436" s="29" t="s">
        <v>237</v>
      </c>
      <c r="H436" s="31">
        <v>754147200</v>
      </c>
      <c r="I436" s="17"/>
    </row>
    <row r="437" spans="1:9" ht="15.75" customHeight="1" x14ac:dyDescent="0.3">
      <c r="A437" s="17" t="s">
        <v>674</v>
      </c>
      <c r="B437" s="17" t="s">
        <v>151</v>
      </c>
      <c r="C437" s="50" t="str">
        <f>VLOOKUP(B437,'Patner Store'!A$2:A$51,1,0)</f>
        <v>PS0019</v>
      </c>
      <c r="D437" s="29" t="s">
        <v>231</v>
      </c>
      <c r="E437" s="50" t="str">
        <f>VLOOKUP(D437,'Sales Team'!A$2:B$6,1,0)</f>
        <v>ST0005</v>
      </c>
      <c r="F437" s="28">
        <v>44274</v>
      </c>
      <c r="G437" s="17" t="s">
        <v>234</v>
      </c>
      <c r="H437" s="31">
        <v>211006500</v>
      </c>
      <c r="I437" s="17"/>
    </row>
    <row r="438" spans="1:9" ht="15.75" customHeight="1" x14ac:dyDescent="0.3">
      <c r="A438" s="17" t="s">
        <v>675</v>
      </c>
      <c r="B438" s="17" t="s">
        <v>179</v>
      </c>
      <c r="C438" s="50" t="str">
        <f>VLOOKUP(B438,'Patner Store'!A$2:A$51,1,0)</f>
        <v>PS0032</v>
      </c>
      <c r="D438" s="29" t="s">
        <v>229</v>
      </c>
      <c r="E438" s="50" t="str">
        <f>VLOOKUP(D438,'Sales Team'!A$2:B$6,1,0)</f>
        <v>ST0004</v>
      </c>
      <c r="F438" s="28">
        <v>44274</v>
      </c>
      <c r="G438" s="29" t="s">
        <v>237</v>
      </c>
      <c r="H438" s="31">
        <v>573807690</v>
      </c>
      <c r="I438" s="17"/>
    </row>
    <row r="439" spans="1:9" ht="15.75" customHeight="1" x14ac:dyDescent="0.3">
      <c r="A439" s="17" t="s">
        <v>676</v>
      </c>
      <c r="B439" s="17" t="s">
        <v>193</v>
      </c>
      <c r="C439" s="50" t="str">
        <f>VLOOKUP(B439,'Patner Store'!A$2:A$51,1,0)</f>
        <v>PS0039</v>
      </c>
      <c r="D439" s="29" t="s">
        <v>227</v>
      </c>
      <c r="E439" s="50" t="str">
        <f>VLOOKUP(D439,'Sales Team'!A$2:B$6,1,0)</f>
        <v>ST0003</v>
      </c>
      <c r="F439" s="28">
        <v>44274</v>
      </c>
      <c r="G439" s="17" t="s">
        <v>234</v>
      </c>
      <c r="H439" s="31">
        <v>61688120</v>
      </c>
      <c r="I439" s="17"/>
    </row>
    <row r="440" spans="1:9" ht="15.75" customHeight="1" x14ac:dyDescent="0.3">
      <c r="A440" s="17" t="s">
        <v>677</v>
      </c>
      <c r="B440" s="17" t="s">
        <v>146</v>
      </c>
      <c r="C440" s="50" t="str">
        <f>VLOOKUP(B440,'Patner Store'!A$2:A$51,1,0)</f>
        <v>PS0017</v>
      </c>
      <c r="D440" s="29" t="s">
        <v>222</v>
      </c>
      <c r="E440" s="50" t="str">
        <f>VLOOKUP(D440,'Sales Team'!A$2:B$6,1,0)</f>
        <v>ST0001</v>
      </c>
      <c r="F440" s="28">
        <v>44276</v>
      </c>
      <c r="G440" s="17" t="s">
        <v>234</v>
      </c>
      <c r="H440" s="31">
        <v>68003950</v>
      </c>
      <c r="I440" s="17"/>
    </row>
    <row r="441" spans="1:9" ht="15.75" customHeight="1" x14ac:dyDescent="0.3">
      <c r="A441" s="17" t="s">
        <v>678</v>
      </c>
      <c r="B441" s="17" t="s">
        <v>162</v>
      </c>
      <c r="C441" s="50" t="str">
        <f>VLOOKUP(B441,'Patner Store'!A$2:A$51,1,0)</f>
        <v>PS0024</v>
      </c>
      <c r="D441" s="29" t="s">
        <v>222</v>
      </c>
      <c r="E441" s="50" t="str">
        <f>VLOOKUP(D441,'Sales Team'!A$2:B$6,1,0)</f>
        <v>ST0001</v>
      </c>
      <c r="F441" s="28">
        <v>44276</v>
      </c>
      <c r="G441" s="29" t="s">
        <v>237</v>
      </c>
      <c r="H441" s="31">
        <v>466809400</v>
      </c>
      <c r="I441" s="17"/>
    </row>
    <row r="442" spans="1:9" ht="15.75" customHeight="1" x14ac:dyDescent="0.3">
      <c r="A442" s="17" t="s">
        <v>679</v>
      </c>
      <c r="B442" s="17" t="s">
        <v>173</v>
      </c>
      <c r="C442" s="50" t="str">
        <f>VLOOKUP(B442,'Patner Store'!A$2:A$51,1,0)</f>
        <v>PS0029</v>
      </c>
      <c r="D442" s="29" t="s">
        <v>229</v>
      </c>
      <c r="E442" s="50" t="str">
        <f>VLOOKUP(D442,'Sales Team'!A$2:B$6,1,0)</f>
        <v>ST0004</v>
      </c>
      <c r="F442" s="28">
        <v>44277</v>
      </c>
      <c r="G442" s="29" t="s">
        <v>237</v>
      </c>
      <c r="H442" s="31">
        <v>293208330</v>
      </c>
      <c r="I442" s="17"/>
    </row>
    <row r="443" spans="1:9" ht="15.75" customHeight="1" x14ac:dyDescent="0.3">
      <c r="A443" s="17" t="s">
        <v>680</v>
      </c>
      <c r="B443" s="17" t="s">
        <v>156</v>
      </c>
      <c r="C443" s="50" t="str">
        <f>VLOOKUP(B443,'Patner Store'!A$2:A$51,1,0)</f>
        <v>PS0021</v>
      </c>
      <c r="D443" s="29" t="s">
        <v>222</v>
      </c>
      <c r="E443" s="50" t="str">
        <f>VLOOKUP(D443,'Sales Team'!A$2:B$6,1,0)</f>
        <v>ST0001</v>
      </c>
      <c r="F443" s="28">
        <v>44278</v>
      </c>
      <c r="G443" s="29" t="s">
        <v>237</v>
      </c>
      <c r="H443" s="31">
        <v>348365640</v>
      </c>
      <c r="I443" s="17"/>
    </row>
    <row r="444" spans="1:9" ht="15.75" customHeight="1" x14ac:dyDescent="0.3">
      <c r="A444" s="17" t="s">
        <v>681</v>
      </c>
      <c r="B444" s="17" t="s">
        <v>179</v>
      </c>
      <c r="C444" s="50" t="str">
        <f>VLOOKUP(B444,'Patner Store'!A$2:A$51,1,0)</f>
        <v>PS0032</v>
      </c>
      <c r="D444" s="29" t="s">
        <v>229</v>
      </c>
      <c r="E444" s="50" t="str">
        <f>VLOOKUP(D444,'Sales Team'!A$2:B$6,1,0)</f>
        <v>ST0004</v>
      </c>
      <c r="F444" s="28">
        <v>44279</v>
      </c>
      <c r="G444" s="29" t="s">
        <v>237</v>
      </c>
      <c r="H444" s="31">
        <v>346992660</v>
      </c>
      <c r="I444" s="17"/>
    </row>
    <row r="445" spans="1:9" ht="15.75" customHeight="1" x14ac:dyDescent="0.3">
      <c r="A445" s="17" t="s">
        <v>682</v>
      </c>
      <c r="B445" s="17" t="s">
        <v>133</v>
      </c>
      <c r="C445" s="50" t="str">
        <f>VLOOKUP(B445,'Patner Store'!A$2:A$51,1,0)</f>
        <v>PS0011</v>
      </c>
      <c r="D445" s="29" t="s">
        <v>225</v>
      </c>
      <c r="E445" s="50" t="str">
        <f>VLOOKUP(D445,'Sales Team'!A$2:B$6,1,0)</f>
        <v>ST0002</v>
      </c>
      <c r="F445" s="28">
        <v>44279</v>
      </c>
      <c r="G445" s="17" t="s">
        <v>234</v>
      </c>
      <c r="H445" s="31">
        <v>223257690</v>
      </c>
      <c r="I445" s="17"/>
    </row>
    <row r="446" spans="1:9" ht="15.75" customHeight="1" x14ac:dyDescent="0.3">
      <c r="A446" s="17" t="s">
        <v>683</v>
      </c>
      <c r="B446" s="17" t="s">
        <v>179</v>
      </c>
      <c r="C446" s="50" t="str">
        <f>VLOOKUP(B446,'Patner Store'!A$2:A$51,1,0)</f>
        <v>PS0032</v>
      </c>
      <c r="D446" s="29" t="s">
        <v>229</v>
      </c>
      <c r="E446" s="50" t="str">
        <f>VLOOKUP(D446,'Sales Team'!A$2:B$6,1,0)</f>
        <v>ST0004</v>
      </c>
      <c r="F446" s="28">
        <v>44281</v>
      </c>
      <c r="G446" s="17" t="s">
        <v>234</v>
      </c>
      <c r="H446" s="31">
        <v>222871220</v>
      </c>
      <c r="I446" s="17"/>
    </row>
    <row r="447" spans="1:9" ht="15.75" customHeight="1" x14ac:dyDescent="0.3">
      <c r="A447" s="17" t="s">
        <v>684</v>
      </c>
      <c r="B447" s="17" t="s">
        <v>171</v>
      </c>
      <c r="C447" s="50" t="str">
        <f>VLOOKUP(B447,'Patner Store'!A$2:A$51,1,0)</f>
        <v>PS0028</v>
      </c>
      <c r="D447" s="29" t="s">
        <v>231</v>
      </c>
      <c r="E447" s="50" t="str">
        <f>VLOOKUP(D447,'Sales Team'!A$2:B$6,1,0)</f>
        <v>ST0005</v>
      </c>
      <c r="F447" s="28">
        <v>44281</v>
      </c>
      <c r="G447" s="29" t="s">
        <v>237</v>
      </c>
      <c r="H447" s="31">
        <v>327200160</v>
      </c>
      <c r="I447" s="17"/>
    </row>
    <row r="448" spans="1:9" ht="15.75" customHeight="1" x14ac:dyDescent="0.3">
      <c r="A448" s="17" t="s">
        <v>685</v>
      </c>
      <c r="B448" s="17" t="s">
        <v>154</v>
      </c>
      <c r="C448" s="50" t="str">
        <f>VLOOKUP(B448,'Patner Store'!A$2:A$51,1,0)</f>
        <v>PS0020</v>
      </c>
      <c r="D448" s="29" t="s">
        <v>229</v>
      </c>
      <c r="E448" s="50" t="str">
        <f>VLOOKUP(D448,'Sales Team'!A$2:B$6,1,0)</f>
        <v>ST0004</v>
      </c>
      <c r="F448" s="28">
        <v>44283</v>
      </c>
      <c r="G448" s="17" t="s">
        <v>234</v>
      </c>
      <c r="H448" s="31">
        <v>14790600</v>
      </c>
      <c r="I448" s="17"/>
    </row>
    <row r="449" spans="1:9" ht="15.75" customHeight="1" x14ac:dyDescent="0.3">
      <c r="A449" s="17" t="s">
        <v>686</v>
      </c>
      <c r="B449" s="17" t="s">
        <v>177</v>
      </c>
      <c r="C449" s="50" t="str">
        <f>VLOOKUP(B449,'Patner Store'!A$2:A$51,1,0)</f>
        <v>PS0031</v>
      </c>
      <c r="D449" s="29" t="s">
        <v>225</v>
      </c>
      <c r="E449" s="50" t="str">
        <f>VLOOKUP(D449,'Sales Team'!A$2:B$6,1,0)</f>
        <v>ST0002</v>
      </c>
      <c r="F449" s="28">
        <v>44285</v>
      </c>
      <c r="G449" s="29" t="s">
        <v>237</v>
      </c>
      <c r="H449" s="31">
        <v>405716500</v>
      </c>
      <c r="I449" s="17" t="s">
        <v>253</v>
      </c>
    </row>
    <row r="450" spans="1:9" ht="15.75" customHeight="1" x14ac:dyDescent="0.3">
      <c r="A450" s="17" t="s">
        <v>687</v>
      </c>
      <c r="B450" s="17" t="s">
        <v>164</v>
      </c>
      <c r="C450" s="50" t="str">
        <f>VLOOKUP(B450,'Patner Store'!A$2:A$51,1,0)</f>
        <v>PS0025</v>
      </c>
      <c r="D450" s="29" t="s">
        <v>227</v>
      </c>
      <c r="E450" s="50" t="str">
        <f>VLOOKUP(D450,'Sales Team'!A$2:B$6,1,0)</f>
        <v>ST0003</v>
      </c>
      <c r="F450" s="28">
        <v>44285</v>
      </c>
      <c r="G450" s="17" t="s">
        <v>234</v>
      </c>
      <c r="H450" s="31">
        <v>5582772</v>
      </c>
      <c r="I450" s="17"/>
    </row>
    <row r="451" spans="1:9" ht="15.75" customHeight="1" x14ac:dyDescent="0.3">
      <c r="A451" s="17" t="s">
        <v>688</v>
      </c>
      <c r="B451" s="17" t="s">
        <v>195</v>
      </c>
      <c r="C451" s="50" t="str">
        <f>VLOOKUP(B451,'Patner Store'!A$2:A$51,1,0)</f>
        <v>PS0040</v>
      </c>
      <c r="D451" s="29" t="s">
        <v>227</v>
      </c>
      <c r="E451" s="50" t="str">
        <f>VLOOKUP(D451,'Sales Team'!A$2:B$6,1,0)</f>
        <v>ST0003</v>
      </c>
      <c r="F451" s="28">
        <v>44285</v>
      </c>
      <c r="G451" s="29" t="s">
        <v>237</v>
      </c>
      <c r="H451" s="31">
        <v>347534900</v>
      </c>
      <c r="I451" s="17"/>
    </row>
    <row r="452" spans="1:9" ht="15.75" customHeight="1" x14ac:dyDescent="0.3">
      <c r="A452" s="17" t="s">
        <v>689</v>
      </c>
      <c r="B452" s="17" t="s">
        <v>171</v>
      </c>
      <c r="C452" s="50" t="str">
        <f>VLOOKUP(B452,'Patner Store'!A$2:A$51,1,0)</f>
        <v>PS0028</v>
      </c>
      <c r="D452" s="29" t="s">
        <v>231</v>
      </c>
      <c r="E452" s="50" t="str">
        <f>VLOOKUP(D452,'Sales Team'!A$2:B$6,1,0)</f>
        <v>ST0005</v>
      </c>
      <c r="F452" s="28">
        <v>44291</v>
      </c>
      <c r="G452" s="17" t="s">
        <v>234</v>
      </c>
      <c r="H452" s="31">
        <v>114624360</v>
      </c>
      <c r="I452" s="17" t="s">
        <v>253</v>
      </c>
    </row>
    <row r="453" spans="1:9" ht="15.75" customHeight="1" x14ac:dyDescent="0.3">
      <c r="A453" s="17" t="s">
        <v>690</v>
      </c>
      <c r="B453" s="17" t="s">
        <v>175</v>
      </c>
      <c r="C453" s="50" t="str">
        <f>VLOOKUP(B453,'Patner Store'!A$2:A$51,1,0)</f>
        <v>PS0030</v>
      </c>
      <c r="D453" s="29" t="s">
        <v>229</v>
      </c>
      <c r="E453" s="50" t="str">
        <f>VLOOKUP(D453,'Sales Team'!A$2:B$6,1,0)</f>
        <v>ST0004</v>
      </c>
      <c r="F453" s="28">
        <v>44292</v>
      </c>
      <c r="G453" s="29" t="s">
        <v>237</v>
      </c>
      <c r="H453" s="31">
        <v>269597410</v>
      </c>
      <c r="I453" s="17" t="s">
        <v>253</v>
      </c>
    </row>
    <row r="454" spans="1:9" ht="15.75" customHeight="1" x14ac:dyDescent="0.3">
      <c r="A454" s="17" t="s">
        <v>691</v>
      </c>
      <c r="B454" s="17" t="s">
        <v>195</v>
      </c>
      <c r="C454" s="50" t="str">
        <f>VLOOKUP(B454,'Patner Store'!A$2:A$51,1,0)</f>
        <v>PS0040</v>
      </c>
      <c r="D454" s="29" t="s">
        <v>227</v>
      </c>
      <c r="E454" s="50" t="str">
        <f>VLOOKUP(D454,'Sales Team'!A$2:B$6,1,0)</f>
        <v>ST0003</v>
      </c>
      <c r="F454" s="28">
        <v>44294</v>
      </c>
      <c r="G454" s="17" t="s">
        <v>234</v>
      </c>
      <c r="H454" s="31">
        <v>141634360</v>
      </c>
      <c r="I454" s="17"/>
    </row>
    <row r="455" spans="1:9" ht="15.75" customHeight="1" x14ac:dyDescent="0.3">
      <c r="A455" s="17" t="s">
        <v>692</v>
      </c>
      <c r="B455" s="17" t="s">
        <v>195</v>
      </c>
      <c r="C455" s="50" t="str">
        <f>VLOOKUP(B455,'Patner Store'!A$2:A$51,1,0)</f>
        <v>PS0040</v>
      </c>
      <c r="D455" s="29" t="s">
        <v>227</v>
      </c>
      <c r="E455" s="50" t="str">
        <f>VLOOKUP(D455,'Sales Team'!A$2:B$6,1,0)</f>
        <v>ST0003</v>
      </c>
      <c r="F455" s="28">
        <v>44296</v>
      </c>
      <c r="G455" s="17" t="s">
        <v>234</v>
      </c>
      <c r="H455" s="31">
        <v>33666630</v>
      </c>
      <c r="I455" s="17"/>
    </row>
    <row r="456" spans="1:9" ht="15.75" customHeight="1" x14ac:dyDescent="0.3">
      <c r="A456" s="17" t="s">
        <v>693</v>
      </c>
      <c r="B456" s="17" t="s">
        <v>168</v>
      </c>
      <c r="C456" s="50" t="str">
        <f>VLOOKUP(B456,'Patner Store'!A$2:A$51,1,0)</f>
        <v>PS0027</v>
      </c>
      <c r="D456" s="29" t="s">
        <v>229</v>
      </c>
      <c r="E456" s="50" t="str">
        <f>VLOOKUP(D456,'Sales Team'!A$2:B$6,1,0)</f>
        <v>ST0004</v>
      </c>
      <c r="F456" s="28">
        <v>44298</v>
      </c>
      <c r="G456" s="17" t="s">
        <v>234</v>
      </c>
      <c r="H456" s="31">
        <v>149093180</v>
      </c>
      <c r="I456" s="17"/>
    </row>
    <row r="457" spans="1:9" ht="15.75" customHeight="1" x14ac:dyDescent="0.3">
      <c r="A457" s="17" t="s">
        <v>694</v>
      </c>
      <c r="B457" s="17" t="s">
        <v>116</v>
      </c>
      <c r="C457" s="50" t="str">
        <f>VLOOKUP(B457,'Patner Store'!A$2:A$51,1,0)</f>
        <v>PS0004</v>
      </c>
      <c r="D457" s="29" t="s">
        <v>222</v>
      </c>
      <c r="E457" s="50" t="str">
        <f>VLOOKUP(D457,'Sales Team'!A$2:B$6,1,0)</f>
        <v>ST0001</v>
      </c>
      <c r="F457" s="28">
        <v>44300</v>
      </c>
      <c r="G457" s="29" t="s">
        <v>237</v>
      </c>
      <c r="H457" s="31">
        <v>902232180</v>
      </c>
      <c r="I457" s="17"/>
    </row>
    <row r="458" spans="1:9" ht="15.75" customHeight="1" x14ac:dyDescent="0.3">
      <c r="A458" s="17" t="s">
        <v>695</v>
      </c>
      <c r="B458" s="17" t="s">
        <v>131</v>
      </c>
      <c r="C458" s="50" t="str">
        <f>VLOOKUP(B458,'Patner Store'!A$2:A$51,1,0)</f>
        <v>PS0010</v>
      </c>
      <c r="D458" s="29" t="s">
        <v>222</v>
      </c>
      <c r="E458" s="50" t="str">
        <f>VLOOKUP(D458,'Sales Team'!A$2:B$6,1,0)</f>
        <v>ST0001</v>
      </c>
      <c r="F458" s="28">
        <v>44300</v>
      </c>
      <c r="G458" s="29" t="s">
        <v>237</v>
      </c>
      <c r="H458" s="31">
        <v>457137630</v>
      </c>
      <c r="I458" s="17"/>
    </row>
    <row r="459" spans="1:9" ht="15.75" customHeight="1" x14ac:dyDescent="0.3">
      <c r="A459" s="17" t="s">
        <v>696</v>
      </c>
      <c r="B459" s="17" t="s">
        <v>156</v>
      </c>
      <c r="C459" s="50" t="str">
        <f>VLOOKUP(B459,'Patner Store'!A$2:A$51,1,0)</f>
        <v>PS0021</v>
      </c>
      <c r="D459" s="29" t="s">
        <v>222</v>
      </c>
      <c r="E459" s="50" t="str">
        <f>VLOOKUP(D459,'Sales Team'!A$2:B$6,1,0)</f>
        <v>ST0001</v>
      </c>
      <c r="F459" s="28">
        <v>44301</v>
      </c>
      <c r="G459" s="17" t="s">
        <v>234</v>
      </c>
      <c r="H459" s="31">
        <v>31238460</v>
      </c>
      <c r="I459" s="17" t="s">
        <v>260</v>
      </c>
    </row>
    <row r="460" spans="1:9" ht="15.75" customHeight="1" x14ac:dyDescent="0.3">
      <c r="A460" s="17" t="s">
        <v>697</v>
      </c>
      <c r="B460" s="17" t="s">
        <v>201</v>
      </c>
      <c r="C460" s="50" t="str">
        <f>VLOOKUP(B460,'Patner Store'!A$2:A$51,1,0)</f>
        <v>PS0043</v>
      </c>
      <c r="D460" s="29" t="s">
        <v>229</v>
      </c>
      <c r="E460" s="50" t="str">
        <f>VLOOKUP(D460,'Sales Team'!A$2:B$6,1,0)</f>
        <v>ST0004</v>
      </c>
      <c r="F460" s="28">
        <v>44301</v>
      </c>
      <c r="G460" s="17" t="s">
        <v>234</v>
      </c>
      <c r="H460" s="31">
        <v>94733380</v>
      </c>
      <c r="I460" s="17"/>
    </row>
    <row r="461" spans="1:9" ht="15.75" customHeight="1" x14ac:dyDescent="0.3">
      <c r="A461" s="17" t="s">
        <v>698</v>
      </c>
      <c r="B461" s="17" t="s">
        <v>173</v>
      </c>
      <c r="C461" s="50" t="str">
        <f>VLOOKUP(B461,'Patner Store'!A$2:A$51,1,0)</f>
        <v>PS0029</v>
      </c>
      <c r="D461" s="29" t="s">
        <v>229</v>
      </c>
      <c r="E461" s="50" t="str">
        <f>VLOOKUP(D461,'Sales Team'!A$2:B$6,1,0)</f>
        <v>ST0004</v>
      </c>
      <c r="F461" s="28">
        <v>44301</v>
      </c>
      <c r="G461" s="29" t="s">
        <v>237</v>
      </c>
      <c r="H461" s="31">
        <v>793863360</v>
      </c>
      <c r="I461" s="17"/>
    </row>
    <row r="462" spans="1:9" ht="15.75" customHeight="1" x14ac:dyDescent="0.3">
      <c r="A462" s="17" t="s">
        <v>699</v>
      </c>
      <c r="B462" s="17" t="s">
        <v>164</v>
      </c>
      <c r="C462" s="50" t="str">
        <f>VLOOKUP(B462,'Patner Store'!A$2:A$51,1,0)</f>
        <v>PS0025</v>
      </c>
      <c r="D462" s="29" t="s">
        <v>227</v>
      </c>
      <c r="E462" s="50" t="str">
        <f>VLOOKUP(D462,'Sales Team'!A$2:B$6,1,0)</f>
        <v>ST0003</v>
      </c>
      <c r="F462" s="28">
        <v>44303</v>
      </c>
      <c r="G462" s="29" t="s">
        <v>237</v>
      </c>
      <c r="H462" s="31">
        <v>321893040</v>
      </c>
      <c r="I462" s="17"/>
    </row>
    <row r="463" spans="1:9" ht="15.75" customHeight="1" x14ac:dyDescent="0.3">
      <c r="A463" s="17" t="s">
        <v>700</v>
      </c>
      <c r="B463" s="17" t="s">
        <v>156</v>
      </c>
      <c r="C463" s="50" t="str">
        <f>VLOOKUP(B463,'Patner Store'!A$2:A$51,1,0)</f>
        <v>PS0021</v>
      </c>
      <c r="D463" s="29" t="s">
        <v>222</v>
      </c>
      <c r="E463" s="50" t="str">
        <f>VLOOKUP(D463,'Sales Team'!A$2:B$6,1,0)</f>
        <v>ST0001</v>
      </c>
      <c r="F463" s="28">
        <v>44305</v>
      </c>
      <c r="G463" s="29" t="s">
        <v>237</v>
      </c>
      <c r="H463" s="31">
        <v>453120443</v>
      </c>
      <c r="I463" s="17" t="s">
        <v>253</v>
      </c>
    </row>
    <row r="464" spans="1:9" ht="15.75" customHeight="1" x14ac:dyDescent="0.3">
      <c r="A464" s="17" t="s">
        <v>701</v>
      </c>
      <c r="B464" s="17" t="s">
        <v>168</v>
      </c>
      <c r="C464" s="50" t="str">
        <f>VLOOKUP(B464,'Patner Store'!A$2:A$51,1,0)</f>
        <v>PS0027</v>
      </c>
      <c r="D464" s="29" t="s">
        <v>229</v>
      </c>
      <c r="E464" s="50" t="str">
        <f>VLOOKUP(D464,'Sales Team'!A$2:B$6,1,0)</f>
        <v>ST0004</v>
      </c>
      <c r="F464" s="28">
        <v>44306</v>
      </c>
      <c r="G464" s="17" t="s">
        <v>234</v>
      </c>
      <c r="H464" s="31">
        <v>49501800</v>
      </c>
      <c r="I464" s="17" t="s">
        <v>253</v>
      </c>
    </row>
    <row r="465" spans="1:9" ht="15.75" customHeight="1" x14ac:dyDescent="0.3">
      <c r="A465" s="17" t="s">
        <v>702</v>
      </c>
      <c r="B465" s="17" t="s">
        <v>141</v>
      </c>
      <c r="C465" s="50" t="str">
        <f>VLOOKUP(B465,'Patner Store'!A$2:A$51,1,0)</f>
        <v>PS0015</v>
      </c>
      <c r="D465" s="29" t="s">
        <v>229</v>
      </c>
      <c r="E465" s="50" t="str">
        <f>VLOOKUP(D465,'Sales Team'!A$2:B$6,1,0)</f>
        <v>ST0004</v>
      </c>
      <c r="F465" s="28">
        <v>44309</v>
      </c>
      <c r="G465" s="29" t="s">
        <v>237</v>
      </c>
      <c r="H465" s="31">
        <v>329151070</v>
      </c>
      <c r="I465" s="17" t="s">
        <v>247</v>
      </c>
    </row>
    <row r="466" spans="1:9" ht="15.75" customHeight="1" x14ac:dyDescent="0.3">
      <c r="A466" s="17" t="s">
        <v>703</v>
      </c>
      <c r="B466" s="17" t="s">
        <v>116</v>
      </c>
      <c r="C466" s="50" t="str">
        <f>VLOOKUP(B466,'Patner Store'!A$2:A$51,1,0)</f>
        <v>PS0004</v>
      </c>
      <c r="D466" s="29" t="s">
        <v>222</v>
      </c>
      <c r="E466" s="50" t="str">
        <f>VLOOKUP(D466,'Sales Team'!A$2:B$6,1,0)</f>
        <v>ST0001</v>
      </c>
      <c r="F466" s="28">
        <v>44311</v>
      </c>
      <c r="G466" s="17" t="s">
        <v>234</v>
      </c>
      <c r="H466" s="31">
        <v>39656480</v>
      </c>
      <c r="I466" s="17"/>
    </row>
    <row r="467" spans="1:9" ht="15.75" customHeight="1" x14ac:dyDescent="0.3">
      <c r="A467" s="17" t="s">
        <v>704</v>
      </c>
      <c r="B467" s="17" t="s">
        <v>133</v>
      </c>
      <c r="C467" s="50" t="str">
        <f>VLOOKUP(B467,'Patner Store'!A$2:A$51,1,0)</f>
        <v>PS0011</v>
      </c>
      <c r="D467" s="29" t="s">
        <v>225</v>
      </c>
      <c r="E467" s="50" t="str">
        <f>VLOOKUP(D467,'Sales Team'!A$2:B$6,1,0)</f>
        <v>ST0002</v>
      </c>
      <c r="F467" s="28">
        <v>44312</v>
      </c>
      <c r="G467" s="17" t="s">
        <v>234</v>
      </c>
      <c r="H467" s="31">
        <v>7160790</v>
      </c>
      <c r="I467" s="17"/>
    </row>
    <row r="468" spans="1:9" ht="15.75" customHeight="1" x14ac:dyDescent="0.3">
      <c r="A468" s="17" t="s">
        <v>705</v>
      </c>
      <c r="B468" s="17" t="s">
        <v>164</v>
      </c>
      <c r="C468" s="50" t="str">
        <f>VLOOKUP(B468,'Patner Store'!A$2:A$51,1,0)</f>
        <v>PS0025</v>
      </c>
      <c r="D468" s="29" t="s">
        <v>227</v>
      </c>
      <c r="E468" s="50" t="str">
        <f>VLOOKUP(D468,'Sales Team'!A$2:B$6,1,0)</f>
        <v>ST0003</v>
      </c>
      <c r="F468" s="28">
        <v>44312</v>
      </c>
      <c r="G468" s="17" t="s">
        <v>234</v>
      </c>
      <c r="H468" s="31">
        <v>187672500</v>
      </c>
      <c r="I468" s="17"/>
    </row>
    <row r="469" spans="1:9" ht="15.75" customHeight="1" x14ac:dyDescent="0.3">
      <c r="A469" s="17" t="s">
        <v>706</v>
      </c>
      <c r="B469" s="17" t="s">
        <v>175</v>
      </c>
      <c r="C469" s="50" t="str">
        <f>VLOOKUP(B469,'Patner Store'!A$2:A$51,1,0)</f>
        <v>PS0030</v>
      </c>
      <c r="D469" s="29" t="s">
        <v>229</v>
      </c>
      <c r="E469" s="50" t="str">
        <f>VLOOKUP(D469,'Sales Team'!A$2:B$6,1,0)</f>
        <v>ST0004</v>
      </c>
      <c r="F469" s="28">
        <v>44313</v>
      </c>
      <c r="G469" s="29" t="s">
        <v>237</v>
      </c>
      <c r="H469" s="31">
        <v>622623064</v>
      </c>
      <c r="I469" s="17"/>
    </row>
    <row r="470" spans="1:9" ht="15.75" customHeight="1" x14ac:dyDescent="0.3">
      <c r="A470" s="17" t="s">
        <v>707</v>
      </c>
      <c r="B470" s="17" t="s">
        <v>179</v>
      </c>
      <c r="C470" s="50" t="str">
        <f>VLOOKUP(B470,'Patner Store'!A$2:A$51,1,0)</f>
        <v>PS0032</v>
      </c>
      <c r="D470" s="29" t="s">
        <v>229</v>
      </c>
      <c r="E470" s="50" t="str">
        <f>VLOOKUP(D470,'Sales Team'!A$2:B$6,1,0)</f>
        <v>ST0004</v>
      </c>
      <c r="F470" s="28">
        <v>44316</v>
      </c>
      <c r="G470" s="29" t="s">
        <v>237</v>
      </c>
      <c r="H470" s="31">
        <v>703134740</v>
      </c>
      <c r="I470" s="17"/>
    </row>
    <row r="471" spans="1:9" ht="15.75" customHeight="1" x14ac:dyDescent="0.3">
      <c r="A471" s="17" t="s">
        <v>708</v>
      </c>
      <c r="B471" s="17" t="s">
        <v>166</v>
      </c>
      <c r="C471" s="50" t="str">
        <f>VLOOKUP(B471,'Patner Store'!A$2:A$51,1,0)</f>
        <v>PS0026</v>
      </c>
      <c r="D471" s="29" t="s">
        <v>229</v>
      </c>
      <c r="E471" s="50" t="str">
        <f>VLOOKUP(D471,'Sales Team'!A$2:B$6,1,0)</f>
        <v>ST0004</v>
      </c>
      <c r="F471" s="28">
        <v>44316</v>
      </c>
      <c r="G471" s="17" t="s">
        <v>234</v>
      </c>
      <c r="H471" s="31">
        <v>180120000</v>
      </c>
      <c r="I471" s="17"/>
    </row>
    <row r="472" spans="1:9" ht="15.75" customHeight="1" x14ac:dyDescent="0.3">
      <c r="A472" s="17" t="s">
        <v>709</v>
      </c>
      <c r="B472" s="17" t="s">
        <v>146</v>
      </c>
      <c r="C472" s="50" t="str">
        <f>VLOOKUP(B472,'Patner Store'!A$2:A$51,1,0)</f>
        <v>PS0017</v>
      </c>
      <c r="D472" s="29" t="s">
        <v>222</v>
      </c>
      <c r="E472" s="50" t="str">
        <f>VLOOKUP(D472,'Sales Team'!A$2:B$6,1,0)</f>
        <v>ST0001</v>
      </c>
      <c r="F472" s="28">
        <v>44316</v>
      </c>
      <c r="G472" s="17" t="s">
        <v>234</v>
      </c>
      <c r="H472" s="31">
        <v>27215500</v>
      </c>
      <c r="I472" s="17"/>
    </row>
    <row r="473" spans="1:9" ht="15.75" customHeight="1" x14ac:dyDescent="0.3">
      <c r="A473" s="17" t="s">
        <v>710</v>
      </c>
      <c r="B473" s="17" t="s">
        <v>164</v>
      </c>
      <c r="C473" s="50" t="str">
        <f>VLOOKUP(B473,'Patner Store'!A$2:A$51,1,0)</f>
        <v>PS0025</v>
      </c>
      <c r="D473" s="29" t="s">
        <v>227</v>
      </c>
      <c r="E473" s="50" t="str">
        <f>VLOOKUP(D473,'Sales Team'!A$2:B$6,1,0)</f>
        <v>ST0003</v>
      </c>
      <c r="F473" s="28">
        <v>44317</v>
      </c>
      <c r="G473" s="17" t="s">
        <v>234</v>
      </c>
      <c r="H473" s="31">
        <v>141582620</v>
      </c>
      <c r="I473" s="17"/>
    </row>
    <row r="474" spans="1:9" ht="15.75" customHeight="1" x14ac:dyDescent="0.3">
      <c r="A474" s="17" t="s">
        <v>711</v>
      </c>
      <c r="B474" s="17" t="s">
        <v>181</v>
      </c>
      <c r="C474" s="50" t="str">
        <f>VLOOKUP(B474,'Patner Store'!A$2:A$51,1,0)</f>
        <v>PS0033</v>
      </c>
      <c r="D474" s="29" t="s">
        <v>231</v>
      </c>
      <c r="E474" s="50" t="str">
        <f>VLOOKUP(D474,'Sales Team'!A$2:B$6,1,0)</f>
        <v>ST0005</v>
      </c>
      <c r="F474" s="28">
        <v>44326</v>
      </c>
      <c r="G474" s="29" t="s">
        <v>237</v>
      </c>
      <c r="H474" s="31">
        <v>437297980</v>
      </c>
      <c r="I474" s="17"/>
    </row>
    <row r="475" spans="1:9" ht="15.75" customHeight="1" x14ac:dyDescent="0.3">
      <c r="A475" s="17" t="s">
        <v>712</v>
      </c>
      <c r="B475" s="17" t="s">
        <v>122</v>
      </c>
      <c r="C475" s="50" t="str">
        <f>VLOOKUP(B475,'Patner Store'!A$2:A$51,1,0)</f>
        <v>PS0006</v>
      </c>
      <c r="D475" s="29" t="s">
        <v>227</v>
      </c>
      <c r="E475" s="50" t="str">
        <f>VLOOKUP(D475,'Sales Team'!A$2:B$6,1,0)</f>
        <v>ST0003</v>
      </c>
      <c r="F475" s="28">
        <v>44326</v>
      </c>
      <c r="G475" s="29" t="s">
        <v>237</v>
      </c>
      <c r="H475" s="31">
        <v>356836000</v>
      </c>
      <c r="I475" s="17"/>
    </row>
    <row r="476" spans="1:9" ht="15.75" customHeight="1" x14ac:dyDescent="0.3">
      <c r="A476" s="17" t="s">
        <v>713</v>
      </c>
      <c r="B476" s="17" t="s">
        <v>133</v>
      </c>
      <c r="C476" s="50" t="str">
        <f>VLOOKUP(B476,'Patner Store'!A$2:A$51,1,0)</f>
        <v>PS0011</v>
      </c>
      <c r="D476" s="29" t="s">
        <v>225</v>
      </c>
      <c r="E476" s="50" t="str">
        <f>VLOOKUP(D476,'Sales Team'!A$2:B$6,1,0)</f>
        <v>ST0002</v>
      </c>
      <c r="F476" s="28">
        <v>44327</v>
      </c>
      <c r="G476" s="29" t="s">
        <v>237</v>
      </c>
      <c r="H476" s="31">
        <v>607403130</v>
      </c>
      <c r="I476" s="17" t="s">
        <v>247</v>
      </c>
    </row>
    <row r="477" spans="1:9" ht="15.75" customHeight="1" x14ac:dyDescent="0.3">
      <c r="A477" s="17" t="s">
        <v>714</v>
      </c>
      <c r="B477" s="17" t="s">
        <v>141</v>
      </c>
      <c r="C477" s="50" t="str">
        <f>VLOOKUP(B477,'Patner Store'!A$2:A$51,1,0)</f>
        <v>PS0015</v>
      </c>
      <c r="D477" s="29" t="s">
        <v>229</v>
      </c>
      <c r="E477" s="50" t="str">
        <f>VLOOKUP(D477,'Sales Team'!A$2:B$6,1,0)</f>
        <v>ST0004</v>
      </c>
      <c r="F477" s="28">
        <v>44327</v>
      </c>
      <c r="G477" s="17" t="s">
        <v>234</v>
      </c>
      <c r="H477" s="31">
        <v>230340230</v>
      </c>
      <c r="I477" s="17"/>
    </row>
    <row r="478" spans="1:9" ht="15.75" customHeight="1" x14ac:dyDescent="0.3">
      <c r="A478" s="17" t="s">
        <v>715</v>
      </c>
      <c r="B478" s="17" t="s">
        <v>156</v>
      </c>
      <c r="C478" s="50" t="str">
        <f>VLOOKUP(B478,'Patner Store'!A$2:A$51,1,0)</f>
        <v>PS0021</v>
      </c>
      <c r="D478" s="29" t="s">
        <v>222</v>
      </c>
      <c r="E478" s="50" t="str">
        <f>VLOOKUP(D478,'Sales Team'!A$2:B$6,1,0)</f>
        <v>ST0001</v>
      </c>
      <c r="F478" s="28">
        <v>44329</v>
      </c>
      <c r="G478" s="17" t="s">
        <v>234</v>
      </c>
      <c r="H478" s="31">
        <v>60663920</v>
      </c>
      <c r="I478" s="17"/>
    </row>
    <row r="479" spans="1:9" ht="15.75" customHeight="1" x14ac:dyDescent="0.3">
      <c r="A479" s="17" t="s">
        <v>716</v>
      </c>
      <c r="B479" s="17" t="s">
        <v>168</v>
      </c>
      <c r="C479" s="50" t="str">
        <f>VLOOKUP(B479,'Patner Store'!A$2:A$51,1,0)</f>
        <v>PS0027</v>
      </c>
      <c r="D479" s="29" t="s">
        <v>229</v>
      </c>
      <c r="E479" s="50" t="str">
        <f>VLOOKUP(D479,'Sales Team'!A$2:B$6,1,0)</f>
        <v>ST0004</v>
      </c>
      <c r="F479" s="28">
        <v>44330</v>
      </c>
      <c r="G479" s="29" t="s">
        <v>237</v>
      </c>
      <c r="H479" s="31">
        <v>427511575</v>
      </c>
      <c r="I479" s="17"/>
    </row>
    <row r="480" spans="1:9" ht="15.75" customHeight="1" x14ac:dyDescent="0.3">
      <c r="A480" s="17" t="s">
        <v>717</v>
      </c>
      <c r="B480" s="17" t="s">
        <v>207</v>
      </c>
      <c r="C480" s="50" t="str">
        <f>VLOOKUP(B480,'Patner Store'!A$2:A$51,1,0)</f>
        <v>PS0046</v>
      </c>
      <c r="D480" s="29" t="s">
        <v>227</v>
      </c>
      <c r="E480" s="50" t="str">
        <f>VLOOKUP(D480,'Sales Team'!A$2:B$6,1,0)</f>
        <v>ST0003</v>
      </c>
      <c r="F480" s="28">
        <v>44330</v>
      </c>
      <c r="G480" s="17" t="s">
        <v>234</v>
      </c>
      <c r="H480" s="31">
        <v>51420650</v>
      </c>
      <c r="I480" s="17"/>
    </row>
    <row r="481" spans="1:9" ht="15.75" customHeight="1" x14ac:dyDescent="0.3">
      <c r="A481" s="17" t="s">
        <v>718</v>
      </c>
      <c r="B481" s="17" t="s">
        <v>160</v>
      </c>
      <c r="C481" s="50" t="str">
        <f>VLOOKUP(B481,'Patner Store'!A$2:A$51,1,0)</f>
        <v>PS0023</v>
      </c>
      <c r="D481" s="29" t="s">
        <v>227</v>
      </c>
      <c r="E481" s="50" t="str">
        <f>VLOOKUP(D481,'Sales Team'!A$2:B$6,1,0)</f>
        <v>ST0003</v>
      </c>
      <c r="F481" s="28">
        <v>44331</v>
      </c>
      <c r="G481" s="29" t="s">
        <v>237</v>
      </c>
      <c r="H481" s="31">
        <v>278248550</v>
      </c>
      <c r="I481" s="17"/>
    </row>
    <row r="482" spans="1:9" ht="15.75" customHeight="1" x14ac:dyDescent="0.3">
      <c r="A482" s="17" t="s">
        <v>719</v>
      </c>
      <c r="B482" s="17" t="s">
        <v>179</v>
      </c>
      <c r="C482" s="50" t="str">
        <f>VLOOKUP(B482,'Patner Store'!A$2:A$51,1,0)</f>
        <v>PS0032</v>
      </c>
      <c r="D482" s="29" t="s">
        <v>229</v>
      </c>
      <c r="E482" s="50" t="str">
        <f>VLOOKUP(D482,'Sales Team'!A$2:B$6,1,0)</f>
        <v>ST0004</v>
      </c>
      <c r="F482" s="28">
        <v>44331</v>
      </c>
      <c r="G482" s="17" t="s">
        <v>234</v>
      </c>
      <c r="H482" s="31">
        <v>37900278</v>
      </c>
      <c r="I482" s="17"/>
    </row>
    <row r="483" spans="1:9" ht="15.75" customHeight="1" x14ac:dyDescent="0.3">
      <c r="A483" s="17" t="s">
        <v>720</v>
      </c>
      <c r="B483" s="17" t="s">
        <v>131</v>
      </c>
      <c r="C483" s="50" t="str">
        <f>VLOOKUP(B483,'Patner Store'!A$2:A$51,1,0)</f>
        <v>PS0010</v>
      </c>
      <c r="D483" s="29" t="s">
        <v>222</v>
      </c>
      <c r="E483" s="50" t="str">
        <f>VLOOKUP(D483,'Sales Team'!A$2:B$6,1,0)</f>
        <v>ST0001</v>
      </c>
      <c r="F483" s="28">
        <v>44331</v>
      </c>
      <c r="G483" s="17" t="s">
        <v>234</v>
      </c>
      <c r="H483" s="31">
        <v>207233250</v>
      </c>
      <c r="I483" s="17" t="s">
        <v>253</v>
      </c>
    </row>
    <row r="484" spans="1:9" ht="15.75" customHeight="1" x14ac:dyDescent="0.3">
      <c r="A484" s="17" t="s">
        <v>721</v>
      </c>
      <c r="B484" s="17" t="s">
        <v>195</v>
      </c>
      <c r="C484" s="50" t="str">
        <f>VLOOKUP(B484,'Patner Store'!A$2:A$51,1,0)</f>
        <v>PS0040</v>
      </c>
      <c r="D484" s="29" t="s">
        <v>227</v>
      </c>
      <c r="E484" s="50" t="str">
        <f>VLOOKUP(D484,'Sales Team'!A$2:B$6,1,0)</f>
        <v>ST0003</v>
      </c>
      <c r="F484" s="28">
        <v>44331</v>
      </c>
      <c r="G484" s="29" t="s">
        <v>237</v>
      </c>
      <c r="H484" s="31">
        <v>514956280</v>
      </c>
      <c r="I484" s="17"/>
    </row>
    <row r="485" spans="1:9" ht="15.75" customHeight="1" x14ac:dyDescent="0.3">
      <c r="A485" s="17" t="s">
        <v>722</v>
      </c>
      <c r="B485" s="17" t="s">
        <v>201</v>
      </c>
      <c r="C485" s="50" t="str">
        <f>VLOOKUP(B485,'Patner Store'!A$2:A$51,1,0)</f>
        <v>PS0043</v>
      </c>
      <c r="D485" s="29" t="s">
        <v>229</v>
      </c>
      <c r="E485" s="50" t="str">
        <f>VLOOKUP(D485,'Sales Team'!A$2:B$6,1,0)</f>
        <v>ST0004</v>
      </c>
      <c r="F485" s="28">
        <v>44332</v>
      </c>
      <c r="G485" s="29" t="s">
        <v>237</v>
      </c>
      <c r="H485" s="31">
        <v>418152000</v>
      </c>
      <c r="I485" s="17"/>
    </row>
    <row r="486" spans="1:9" ht="15.75" customHeight="1" x14ac:dyDescent="0.3">
      <c r="A486" s="17" t="s">
        <v>723</v>
      </c>
      <c r="B486" s="17" t="s">
        <v>158</v>
      </c>
      <c r="C486" s="50" t="str">
        <f>VLOOKUP(B486,'Patner Store'!A$2:A$51,1,0)</f>
        <v>PS0022</v>
      </c>
      <c r="D486" s="29" t="s">
        <v>229</v>
      </c>
      <c r="E486" s="50" t="str">
        <f>VLOOKUP(D486,'Sales Team'!A$2:B$6,1,0)</f>
        <v>ST0004</v>
      </c>
      <c r="F486" s="28">
        <v>44334</v>
      </c>
      <c r="G486" s="29" t="s">
        <v>237</v>
      </c>
      <c r="H486" s="31">
        <v>931519000</v>
      </c>
      <c r="I486" s="17"/>
    </row>
    <row r="487" spans="1:9" ht="15.75" customHeight="1" x14ac:dyDescent="0.3">
      <c r="A487" s="17" t="s">
        <v>724</v>
      </c>
      <c r="B487" s="17" t="s">
        <v>187</v>
      </c>
      <c r="C487" s="50" t="str">
        <f>VLOOKUP(B487,'Patner Store'!A$2:A$51,1,0)</f>
        <v>PS0036</v>
      </c>
      <c r="D487" s="29" t="s">
        <v>231</v>
      </c>
      <c r="E487" s="50" t="str">
        <f>VLOOKUP(D487,'Sales Team'!A$2:B$6,1,0)</f>
        <v>ST0005</v>
      </c>
      <c r="F487" s="28">
        <v>44334</v>
      </c>
      <c r="G487" s="29" t="s">
        <v>237</v>
      </c>
      <c r="H487" s="31">
        <v>489839920</v>
      </c>
      <c r="I487" s="17"/>
    </row>
    <row r="488" spans="1:9" ht="15.75" customHeight="1" x14ac:dyDescent="0.3">
      <c r="A488" s="17" t="s">
        <v>725</v>
      </c>
      <c r="B488" s="17" t="s">
        <v>175</v>
      </c>
      <c r="C488" s="50" t="str">
        <f>VLOOKUP(B488,'Patner Store'!A$2:A$51,1,0)</f>
        <v>PS0030</v>
      </c>
      <c r="D488" s="29" t="s">
        <v>229</v>
      </c>
      <c r="E488" s="50" t="str">
        <f>VLOOKUP(D488,'Sales Team'!A$2:B$6,1,0)</f>
        <v>ST0004</v>
      </c>
      <c r="F488" s="28">
        <v>44334</v>
      </c>
      <c r="G488" s="29" t="s">
        <v>237</v>
      </c>
      <c r="H488" s="31">
        <v>989382700</v>
      </c>
      <c r="I488" s="17"/>
    </row>
    <row r="489" spans="1:9" ht="15.75" customHeight="1" x14ac:dyDescent="0.3">
      <c r="A489" s="17" t="s">
        <v>726</v>
      </c>
      <c r="B489" s="17" t="s">
        <v>197</v>
      </c>
      <c r="C489" s="50" t="str">
        <f>VLOOKUP(B489,'Patner Store'!A$2:A$51,1,0)</f>
        <v>PS0041</v>
      </c>
      <c r="D489" s="29" t="s">
        <v>222</v>
      </c>
      <c r="E489" s="50" t="str">
        <f>VLOOKUP(D489,'Sales Team'!A$2:B$6,1,0)</f>
        <v>ST0001</v>
      </c>
      <c r="F489" s="28">
        <v>44336</v>
      </c>
      <c r="G489" s="17" t="s">
        <v>234</v>
      </c>
      <c r="H489" s="31">
        <v>45683380</v>
      </c>
      <c r="I489" s="17"/>
    </row>
    <row r="490" spans="1:9" ht="15.75" customHeight="1" x14ac:dyDescent="0.3">
      <c r="A490" s="17" t="s">
        <v>727</v>
      </c>
      <c r="B490" s="17" t="s">
        <v>191</v>
      </c>
      <c r="C490" s="50" t="str">
        <f>VLOOKUP(B490,'Patner Store'!A$2:A$51,1,0)</f>
        <v>PS0038</v>
      </c>
      <c r="D490" s="29" t="s">
        <v>229</v>
      </c>
      <c r="E490" s="50" t="str">
        <f>VLOOKUP(D490,'Sales Team'!A$2:B$6,1,0)</f>
        <v>ST0004</v>
      </c>
      <c r="F490" s="28">
        <v>44336</v>
      </c>
      <c r="G490" s="29" t="s">
        <v>237</v>
      </c>
      <c r="H490" s="31">
        <v>318096900</v>
      </c>
      <c r="I490" s="17"/>
    </row>
    <row r="491" spans="1:9" ht="15.75" customHeight="1" x14ac:dyDescent="0.3">
      <c r="A491" s="17" t="s">
        <v>728</v>
      </c>
      <c r="B491" s="17" t="s">
        <v>173</v>
      </c>
      <c r="C491" s="50" t="str">
        <f>VLOOKUP(B491,'Patner Store'!A$2:A$51,1,0)</f>
        <v>PS0029</v>
      </c>
      <c r="D491" s="29" t="s">
        <v>229</v>
      </c>
      <c r="E491" s="50" t="str">
        <f>VLOOKUP(D491,'Sales Team'!A$2:B$6,1,0)</f>
        <v>ST0004</v>
      </c>
      <c r="F491" s="28">
        <v>44337</v>
      </c>
      <c r="G491" s="17" t="s">
        <v>234</v>
      </c>
      <c r="H491" s="31">
        <v>61893770</v>
      </c>
      <c r="I491" s="17"/>
    </row>
    <row r="492" spans="1:9" ht="15.75" customHeight="1" x14ac:dyDescent="0.3">
      <c r="A492" s="17" t="s">
        <v>729</v>
      </c>
      <c r="B492" s="17" t="s">
        <v>162</v>
      </c>
      <c r="C492" s="50" t="str">
        <f>VLOOKUP(B492,'Patner Store'!A$2:A$51,1,0)</f>
        <v>PS0024</v>
      </c>
      <c r="D492" s="29" t="s">
        <v>222</v>
      </c>
      <c r="E492" s="50" t="str">
        <f>VLOOKUP(D492,'Sales Team'!A$2:B$6,1,0)</f>
        <v>ST0001</v>
      </c>
      <c r="F492" s="28">
        <v>44338</v>
      </c>
      <c r="G492" s="17" t="s">
        <v>234</v>
      </c>
      <c r="H492" s="31">
        <v>22409310</v>
      </c>
      <c r="I492" s="17"/>
    </row>
    <row r="493" spans="1:9" ht="15.75" customHeight="1" x14ac:dyDescent="0.3">
      <c r="A493" s="17" t="s">
        <v>730</v>
      </c>
      <c r="B493" s="17" t="s">
        <v>164</v>
      </c>
      <c r="C493" s="50" t="str">
        <f>VLOOKUP(B493,'Patner Store'!A$2:A$51,1,0)</f>
        <v>PS0025</v>
      </c>
      <c r="D493" s="29" t="s">
        <v>227</v>
      </c>
      <c r="E493" s="50" t="str">
        <f>VLOOKUP(D493,'Sales Team'!A$2:B$6,1,0)</f>
        <v>ST0003</v>
      </c>
      <c r="F493" s="28">
        <v>44338</v>
      </c>
      <c r="G493" s="17" t="s">
        <v>234</v>
      </c>
      <c r="H493" s="31">
        <v>47837520</v>
      </c>
      <c r="I493" s="17"/>
    </row>
    <row r="494" spans="1:9" ht="15.75" customHeight="1" x14ac:dyDescent="0.3">
      <c r="A494" s="17" t="s">
        <v>731</v>
      </c>
      <c r="B494" s="17" t="s">
        <v>116</v>
      </c>
      <c r="C494" s="50" t="str">
        <f>VLOOKUP(B494,'Patner Store'!A$2:A$51,1,0)</f>
        <v>PS0004</v>
      </c>
      <c r="D494" s="29" t="s">
        <v>222</v>
      </c>
      <c r="E494" s="50" t="str">
        <f>VLOOKUP(D494,'Sales Team'!A$2:B$6,1,0)</f>
        <v>ST0001</v>
      </c>
      <c r="F494" s="28">
        <v>44339</v>
      </c>
      <c r="G494" s="29" t="s">
        <v>237</v>
      </c>
      <c r="H494" s="31">
        <v>1275220310</v>
      </c>
      <c r="I494" s="17"/>
    </row>
    <row r="495" spans="1:9" ht="15.75" customHeight="1" x14ac:dyDescent="0.3">
      <c r="A495" s="17" t="s">
        <v>732</v>
      </c>
      <c r="B495" s="17" t="s">
        <v>162</v>
      </c>
      <c r="C495" s="50" t="str">
        <f>VLOOKUP(B495,'Patner Store'!A$2:A$51,1,0)</f>
        <v>PS0024</v>
      </c>
      <c r="D495" s="29" t="s">
        <v>222</v>
      </c>
      <c r="E495" s="50" t="str">
        <f>VLOOKUP(D495,'Sales Team'!A$2:B$6,1,0)</f>
        <v>ST0001</v>
      </c>
      <c r="F495" s="28">
        <v>44339</v>
      </c>
      <c r="G495" s="29" t="s">
        <v>237</v>
      </c>
      <c r="H495" s="31">
        <v>297241230</v>
      </c>
      <c r="I495" s="17"/>
    </row>
    <row r="496" spans="1:9" ht="15.75" customHeight="1" x14ac:dyDescent="0.3">
      <c r="A496" s="17" t="s">
        <v>733</v>
      </c>
      <c r="B496" s="17" t="s">
        <v>135</v>
      </c>
      <c r="C496" s="50" t="str">
        <f>VLOOKUP(B496,'Patner Store'!A$2:A$51,1,0)</f>
        <v>PS0012</v>
      </c>
      <c r="D496" s="29" t="s">
        <v>227</v>
      </c>
      <c r="E496" s="50" t="str">
        <f>VLOOKUP(D496,'Sales Team'!A$2:B$6,1,0)</f>
        <v>ST0003</v>
      </c>
      <c r="F496" s="28">
        <v>44340</v>
      </c>
      <c r="G496" s="17" t="s">
        <v>234</v>
      </c>
      <c r="H496" s="31">
        <v>230497844</v>
      </c>
      <c r="I496" s="17"/>
    </row>
    <row r="497" spans="1:9" ht="15.75" customHeight="1" x14ac:dyDescent="0.3">
      <c r="A497" s="17" t="s">
        <v>734</v>
      </c>
      <c r="B497" s="17" t="s">
        <v>144</v>
      </c>
      <c r="C497" s="50" t="str">
        <f>VLOOKUP(B497,'Patner Store'!A$2:A$51,1,0)</f>
        <v>PS0016</v>
      </c>
      <c r="D497" s="29" t="s">
        <v>227</v>
      </c>
      <c r="E497" s="50" t="str">
        <f>VLOOKUP(D497,'Sales Team'!A$2:B$6,1,0)</f>
        <v>ST0003</v>
      </c>
      <c r="F497" s="28">
        <v>44341</v>
      </c>
      <c r="G497" s="17" t="s">
        <v>234</v>
      </c>
      <c r="H497" s="31">
        <v>97150260</v>
      </c>
      <c r="I497" s="17"/>
    </row>
    <row r="498" spans="1:9" ht="15.75" customHeight="1" x14ac:dyDescent="0.3">
      <c r="A498" s="17" t="s">
        <v>735</v>
      </c>
      <c r="B498" s="17" t="s">
        <v>213</v>
      </c>
      <c r="C498" s="50" t="str">
        <f>VLOOKUP(B498,'Patner Store'!A$2:A$51,1,0)</f>
        <v>PS0049</v>
      </c>
      <c r="D498" s="29" t="s">
        <v>229</v>
      </c>
      <c r="E498" s="50" t="str">
        <f>VLOOKUP(D498,'Sales Team'!A$2:B$6,1,0)</f>
        <v>ST0004</v>
      </c>
      <c r="F498" s="28">
        <v>44341</v>
      </c>
      <c r="G498" s="29" t="s">
        <v>237</v>
      </c>
      <c r="H498" s="31">
        <v>420574990</v>
      </c>
      <c r="I498" s="17"/>
    </row>
    <row r="499" spans="1:9" ht="15.75" customHeight="1" x14ac:dyDescent="0.3">
      <c r="A499" s="17" t="s">
        <v>736</v>
      </c>
      <c r="B499" s="17" t="s">
        <v>126</v>
      </c>
      <c r="C499" s="50" t="str">
        <f>VLOOKUP(B499,'Patner Store'!A$2:A$51,1,0)</f>
        <v>PS0008</v>
      </c>
      <c r="D499" s="29" t="s">
        <v>229</v>
      </c>
      <c r="E499" s="50" t="str">
        <f>VLOOKUP(D499,'Sales Team'!A$2:B$6,1,0)</f>
        <v>ST0004</v>
      </c>
      <c r="F499" s="28">
        <v>44342</v>
      </c>
      <c r="G499" s="17" t="s">
        <v>234</v>
      </c>
      <c r="H499" s="31">
        <v>102523230</v>
      </c>
      <c r="I499" s="17"/>
    </row>
    <row r="500" spans="1:9" ht="15.75" customHeight="1" x14ac:dyDescent="0.3">
      <c r="A500" s="17" t="s">
        <v>737</v>
      </c>
      <c r="B500" s="17" t="s">
        <v>139</v>
      </c>
      <c r="C500" s="50" t="str">
        <f>VLOOKUP(B500,'Patner Store'!A$2:A$51,1,0)</f>
        <v>PS0014</v>
      </c>
      <c r="D500" s="29" t="s">
        <v>227</v>
      </c>
      <c r="E500" s="50" t="str">
        <f>VLOOKUP(D500,'Sales Team'!A$2:B$6,1,0)</f>
        <v>ST0003</v>
      </c>
      <c r="F500" s="28">
        <v>44342</v>
      </c>
      <c r="G500" s="29" t="s">
        <v>237</v>
      </c>
      <c r="H500" s="31">
        <v>288364480</v>
      </c>
      <c r="I500" s="17" t="s">
        <v>253</v>
      </c>
    </row>
    <row r="501" spans="1:9" ht="15.75" customHeight="1" x14ac:dyDescent="0.3">
      <c r="A501" s="17" t="s">
        <v>738</v>
      </c>
      <c r="B501" s="17" t="s">
        <v>203</v>
      </c>
      <c r="C501" s="50" t="str">
        <f>VLOOKUP(B501,'Patner Store'!A$2:A$51,1,0)</f>
        <v>PS0044</v>
      </c>
      <c r="D501" s="29" t="s">
        <v>229</v>
      </c>
      <c r="E501" s="50" t="str">
        <f>VLOOKUP(D501,'Sales Team'!A$2:B$6,1,0)</f>
        <v>ST0004</v>
      </c>
      <c r="F501" s="28">
        <v>44345</v>
      </c>
      <c r="G501" s="29" t="s">
        <v>237</v>
      </c>
      <c r="H501" s="31">
        <v>891817920</v>
      </c>
      <c r="I501" s="17" t="s">
        <v>238</v>
      </c>
    </row>
    <row r="502" spans="1:9" ht="15.75" customHeight="1" x14ac:dyDescent="0.3">
      <c r="A502" s="17" t="s">
        <v>739</v>
      </c>
      <c r="B502" s="17" t="s">
        <v>181</v>
      </c>
      <c r="C502" s="50" t="str">
        <f>VLOOKUP(B502,'Patner Store'!A$2:A$51,1,0)</f>
        <v>PS0033</v>
      </c>
      <c r="D502" s="29" t="s">
        <v>231</v>
      </c>
      <c r="E502" s="50" t="str">
        <f>VLOOKUP(D502,'Sales Team'!A$2:B$6,1,0)</f>
        <v>ST0005</v>
      </c>
      <c r="F502" s="28">
        <v>44346</v>
      </c>
      <c r="G502" s="29" t="s">
        <v>237</v>
      </c>
      <c r="H502" s="31">
        <v>335509160</v>
      </c>
      <c r="I502" s="17" t="s">
        <v>260</v>
      </c>
    </row>
    <row r="503" spans="1:9" ht="15.75" customHeight="1" x14ac:dyDescent="0.3">
      <c r="A503" s="17" t="s">
        <v>740</v>
      </c>
      <c r="B503" s="17" t="s">
        <v>185</v>
      </c>
      <c r="C503" s="50" t="str">
        <f>VLOOKUP(B503,'Patner Store'!A$2:A$51,1,0)</f>
        <v>PS0035</v>
      </c>
      <c r="D503" s="29" t="s">
        <v>229</v>
      </c>
      <c r="E503" s="50" t="str">
        <f>VLOOKUP(D503,'Sales Team'!A$2:B$6,1,0)</f>
        <v>ST0004</v>
      </c>
      <c r="F503" s="28">
        <v>44347</v>
      </c>
      <c r="G503" s="29" t="s">
        <v>237</v>
      </c>
      <c r="H503" s="31">
        <v>346080570</v>
      </c>
      <c r="I503" s="17"/>
    </row>
    <row r="504" spans="1:9" ht="15.75" customHeight="1" x14ac:dyDescent="0.3">
      <c r="A504" s="17" t="s">
        <v>741</v>
      </c>
      <c r="B504" s="17" t="s">
        <v>113</v>
      </c>
      <c r="C504" s="50" t="str">
        <f>VLOOKUP(B504,'Patner Store'!A$2:A$51,1,0)</f>
        <v>PS0003</v>
      </c>
      <c r="D504" s="29" t="s">
        <v>227</v>
      </c>
      <c r="E504" s="50" t="str">
        <f>VLOOKUP(D504,'Sales Team'!A$2:B$6,1,0)</f>
        <v>ST0003</v>
      </c>
      <c r="F504" s="28">
        <v>44350</v>
      </c>
      <c r="G504" s="17" t="s">
        <v>234</v>
      </c>
      <c r="H504" s="31">
        <v>23400000</v>
      </c>
      <c r="I504" s="17"/>
    </row>
    <row r="505" spans="1:9" ht="15.75" customHeight="1" x14ac:dyDescent="0.3">
      <c r="A505" s="17" t="s">
        <v>742</v>
      </c>
      <c r="B505" s="17" t="s">
        <v>154</v>
      </c>
      <c r="C505" s="50" t="str">
        <f>VLOOKUP(B505,'Patner Store'!A$2:A$51,1,0)</f>
        <v>PS0020</v>
      </c>
      <c r="D505" s="29" t="s">
        <v>229</v>
      </c>
      <c r="E505" s="50" t="str">
        <f>VLOOKUP(D505,'Sales Team'!A$2:B$6,1,0)</f>
        <v>ST0004</v>
      </c>
      <c r="F505" s="28">
        <v>44352</v>
      </c>
      <c r="G505" s="17" t="s">
        <v>234</v>
      </c>
      <c r="H505" s="31">
        <v>99902170</v>
      </c>
      <c r="I505" s="17"/>
    </row>
    <row r="506" spans="1:9" ht="15.75" customHeight="1" x14ac:dyDescent="0.3">
      <c r="A506" s="17" t="s">
        <v>743</v>
      </c>
      <c r="B506" s="17" t="s">
        <v>133</v>
      </c>
      <c r="C506" s="50" t="str">
        <f>VLOOKUP(B506,'Patner Store'!A$2:A$51,1,0)</f>
        <v>PS0011</v>
      </c>
      <c r="D506" s="29" t="s">
        <v>225</v>
      </c>
      <c r="E506" s="50" t="str">
        <f>VLOOKUP(D506,'Sales Team'!A$2:B$6,1,0)</f>
        <v>ST0002</v>
      </c>
      <c r="F506" s="28">
        <v>44354</v>
      </c>
      <c r="G506" s="29" t="s">
        <v>237</v>
      </c>
      <c r="H506" s="31">
        <v>318117750</v>
      </c>
      <c r="I506" s="17"/>
    </row>
    <row r="507" spans="1:9" ht="15.75" customHeight="1" x14ac:dyDescent="0.3">
      <c r="A507" s="17" t="s">
        <v>744</v>
      </c>
      <c r="B507" s="17" t="s">
        <v>154</v>
      </c>
      <c r="C507" s="50" t="str">
        <f>VLOOKUP(B507,'Patner Store'!A$2:A$51,1,0)</f>
        <v>PS0020</v>
      </c>
      <c r="D507" s="29" t="s">
        <v>229</v>
      </c>
      <c r="E507" s="50" t="str">
        <f>VLOOKUP(D507,'Sales Team'!A$2:B$6,1,0)</f>
        <v>ST0004</v>
      </c>
      <c r="F507" s="28">
        <v>44354</v>
      </c>
      <c r="G507" s="17" t="s">
        <v>234</v>
      </c>
      <c r="H507" s="31">
        <v>1372400</v>
      </c>
      <c r="I507" s="17"/>
    </row>
    <row r="508" spans="1:9" ht="15.75" customHeight="1" x14ac:dyDescent="0.3">
      <c r="A508" s="17" t="s">
        <v>745</v>
      </c>
      <c r="B508" s="17" t="s">
        <v>179</v>
      </c>
      <c r="C508" s="50" t="str">
        <f>VLOOKUP(B508,'Patner Store'!A$2:A$51,1,0)</f>
        <v>PS0032</v>
      </c>
      <c r="D508" s="29" t="s">
        <v>229</v>
      </c>
      <c r="E508" s="50" t="str">
        <f>VLOOKUP(D508,'Sales Team'!A$2:B$6,1,0)</f>
        <v>ST0004</v>
      </c>
      <c r="F508" s="28">
        <v>44356</v>
      </c>
      <c r="G508" s="29" t="s">
        <v>237</v>
      </c>
      <c r="H508" s="31">
        <v>348734130</v>
      </c>
      <c r="I508" s="17"/>
    </row>
    <row r="509" spans="1:9" ht="15.75" customHeight="1" x14ac:dyDescent="0.3">
      <c r="A509" s="17" t="s">
        <v>746</v>
      </c>
      <c r="B509" s="17" t="s">
        <v>126</v>
      </c>
      <c r="C509" s="50" t="str">
        <f>VLOOKUP(B509,'Patner Store'!A$2:A$51,1,0)</f>
        <v>PS0008</v>
      </c>
      <c r="D509" s="29" t="s">
        <v>229</v>
      </c>
      <c r="E509" s="50" t="str">
        <f>VLOOKUP(D509,'Sales Team'!A$2:B$6,1,0)</f>
        <v>ST0004</v>
      </c>
      <c r="F509" s="28">
        <v>44358</v>
      </c>
      <c r="G509" s="17" t="s">
        <v>234</v>
      </c>
      <c r="H509" s="31">
        <v>12821000</v>
      </c>
      <c r="I509" s="17" t="s">
        <v>253</v>
      </c>
    </row>
    <row r="510" spans="1:9" ht="15.75" customHeight="1" x14ac:dyDescent="0.3">
      <c r="A510" s="17" t="s">
        <v>747</v>
      </c>
      <c r="B510" s="17" t="s">
        <v>166</v>
      </c>
      <c r="C510" s="50" t="str">
        <f>VLOOKUP(B510,'Patner Store'!A$2:A$51,1,0)</f>
        <v>PS0026</v>
      </c>
      <c r="D510" s="29" t="s">
        <v>229</v>
      </c>
      <c r="E510" s="50" t="str">
        <f>VLOOKUP(D510,'Sales Team'!A$2:B$6,1,0)</f>
        <v>ST0004</v>
      </c>
      <c r="F510" s="28">
        <v>44358</v>
      </c>
      <c r="G510" s="17" t="s">
        <v>234</v>
      </c>
      <c r="H510" s="31">
        <v>59448680</v>
      </c>
      <c r="I510" s="17"/>
    </row>
    <row r="511" spans="1:9" ht="15.75" customHeight="1" x14ac:dyDescent="0.3">
      <c r="A511" s="17" t="s">
        <v>748</v>
      </c>
      <c r="B511" s="17" t="s">
        <v>148</v>
      </c>
      <c r="C511" s="50" t="str">
        <f>VLOOKUP(B511,'Patner Store'!A$2:A$51,1,0)</f>
        <v>PS0018</v>
      </c>
      <c r="D511" s="29" t="s">
        <v>225</v>
      </c>
      <c r="E511" s="50" t="str">
        <f>VLOOKUP(D511,'Sales Team'!A$2:B$6,1,0)</f>
        <v>ST0002</v>
      </c>
      <c r="F511" s="28">
        <v>44360</v>
      </c>
      <c r="G511" s="17" t="s">
        <v>234</v>
      </c>
      <c r="H511" s="31">
        <v>35408520</v>
      </c>
      <c r="I511" s="17"/>
    </row>
    <row r="512" spans="1:9" ht="15.75" customHeight="1" x14ac:dyDescent="0.3">
      <c r="A512" s="17" t="s">
        <v>749</v>
      </c>
      <c r="B512" s="17" t="s">
        <v>193</v>
      </c>
      <c r="C512" s="50" t="str">
        <f>VLOOKUP(B512,'Patner Store'!A$2:A$51,1,0)</f>
        <v>PS0039</v>
      </c>
      <c r="D512" s="29" t="s">
        <v>227</v>
      </c>
      <c r="E512" s="50" t="str">
        <f>VLOOKUP(D512,'Sales Team'!A$2:B$6,1,0)</f>
        <v>ST0003</v>
      </c>
      <c r="F512" s="28">
        <v>44361</v>
      </c>
      <c r="G512" s="29" t="s">
        <v>237</v>
      </c>
      <c r="H512" s="31">
        <v>424647510</v>
      </c>
      <c r="I512" s="17"/>
    </row>
    <row r="513" spans="1:9" ht="15.75" customHeight="1" x14ac:dyDescent="0.3">
      <c r="A513" s="17" t="s">
        <v>750</v>
      </c>
      <c r="B513" s="17" t="s">
        <v>119</v>
      </c>
      <c r="C513" s="50" t="str">
        <f>VLOOKUP(B513,'Patner Store'!A$2:A$51,1,0)</f>
        <v>PS0005</v>
      </c>
      <c r="D513" s="29" t="s">
        <v>229</v>
      </c>
      <c r="E513" s="50" t="str">
        <f>VLOOKUP(D513,'Sales Team'!A$2:B$6,1,0)</f>
        <v>ST0004</v>
      </c>
      <c r="F513" s="28">
        <v>44364</v>
      </c>
      <c r="G513" s="29" t="s">
        <v>237</v>
      </c>
      <c r="H513" s="31">
        <v>343989890</v>
      </c>
      <c r="I513" s="17"/>
    </row>
    <row r="514" spans="1:9" ht="15.75" customHeight="1" x14ac:dyDescent="0.3">
      <c r="A514" s="17" t="s">
        <v>751</v>
      </c>
      <c r="B514" s="17" t="s">
        <v>131</v>
      </c>
      <c r="C514" s="50" t="str">
        <f>VLOOKUP(B514,'Patner Store'!A$2:A$51,1,0)</f>
        <v>PS0010</v>
      </c>
      <c r="D514" s="29" t="s">
        <v>222</v>
      </c>
      <c r="E514" s="50" t="str">
        <f>VLOOKUP(D514,'Sales Team'!A$2:B$6,1,0)</f>
        <v>ST0001</v>
      </c>
      <c r="F514" s="28">
        <v>44364</v>
      </c>
      <c r="G514" s="17" t="s">
        <v>234</v>
      </c>
      <c r="H514" s="31">
        <v>185828700</v>
      </c>
      <c r="I514" s="17" t="s">
        <v>260</v>
      </c>
    </row>
    <row r="515" spans="1:9" ht="15.75" customHeight="1" x14ac:dyDescent="0.3">
      <c r="A515" s="17" t="s">
        <v>752</v>
      </c>
      <c r="B515" s="17" t="s">
        <v>197</v>
      </c>
      <c r="C515" s="50" t="str">
        <f>VLOOKUP(B515,'Patner Store'!A$2:A$51,1,0)</f>
        <v>PS0041</v>
      </c>
      <c r="D515" s="29" t="s">
        <v>222</v>
      </c>
      <c r="E515" s="50" t="str">
        <f>VLOOKUP(D515,'Sales Team'!A$2:B$6,1,0)</f>
        <v>ST0001</v>
      </c>
      <c r="F515" s="28">
        <v>44365</v>
      </c>
      <c r="G515" s="29" t="s">
        <v>237</v>
      </c>
      <c r="H515" s="31">
        <v>797598330</v>
      </c>
      <c r="I515" s="17"/>
    </row>
    <row r="516" spans="1:9" ht="15.75" customHeight="1" x14ac:dyDescent="0.3">
      <c r="A516" s="17" t="s">
        <v>753</v>
      </c>
      <c r="B516" s="17" t="s">
        <v>185</v>
      </c>
      <c r="C516" s="50" t="str">
        <f>VLOOKUP(B516,'Patner Store'!A$2:A$51,1,0)</f>
        <v>PS0035</v>
      </c>
      <c r="D516" s="29" t="s">
        <v>229</v>
      </c>
      <c r="E516" s="50" t="str">
        <f>VLOOKUP(D516,'Sales Team'!A$2:B$6,1,0)</f>
        <v>ST0004</v>
      </c>
      <c r="F516" s="28">
        <v>44365</v>
      </c>
      <c r="G516" s="29" t="s">
        <v>237</v>
      </c>
      <c r="H516" s="31">
        <v>446565983</v>
      </c>
      <c r="I516" s="17"/>
    </row>
    <row r="517" spans="1:9" ht="15.75" customHeight="1" x14ac:dyDescent="0.3">
      <c r="A517" s="17" t="s">
        <v>754</v>
      </c>
      <c r="B517" s="17" t="s">
        <v>154</v>
      </c>
      <c r="C517" s="50" t="str">
        <f>VLOOKUP(B517,'Patner Store'!A$2:A$51,1,0)</f>
        <v>PS0020</v>
      </c>
      <c r="D517" s="29" t="s">
        <v>229</v>
      </c>
      <c r="E517" s="50" t="str">
        <f>VLOOKUP(D517,'Sales Team'!A$2:B$6,1,0)</f>
        <v>ST0004</v>
      </c>
      <c r="F517" s="28">
        <v>44366</v>
      </c>
      <c r="G517" s="17" t="s">
        <v>234</v>
      </c>
      <c r="H517" s="31">
        <v>33075522</v>
      </c>
      <c r="I517" s="17"/>
    </row>
    <row r="518" spans="1:9" ht="15.75" customHeight="1" x14ac:dyDescent="0.3">
      <c r="A518" s="17" t="s">
        <v>755</v>
      </c>
      <c r="B518" s="17" t="s">
        <v>146</v>
      </c>
      <c r="C518" s="50" t="str">
        <f>VLOOKUP(B518,'Patner Store'!A$2:A$51,1,0)</f>
        <v>PS0017</v>
      </c>
      <c r="D518" s="29" t="s">
        <v>222</v>
      </c>
      <c r="E518" s="50" t="str">
        <f>VLOOKUP(D518,'Sales Team'!A$2:B$6,1,0)</f>
        <v>ST0001</v>
      </c>
      <c r="F518" s="28">
        <v>44367</v>
      </c>
      <c r="G518" s="17" t="s">
        <v>234</v>
      </c>
      <c r="H518" s="31">
        <v>34433840</v>
      </c>
      <c r="I518" s="17"/>
    </row>
    <row r="519" spans="1:9" ht="15.75" customHeight="1" x14ac:dyDescent="0.3">
      <c r="A519" s="17" t="s">
        <v>756</v>
      </c>
      <c r="B519" s="17" t="s">
        <v>193</v>
      </c>
      <c r="C519" s="50" t="str">
        <f>VLOOKUP(B519,'Patner Store'!A$2:A$51,1,0)</f>
        <v>PS0039</v>
      </c>
      <c r="D519" s="29" t="s">
        <v>227</v>
      </c>
      <c r="E519" s="50" t="str">
        <f>VLOOKUP(D519,'Sales Team'!A$2:B$6,1,0)</f>
        <v>ST0003</v>
      </c>
      <c r="F519" s="28">
        <v>44367</v>
      </c>
      <c r="G519" s="29" t="s">
        <v>237</v>
      </c>
      <c r="H519" s="31">
        <v>340093950</v>
      </c>
      <c r="I519" s="17"/>
    </row>
    <row r="520" spans="1:9" ht="15.75" customHeight="1" x14ac:dyDescent="0.3">
      <c r="A520" s="17" t="s">
        <v>757</v>
      </c>
      <c r="B520" s="17" t="s">
        <v>187</v>
      </c>
      <c r="C520" s="50" t="str">
        <f>VLOOKUP(B520,'Patner Store'!A$2:A$51,1,0)</f>
        <v>PS0036</v>
      </c>
      <c r="D520" s="29" t="s">
        <v>231</v>
      </c>
      <c r="E520" s="50" t="str">
        <f>VLOOKUP(D520,'Sales Team'!A$2:B$6,1,0)</f>
        <v>ST0005</v>
      </c>
      <c r="F520" s="28">
        <v>44367</v>
      </c>
      <c r="G520" s="29" t="s">
        <v>237</v>
      </c>
      <c r="H520" s="31">
        <v>256545630</v>
      </c>
      <c r="I520" s="17"/>
    </row>
    <row r="521" spans="1:9" ht="15.75" customHeight="1" x14ac:dyDescent="0.3">
      <c r="A521" s="17" t="s">
        <v>758</v>
      </c>
      <c r="B521" s="17" t="s">
        <v>191</v>
      </c>
      <c r="C521" s="50" t="str">
        <f>VLOOKUP(B521,'Patner Store'!A$2:A$51,1,0)</f>
        <v>PS0038</v>
      </c>
      <c r="D521" s="29" t="s">
        <v>229</v>
      </c>
      <c r="E521" s="50" t="str">
        <f>VLOOKUP(D521,'Sales Team'!A$2:B$6,1,0)</f>
        <v>ST0004</v>
      </c>
      <c r="F521" s="28">
        <v>44368</v>
      </c>
      <c r="G521" s="17" t="s">
        <v>234</v>
      </c>
      <c r="H521" s="31">
        <v>140114040</v>
      </c>
      <c r="I521" s="17" t="s">
        <v>260</v>
      </c>
    </row>
    <row r="522" spans="1:9" ht="15.75" customHeight="1" x14ac:dyDescent="0.3">
      <c r="A522" s="17" t="s">
        <v>759</v>
      </c>
      <c r="B522" s="17" t="s">
        <v>211</v>
      </c>
      <c r="C522" s="50" t="str">
        <f>VLOOKUP(B522,'Patner Store'!A$2:A$51,1,0)</f>
        <v>PS0048</v>
      </c>
      <c r="D522" s="29" t="s">
        <v>227</v>
      </c>
      <c r="E522" s="50" t="str">
        <f>VLOOKUP(D522,'Sales Team'!A$2:B$6,1,0)</f>
        <v>ST0003</v>
      </c>
      <c r="F522" s="28">
        <v>44369</v>
      </c>
      <c r="G522" s="17" t="s">
        <v>234</v>
      </c>
      <c r="H522" s="31">
        <v>41880969</v>
      </c>
      <c r="I522" s="17"/>
    </row>
    <row r="523" spans="1:9" ht="15.75" customHeight="1" x14ac:dyDescent="0.3">
      <c r="A523" s="17" t="s">
        <v>760</v>
      </c>
      <c r="B523" s="17" t="s">
        <v>181</v>
      </c>
      <c r="C523" s="50" t="str">
        <f>VLOOKUP(B523,'Patner Store'!A$2:A$51,1,0)</f>
        <v>PS0033</v>
      </c>
      <c r="D523" s="29" t="s">
        <v>231</v>
      </c>
      <c r="E523" s="50" t="str">
        <f>VLOOKUP(D523,'Sales Team'!A$2:B$6,1,0)</f>
        <v>ST0005</v>
      </c>
      <c r="F523" s="28">
        <v>44371</v>
      </c>
      <c r="G523" s="29" t="s">
        <v>237</v>
      </c>
      <c r="H523" s="31">
        <v>576713370</v>
      </c>
      <c r="I523" s="17"/>
    </row>
    <row r="524" spans="1:9" ht="15.75" customHeight="1" x14ac:dyDescent="0.3">
      <c r="A524" s="17" t="s">
        <v>761</v>
      </c>
      <c r="B524" s="17" t="s">
        <v>185</v>
      </c>
      <c r="C524" s="50" t="str">
        <f>VLOOKUP(B524,'Patner Store'!A$2:A$51,1,0)</f>
        <v>PS0035</v>
      </c>
      <c r="D524" s="29" t="s">
        <v>229</v>
      </c>
      <c r="E524" s="50" t="str">
        <f>VLOOKUP(D524,'Sales Team'!A$2:B$6,1,0)</f>
        <v>ST0004</v>
      </c>
      <c r="F524" s="28">
        <v>44371</v>
      </c>
      <c r="G524" s="29" t="s">
        <v>237</v>
      </c>
      <c r="H524" s="31">
        <v>561398400</v>
      </c>
      <c r="I524" s="17"/>
    </row>
    <row r="525" spans="1:9" ht="15.75" customHeight="1" x14ac:dyDescent="0.3">
      <c r="A525" s="17" t="s">
        <v>762</v>
      </c>
      <c r="B525" s="17" t="s">
        <v>113</v>
      </c>
      <c r="C525" s="50" t="str">
        <f>VLOOKUP(B525,'Patner Store'!A$2:A$51,1,0)</f>
        <v>PS0003</v>
      </c>
      <c r="D525" s="29" t="s">
        <v>227</v>
      </c>
      <c r="E525" s="50" t="str">
        <f>VLOOKUP(D525,'Sales Team'!A$2:B$6,1,0)</f>
        <v>ST0003</v>
      </c>
      <c r="F525" s="28">
        <v>44372</v>
      </c>
      <c r="G525" s="29" t="s">
        <v>237</v>
      </c>
      <c r="H525" s="31">
        <v>981564100</v>
      </c>
      <c r="I525" s="17"/>
    </row>
    <row r="526" spans="1:9" ht="15.75" customHeight="1" x14ac:dyDescent="0.3">
      <c r="A526" s="17" t="s">
        <v>763</v>
      </c>
      <c r="B526" s="17" t="s">
        <v>195</v>
      </c>
      <c r="C526" s="50" t="str">
        <f>VLOOKUP(B526,'Patner Store'!A$2:A$51,1,0)</f>
        <v>PS0040</v>
      </c>
      <c r="D526" s="29" t="s">
        <v>227</v>
      </c>
      <c r="E526" s="50" t="str">
        <f>VLOOKUP(D526,'Sales Team'!A$2:B$6,1,0)</f>
        <v>ST0003</v>
      </c>
      <c r="F526" s="28">
        <v>44373</v>
      </c>
      <c r="G526" s="29" t="s">
        <v>237</v>
      </c>
      <c r="H526" s="31">
        <v>574852020</v>
      </c>
      <c r="I526" s="17"/>
    </row>
    <row r="527" spans="1:9" ht="15.75" customHeight="1" x14ac:dyDescent="0.3">
      <c r="A527" s="17" t="s">
        <v>764</v>
      </c>
      <c r="B527" s="17" t="s">
        <v>124</v>
      </c>
      <c r="C527" s="50" t="str">
        <f>VLOOKUP(B527,'Patner Store'!A$2:A$51,1,0)</f>
        <v>PS0007</v>
      </c>
      <c r="D527" s="29" t="s">
        <v>222</v>
      </c>
      <c r="E527" s="50" t="str">
        <f>VLOOKUP(D527,'Sales Team'!A$2:B$6,1,0)</f>
        <v>ST0001</v>
      </c>
      <c r="F527" s="28">
        <v>44375</v>
      </c>
      <c r="G527" s="29" t="s">
        <v>237</v>
      </c>
      <c r="H527" s="31">
        <v>320171360</v>
      </c>
      <c r="I527" s="17"/>
    </row>
    <row r="528" spans="1:9" ht="15.75" customHeight="1" x14ac:dyDescent="0.3">
      <c r="A528" s="17" t="s">
        <v>765</v>
      </c>
      <c r="B528" s="17" t="s">
        <v>181</v>
      </c>
      <c r="C528" s="50" t="str">
        <f>VLOOKUP(B528,'Patner Store'!A$2:A$51,1,0)</f>
        <v>PS0033</v>
      </c>
      <c r="D528" s="29" t="s">
        <v>231</v>
      </c>
      <c r="E528" s="50" t="str">
        <f>VLOOKUP(D528,'Sales Team'!A$2:B$6,1,0)</f>
        <v>ST0005</v>
      </c>
      <c r="F528" s="28">
        <v>44375</v>
      </c>
      <c r="G528" s="17" t="s">
        <v>234</v>
      </c>
      <c r="H528" s="31">
        <v>146022870</v>
      </c>
      <c r="I528" s="17"/>
    </row>
    <row r="529" spans="1:9" ht="15.75" customHeight="1" x14ac:dyDescent="0.3">
      <c r="A529" s="17" t="s">
        <v>766</v>
      </c>
      <c r="B529" s="17" t="s">
        <v>197</v>
      </c>
      <c r="C529" s="50" t="str">
        <f>VLOOKUP(B529,'Patner Store'!A$2:A$51,1,0)</f>
        <v>PS0041</v>
      </c>
      <c r="D529" s="29" t="s">
        <v>222</v>
      </c>
      <c r="E529" s="50" t="str">
        <f>VLOOKUP(D529,'Sales Team'!A$2:B$6,1,0)</f>
        <v>ST0001</v>
      </c>
      <c r="F529" s="28">
        <v>44376</v>
      </c>
      <c r="G529" s="17" t="s">
        <v>234</v>
      </c>
      <c r="H529" s="31">
        <v>242990250</v>
      </c>
      <c r="I529" s="17"/>
    </row>
    <row r="530" spans="1:9" ht="15.75" customHeight="1" x14ac:dyDescent="0.3">
      <c r="A530" s="17" t="s">
        <v>767</v>
      </c>
      <c r="B530" s="17" t="s">
        <v>128</v>
      </c>
      <c r="C530" s="50" t="str">
        <f>VLOOKUP(B530,'Patner Store'!A$2:A$51,1,0)</f>
        <v>PS0009</v>
      </c>
      <c r="D530" s="29" t="s">
        <v>227</v>
      </c>
      <c r="E530" s="50" t="str">
        <f>VLOOKUP(D530,'Sales Team'!A$2:B$6,1,0)</f>
        <v>ST0003</v>
      </c>
      <c r="F530" s="28">
        <v>44377</v>
      </c>
      <c r="G530" s="17" t="s">
        <v>234</v>
      </c>
      <c r="H530" s="31">
        <v>31297500</v>
      </c>
      <c r="I530" s="17"/>
    </row>
    <row r="531" spans="1:9" ht="15.75" customHeight="1" x14ac:dyDescent="0.3">
      <c r="A531" s="17" t="s">
        <v>768</v>
      </c>
      <c r="B531" s="17" t="s">
        <v>109</v>
      </c>
      <c r="C531" s="50" t="str">
        <f>VLOOKUP(B531,'Patner Store'!A$2:A$51,1,0)</f>
        <v>PS0002</v>
      </c>
      <c r="D531" s="29" t="s">
        <v>225</v>
      </c>
      <c r="E531" s="50" t="str">
        <f>VLOOKUP(D531,'Sales Team'!A$2:B$6,1,0)</f>
        <v>ST0002</v>
      </c>
      <c r="F531" s="28">
        <v>44378</v>
      </c>
      <c r="G531" s="29" t="s">
        <v>237</v>
      </c>
      <c r="H531" s="31">
        <v>597542290</v>
      </c>
      <c r="I531" s="17"/>
    </row>
    <row r="532" spans="1:9" ht="15.75" customHeight="1" x14ac:dyDescent="0.3">
      <c r="A532" s="17" t="s">
        <v>769</v>
      </c>
      <c r="B532" s="17" t="s">
        <v>168</v>
      </c>
      <c r="C532" s="50" t="str">
        <f>VLOOKUP(B532,'Patner Store'!A$2:A$51,1,0)</f>
        <v>PS0027</v>
      </c>
      <c r="D532" s="29" t="s">
        <v>229</v>
      </c>
      <c r="E532" s="50" t="str">
        <f>VLOOKUP(D532,'Sales Team'!A$2:B$6,1,0)</f>
        <v>ST0004</v>
      </c>
      <c r="F532" s="28">
        <v>44380</v>
      </c>
      <c r="G532" s="29" t="s">
        <v>237</v>
      </c>
      <c r="H532" s="31">
        <v>309955260</v>
      </c>
      <c r="I532" s="17"/>
    </row>
    <row r="533" spans="1:9" ht="15.75" customHeight="1" x14ac:dyDescent="0.3">
      <c r="A533" s="17" t="s">
        <v>770</v>
      </c>
      <c r="B533" s="17" t="s">
        <v>128</v>
      </c>
      <c r="C533" s="50" t="str">
        <f>VLOOKUP(B533,'Patner Store'!A$2:A$51,1,0)</f>
        <v>PS0009</v>
      </c>
      <c r="D533" s="29" t="s">
        <v>227</v>
      </c>
      <c r="E533" s="50" t="str">
        <f>VLOOKUP(D533,'Sales Team'!A$2:B$6,1,0)</f>
        <v>ST0003</v>
      </c>
      <c r="F533" s="28">
        <v>44381</v>
      </c>
      <c r="G533" s="17" t="s">
        <v>234</v>
      </c>
      <c r="H533" s="31">
        <v>189428740</v>
      </c>
      <c r="I533" s="17" t="s">
        <v>260</v>
      </c>
    </row>
    <row r="534" spans="1:9" ht="15.75" customHeight="1" x14ac:dyDescent="0.3">
      <c r="A534" s="17" t="s">
        <v>771</v>
      </c>
      <c r="B534" s="17" t="s">
        <v>185</v>
      </c>
      <c r="C534" s="50" t="str">
        <f>VLOOKUP(B534,'Patner Store'!A$2:A$51,1,0)</f>
        <v>PS0035</v>
      </c>
      <c r="D534" s="29" t="s">
        <v>229</v>
      </c>
      <c r="E534" s="50" t="str">
        <f>VLOOKUP(D534,'Sales Team'!A$2:B$6,1,0)</f>
        <v>ST0004</v>
      </c>
      <c r="F534" s="28">
        <v>44382</v>
      </c>
      <c r="G534" s="17" t="s">
        <v>234</v>
      </c>
      <c r="H534" s="31">
        <v>82668250</v>
      </c>
      <c r="I534" s="17"/>
    </row>
    <row r="535" spans="1:9" ht="15.75" customHeight="1" x14ac:dyDescent="0.3">
      <c r="A535" s="17" t="s">
        <v>772</v>
      </c>
      <c r="B535" s="17" t="s">
        <v>144</v>
      </c>
      <c r="C535" s="50" t="str">
        <f>VLOOKUP(B535,'Patner Store'!A$2:A$51,1,0)</f>
        <v>PS0016</v>
      </c>
      <c r="D535" s="29" t="s">
        <v>227</v>
      </c>
      <c r="E535" s="50" t="str">
        <f>VLOOKUP(D535,'Sales Team'!A$2:B$6,1,0)</f>
        <v>ST0003</v>
      </c>
      <c r="F535" s="28">
        <v>44382</v>
      </c>
      <c r="G535" s="17" t="s">
        <v>234</v>
      </c>
      <c r="H535" s="31">
        <v>27198960</v>
      </c>
      <c r="I535" s="17"/>
    </row>
    <row r="536" spans="1:9" ht="15.75" customHeight="1" x14ac:dyDescent="0.3">
      <c r="A536" s="17" t="s">
        <v>773</v>
      </c>
      <c r="B536" s="17" t="s">
        <v>126</v>
      </c>
      <c r="C536" s="50" t="str">
        <f>VLOOKUP(B536,'Patner Store'!A$2:A$51,1,0)</f>
        <v>PS0008</v>
      </c>
      <c r="D536" s="29" t="s">
        <v>229</v>
      </c>
      <c r="E536" s="50" t="str">
        <f>VLOOKUP(D536,'Sales Team'!A$2:B$6,1,0)</f>
        <v>ST0004</v>
      </c>
      <c r="F536" s="28">
        <v>44382</v>
      </c>
      <c r="G536" s="17" t="s">
        <v>234</v>
      </c>
      <c r="H536" s="31">
        <v>207230000</v>
      </c>
      <c r="I536" s="17"/>
    </row>
    <row r="537" spans="1:9" ht="15.75" customHeight="1" x14ac:dyDescent="0.3">
      <c r="A537" s="17" t="s">
        <v>774</v>
      </c>
      <c r="B537" s="17" t="s">
        <v>126</v>
      </c>
      <c r="C537" s="50" t="str">
        <f>VLOOKUP(B537,'Patner Store'!A$2:A$51,1,0)</f>
        <v>PS0008</v>
      </c>
      <c r="D537" s="29" t="s">
        <v>229</v>
      </c>
      <c r="E537" s="50" t="str">
        <f>VLOOKUP(D537,'Sales Team'!A$2:B$6,1,0)</f>
        <v>ST0004</v>
      </c>
      <c r="F537" s="28">
        <v>44383</v>
      </c>
      <c r="G537" s="29" t="s">
        <v>237</v>
      </c>
      <c r="H537" s="31">
        <v>455817130</v>
      </c>
      <c r="I537" s="17"/>
    </row>
    <row r="538" spans="1:9" ht="15.75" customHeight="1" x14ac:dyDescent="0.3">
      <c r="A538" s="17" t="s">
        <v>775</v>
      </c>
      <c r="B538" s="17" t="s">
        <v>195</v>
      </c>
      <c r="C538" s="50" t="str">
        <f>VLOOKUP(B538,'Patner Store'!A$2:A$51,1,0)</f>
        <v>PS0040</v>
      </c>
      <c r="D538" s="29" t="s">
        <v>227</v>
      </c>
      <c r="E538" s="50" t="str">
        <f>VLOOKUP(D538,'Sales Team'!A$2:B$6,1,0)</f>
        <v>ST0003</v>
      </c>
      <c r="F538" s="28">
        <v>44385</v>
      </c>
      <c r="G538" s="17" t="s">
        <v>234</v>
      </c>
      <c r="H538" s="31">
        <v>70308230</v>
      </c>
      <c r="I538" s="17"/>
    </row>
    <row r="539" spans="1:9" ht="15.75" customHeight="1" x14ac:dyDescent="0.3">
      <c r="A539" s="17" t="s">
        <v>776</v>
      </c>
      <c r="B539" s="17" t="s">
        <v>137</v>
      </c>
      <c r="C539" s="50" t="str">
        <f>VLOOKUP(B539,'Patner Store'!A$2:A$51,1,0)</f>
        <v>PS0013</v>
      </c>
      <c r="D539" s="29" t="s">
        <v>222</v>
      </c>
      <c r="E539" s="50" t="str">
        <f>VLOOKUP(D539,'Sales Team'!A$2:B$6,1,0)</f>
        <v>ST0001</v>
      </c>
      <c r="F539" s="28">
        <v>44386</v>
      </c>
      <c r="G539" s="17" t="s">
        <v>234</v>
      </c>
      <c r="H539" s="31">
        <v>24569074</v>
      </c>
      <c r="I539" s="17"/>
    </row>
    <row r="540" spans="1:9" ht="15.75" customHeight="1" x14ac:dyDescent="0.3">
      <c r="A540" s="17" t="s">
        <v>777</v>
      </c>
      <c r="B540" s="17" t="s">
        <v>185</v>
      </c>
      <c r="C540" s="50" t="str">
        <f>VLOOKUP(B540,'Patner Store'!A$2:A$51,1,0)</f>
        <v>PS0035</v>
      </c>
      <c r="D540" s="29" t="s">
        <v>229</v>
      </c>
      <c r="E540" s="50" t="str">
        <f>VLOOKUP(D540,'Sales Team'!A$2:B$6,1,0)</f>
        <v>ST0004</v>
      </c>
      <c r="F540" s="28">
        <v>44387</v>
      </c>
      <c r="G540" s="17" t="s">
        <v>234</v>
      </c>
      <c r="H540" s="31">
        <v>36039010</v>
      </c>
      <c r="I540" s="17" t="s">
        <v>247</v>
      </c>
    </row>
    <row r="541" spans="1:9" ht="15.75" customHeight="1" x14ac:dyDescent="0.3">
      <c r="A541" s="17" t="s">
        <v>778</v>
      </c>
      <c r="B541" s="17" t="s">
        <v>201</v>
      </c>
      <c r="C541" s="50" t="str">
        <f>VLOOKUP(B541,'Patner Store'!A$2:A$51,1,0)</f>
        <v>PS0043</v>
      </c>
      <c r="D541" s="29" t="s">
        <v>229</v>
      </c>
      <c r="E541" s="50" t="str">
        <f>VLOOKUP(D541,'Sales Team'!A$2:B$6,1,0)</f>
        <v>ST0004</v>
      </c>
      <c r="F541" s="28">
        <v>44387</v>
      </c>
      <c r="G541" s="29" t="s">
        <v>237</v>
      </c>
      <c r="H541" s="31">
        <v>319158560</v>
      </c>
      <c r="I541" s="17"/>
    </row>
    <row r="542" spans="1:9" ht="15.75" customHeight="1" x14ac:dyDescent="0.3">
      <c r="A542" s="17" t="s">
        <v>779</v>
      </c>
      <c r="B542" s="17" t="s">
        <v>158</v>
      </c>
      <c r="C542" s="50" t="str">
        <f>VLOOKUP(B542,'Patner Store'!A$2:A$51,1,0)</f>
        <v>PS0022</v>
      </c>
      <c r="D542" s="29" t="s">
        <v>229</v>
      </c>
      <c r="E542" s="50" t="str">
        <f>VLOOKUP(D542,'Sales Team'!A$2:B$6,1,0)</f>
        <v>ST0004</v>
      </c>
      <c r="F542" s="28">
        <v>44392</v>
      </c>
      <c r="G542" s="29" t="s">
        <v>237</v>
      </c>
      <c r="H542" s="31">
        <v>692599490</v>
      </c>
      <c r="I542" s="17"/>
    </row>
    <row r="543" spans="1:9" ht="15.75" customHeight="1" x14ac:dyDescent="0.3">
      <c r="A543" s="17" t="s">
        <v>780</v>
      </c>
      <c r="B543" s="17" t="s">
        <v>177</v>
      </c>
      <c r="C543" s="50" t="str">
        <f>VLOOKUP(B543,'Patner Store'!A$2:A$51,1,0)</f>
        <v>PS0031</v>
      </c>
      <c r="D543" s="29" t="s">
        <v>225</v>
      </c>
      <c r="E543" s="50" t="str">
        <f>VLOOKUP(D543,'Sales Team'!A$2:B$6,1,0)</f>
        <v>ST0002</v>
      </c>
      <c r="F543" s="28">
        <v>44394</v>
      </c>
      <c r="G543" s="29" t="s">
        <v>237</v>
      </c>
      <c r="H543" s="31">
        <v>989487270</v>
      </c>
      <c r="I543" s="17"/>
    </row>
    <row r="544" spans="1:9" ht="15.75" customHeight="1" x14ac:dyDescent="0.3">
      <c r="A544" s="17" t="s">
        <v>781</v>
      </c>
      <c r="B544" s="17" t="s">
        <v>209</v>
      </c>
      <c r="C544" s="50" t="str">
        <f>VLOOKUP(B544,'Patner Store'!A$2:A$51,1,0)</f>
        <v>PS0047</v>
      </c>
      <c r="D544" s="29" t="s">
        <v>222</v>
      </c>
      <c r="E544" s="50" t="str">
        <f>VLOOKUP(D544,'Sales Team'!A$2:B$6,1,0)</f>
        <v>ST0001</v>
      </c>
      <c r="F544" s="28">
        <v>44394</v>
      </c>
      <c r="G544" s="17" t="s">
        <v>234</v>
      </c>
      <c r="H544" s="31">
        <v>121244770</v>
      </c>
      <c r="I544" s="17"/>
    </row>
    <row r="545" spans="1:9" ht="15.75" customHeight="1" x14ac:dyDescent="0.3">
      <c r="A545" s="17" t="s">
        <v>782</v>
      </c>
      <c r="B545" s="17" t="s">
        <v>203</v>
      </c>
      <c r="C545" s="50" t="str">
        <f>VLOOKUP(B545,'Patner Store'!A$2:A$51,1,0)</f>
        <v>PS0044</v>
      </c>
      <c r="D545" s="29" t="s">
        <v>229</v>
      </c>
      <c r="E545" s="50" t="str">
        <f>VLOOKUP(D545,'Sales Team'!A$2:B$6,1,0)</f>
        <v>ST0004</v>
      </c>
      <c r="F545" s="28">
        <v>44396</v>
      </c>
      <c r="G545" s="29" t="s">
        <v>237</v>
      </c>
      <c r="H545" s="31">
        <v>338781560</v>
      </c>
      <c r="I545" s="17"/>
    </row>
    <row r="546" spans="1:9" ht="15.75" customHeight="1" x14ac:dyDescent="0.3">
      <c r="A546" s="17" t="s">
        <v>783</v>
      </c>
      <c r="B546" s="17" t="s">
        <v>160</v>
      </c>
      <c r="C546" s="50" t="str">
        <f>VLOOKUP(B546,'Patner Store'!A$2:A$51,1,0)</f>
        <v>PS0023</v>
      </c>
      <c r="D546" s="29" t="s">
        <v>227</v>
      </c>
      <c r="E546" s="50" t="str">
        <f>VLOOKUP(D546,'Sales Team'!A$2:B$6,1,0)</f>
        <v>ST0003</v>
      </c>
      <c r="F546" s="28">
        <v>44396</v>
      </c>
      <c r="G546" s="17" t="s">
        <v>234</v>
      </c>
      <c r="H546" s="31">
        <v>160186460</v>
      </c>
      <c r="I546" s="17"/>
    </row>
    <row r="547" spans="1:9" ht="15.75" customHeight="1" x14ac:dyDescent="0.3">
      <c r="A547" s="17" t="s">
        <v>784</v>
      </c>
      <c r="B547" s="17" t="s">
        <v>179</v>
      </c>
      <c r="C547" s="50" t="str">
        <f>VLOOKUP(B547,'Patner Store'!A$2:A$51,1,0)</f>
        <v>PS0032</v>
      </c>
      <c r="D547" s="29" t="s">
        <v>229</v>
      </c>
      <c r="E547" s="50" t="str">
        <f>VLOOKUP(D547,'Sales Team'!A$2:B$6,1,0)</f>
        <v>ST0004</v>
      </c>
      <c r="F547" s="28">
        <v>44397</v>
      </c>
      <c r="G547" s="17" t="s">
        <v>234</v>
      </c>
      <c r="H547" s="31">
        <v>100156980</v>
      </c>
      <c r="I547" s="17"/>
    </row>
    <row r="548" spans="1:9" ht="15.75" customHeight="1" x14ac:dyDescent="0.3">
      <c r="A548" s="17" t="s">
        <v>785</v>
      </c>
      <c r="B548" s="17" t="s">
        <v>183</v>
      </c>
      <c r="C548" s="50" t="str">
        <f>VLOOKUP(B548,'Patner Store'!A$2:A$51,1,0)</f>
        <v>PS0034</v>
      </c>
      <c r="D548" s="29" t="s">
        <v>222</v>
      </c>
      <c r="E548" s="50" t="str">
        <f>VLOOKUP(D548,'Sales Team'!A$2:B$6,1,0)</f>
        <v>ST0001</v>
      </c>
      <c r="F548" s="28">
        <v>44399</v>
      </c>
      <c r="G548" s="17" t="s">
        <v>234</v>
      </c>
      <c r="H548" s="31">
        <v>27202850</v>
      </c>
      <c r="I548" s="17" t="s">
        <v>247</v>
      </c>
    </row>
    <row r="549" spans="1:9" ht="15.75" customHeight="1" x14ac:dyDescent="0.3">
      <c r="A549" s="17" t="s">
        <v>786</v>
      </c>
      <c r="B549" s="17" t="s">
        <v>193</v>
      </c>
      <c r="C549" s="50" t="str">
        <f>VLOOKUP(B549,'Patner Store'!A$2:A$51,1,0)</f>
        <v>PS0039</v>
      </c>
      <c r="D549" s="29" t="s">
        <v>227</v>
      </c>
      <c r="E549" s="50" t="str">
        <f>VLOOKUP(D549,'Sales Team'!A$2:B$6,1,0)</f>
        <v>ST0003</v>
      </c>
      <c r="F549" s="28">
        <v>44402</v>
      </c>
      <c r="G549" s="29" t="s">
        <v>237</v>
      </c>
      <c r="H549" s="31">
        <v>495578300</v>
      </c>
      <c r="I549" s="17"/>
    </row>
    <row r="550" spans="1:9" ht="15.75" customHeight="1" x14ac:dyDescent="0.3">
      <c r="A550" s="17" t="s">
        <v>787</v>
      </c>
      <c r="B550" s="17" t="s">
        <v>168</v>
      </c>
      <c r="C550" s="50" t="str">
        <f>VLOOKUP(B550,'Patner Store'!A$2:A$51,1,0)</f>
        <v>PS0027</v>
      </c>
      <c r="D550" s="29" t="s">
        <v>229</v>
      </c>
      <c r="E550" s="50" t="str">
        <f>VLOOKUP(D550,'Sales Team'!A$2:B$6,1,0)</f>
        <v>ST0004</v>
      </c>
      <c r="F550" s="28">
        <v>44402</v>
      </c>
      <c r="G550" s="17" t="s">
        <v>234</v>
      </c>
      <c r="H550" s="31">
        <v>174592080</v>
      </c>
      <c r="I550" s="17"/>
    </row>
    <row r="551" spans="1:9" ht="15.75" customHeight="1" x14ac:dyDescent="0.3">
      <c r="A551" s="17" t="s">
        <v>788</v>
      </c>
      <c r="B551" s="17" t="s">
        <v>109</v>
      </c>
      <c r="C551" s="50" t="str">
        <f>VLOOKUP(B551,'Patner Store'!A$2:A$51,1,0)</f>
        <v>PS0002</v>
      </c>
      <c r="D551" s="29" t="s">
        <v>225</v>
      </c>
      <c r="E551" s="50" t="str">
        <f>VLOOKUP(D551,'Sales Team'!A$2:B$6,1,0)</f>
        <v>ST0002</v>
      </c>
      <c r="F551" s="28">
        <v>44404</v>
      </c>
      <c r="G551" s="17" t="s">
        <v>234</v>
      </c>
      <c r="H551" s="31">
        <v>138945100</v>
      </c>
      <c r="I551" s="17"/>
    </row>
    <row r="552" spans="1:9" ht="15.75" customHeight="1" x14ac:dyDescent="0.3">
      <c r="A552" s="17" t="s">
        <v>789</v>
      </c>
      <c r="B552" s="17" t="s">
        <v>144</v>
      </c>
      <c r="C552" s="50" t="str">
        <f>VLOOKUP(B552,'Patner Store'!A$2:A$51,1,0)</f>
        <v>PS0016</v>
      </c>
      <c r="D552" s="29" t="s">
        <v>227</v>
      </c>
      <c r="E552" s="50" t="str">
        <f>VLOOKUP(D552,'Sales Team'!A$2:B$6,1,0)</f>
        <v>ST0003</v>
      </c>
      <c r="F552" s="28">
        <v>44404</v>
      </c>
      <c r="G552" s="17" t="s">
        <v>234</v>
      </c>
      <c r="H552" s="31">
        <v>31479270</v>
      </c>
      <c r="I552" s="17"/>
    </row>
    <row r="553" spans="1:9" ht="15.75" customHeight="1" x14ac:dyDescent="0.3">
      <c r="A553" s="17" t="s">
        <v>790</v>
      </c>
      <c r="B553" s="17" t="s">
        <v>173</v>
      </c>
      <c r="C553" s="50" t="str">
        <f>VLOOKUP(B553,'Patner Store'!A$2:A$51,1,0)</f>
        <v>PS0029</v>
      </c>
      <c r="D553" s="29" t="s">
        <v>229</v>
      </c>
      <c r="E553" s="50" t="str">
        <f>VLOOKUP(D553,'Sales Team'!A$2:B$6,1,0)</f>
        <v>ST0004</v>
      </c>
      <c r="F553" s="28">
        <v>44404</v>
      </c>
      <c r="G553" s="29" t="s">
        <v>237</v>
      </c>
      <c r="H553" s="31">
        <v>312272180</v>
      </c>
      <c r="I553" s="17" t="s">
        <v>247</v>
      </c>
    </row>
    <row r="554" spans="1:9" ht="15.75" customHeight="1" x14ac:dyDescent="0.3">
      <c r="A554" s="17" t="s">
        <v>791</v>
      </c>
      <c r="B554" s="17" t="s">
        <v>183</v>
      </c>
      <c r="C554" s="50" t="str">
        <f>VLOOKUP(B554,'Patner Store'!A$2:A$51,1,0)</f>
        <v>PS0034</v>
      </c>
      <c r="D554" s="29" t="s">
        <v>222</v>
      </c>
      <c r="E554" s="50" t="str">
        <f>VLOOKUP(D554,'Sales Team'!A$2:B$6,1,0)</f>
        <v>ST0001</v>
      </c>
      <c r="F554" s="28">
        <v>44406</v>
      </c>
      <c r="G554" s="17" t="s">
        <v>234</v>
      </c>
      <c r="H554" s="31">
        <v>10261610</v>
      </c>
      <c r="I554" s="17"/>
    </row>
    <row r="555" spans="1:9" ht="15.75" customHeight="1" x14ac:dyDescent="0.3">
      <c r="A555" s="17" t="s">
        <v>792</v>
      </c>
      <c r="B555" s="17" t="s">
        <v>183</v>
      </c>
      <c r="C555" s="50" t="str">
        <f>VLOOKUP(B555,'Patner Store'!A$2:A$51,1,0)</f>
        <v>PS0034</v>
      </c>
      <c r="D555" s="29" t="s">
        <v>222</v>
      </c>
      <c r="E555" s="50" t="str">
        <f>VLOOKUP(D555,'Sales Team'!A$2:B$6,1,0)</f>
        <v>ST0001</v>
      </c>
      <c r="F555" s="28">
        <v>44406</v>
      </c>
      <c r="G555" s="17" t="s">
        <v>234</v>
      </c>
      <c r="H555" s="31">
        <v>37977030</v>
      </c>
      <c r="I555" s="17"/>
    </row>
    <row r="556" spans="1:9" ht="15.75" customHeight="1" x14ac:dyDescent="0.3">
      <c r="A556" s="17" t="s">
        <v>793</v>
      </c>
      <c r="B556" s="17" t="s">
        <v>124</v>
      </c>
      <c r="C556" s="50" t="str">
        <f>VLOOKUP(B556,'Patner Store'!A$2:A$51,1,0)</f>
        <v>PS0007</v>
      </c>
      <c r="D556" s="29" t="s">
        <v>222</v>
      </c>
      <c r="E556" s="50" t="str">
        <f>VLOOKUP(D556,'Sales Team'!A$2:B$6,1,0)</f>
        <v>ST0001</v>
      </c>
      <c r="F556" s="28">
        <v>44407</v>
      </c>
      <c r="G556" s="29" t="s">
        <v>237</v>
      </c>
      <c r="H556" s="31">
        <v>323808100</v>
      </c>
      <c r="I556" s="17"/>
    </row>
    <row r="557" spans="1:9" ht="15.75" customHeight="1" x14ac:dyDescent="0.3">
      <c r="A557" s="17" t="s">
        <v>794</v>
      </c>
      <c r="B557" s="17" t="s">
        <v>207</v>
      </c>
      <c r="C557" s="50" t="str">
        <f>VLOOKUP(B557,'Patner Store'!A$2:A$51,1,0)</f>
        <v>PS0046</v>
      </c>
      <c r="D557" s="29" t="s">
        <v>227</v>
      </c>
      <c r="E557" s="50" t="str">
        <f>VLOOKUP(D557,'Sales Team'!A$2:B$6,1,0)</f>
        <v>ST0003</v>
      </c>
      <c r="F557" s="28">
        <v>44407</v>
      </c>
      <c r="G557" s="17" t="s">
        <v>234</v>
      </c>
      <c r="H557" s="31">
        <v>215517950</v>
      </c>
      <c r="I557" s="17"/>
    </row>
    <row r="558" spans="1:9" ht="15.75" customHeight="1" x14ac:dyDescent="0.3">
      <c r="A558" s="17" t="s">
        <v>795</v>
      </c>
      <c r="B558" s="17" t="s">
        <v>205</v>
      </c>
      <c r="C558" s="50" t="str">
        <f>VLOOKUP(B558,'Patner Store'!A$2:A$51,1,0)</f>
        <v>PS0045</v>
      </c>
      <c r="D558" s="29" t="s">
        <v>231</v>
      </c>
      <c r="E558" s="50" t="str">
        <f>VLOOKUP(D558,'Sales Team'!A$2:B$6,1,0)</f>
        <v>ST0005</v>
      </c>
      <c r="F558" s="28">
        <v>44410</v>
      </c>
      <c r="G558" s="17" t="s">
        <v>234</v>
      </c>
      <c r="H558" s="31">
        <v>79064950</v>
      </c>
      <c r="I558" s="17"/>
    </row>
    <row r="559" spans="1:9" ht="15.75" customHeight="1" x14ac:dyDescent="0.3">
      <c r="A559" s="17" t="s">
        <v>796</v>
      </c>
      <c r="B559" s="17" t="s">
        <v>173</v>
      </c>
      <c r="C559" s="50" t="str">
        <f>VLOOKUP(B559,'Patner Store'!A$2:A$51,1,0)</f>
        <v>PS0029</v>
      </c>
      <c r="D559" s="29" t="s">
        <v>229</v>
      </c>
      <c r="E559" s="50" t="str">
        <f>VLOOKUP(D559,'Sales Team'!A$2:B$6,1,0)</f>
        <v>ST0004</v>
      </c>
      <c r="F559" s="28">
        <v>44410</v>
      </c>
      <c r="G559" s="17" t="s">
        <v>234</v>
      </c>
      <c r="H559" s="31">
        <v>38832924</v>
      </c>
      <c r="I559" s="17"/>
    </row>
    <row r="560" spans="1:9" ht="15.75" customHeight="1" x14ac:dyDescent="0.3">
      <c r="A560" s="17" t="s">
        <v>797</v>
      </c>
      <c r="B560" s="17" t="s">
        <v>162</v>
      </c>
      <c r="C560" s="50" t="str">
        <f>VLOOKUP(B560,'Patner Store'!A$2:A$51,1,0)</f>
        <v>PS0024</v>
      </c>
      <c r="D560" s="29" t="s">
        <v>222</v>
      </c>
      <c r="E560" s="50" t="str">
        <f>VLOOKUP(D560,'Sales Team'!A$2:B$6,1,0)</f>
        <v>ST0001</v>
      </c>
      <c r="F560" s="28">
        <v>44410</v>
      </c>
      <c r="G560" s="17" t="s">
        <v>234</v>
      </c>
      <c r="H560" s="31">
        <v>36748380</v>
      </c>
      <c r="I560" s="17"/>
    </row>
    <row r="561" spans="1:9" ht="15.75" customHeight="1" x14ac:dyDescent="0.3">
      <c r="A561" s="17" t="s">
        <v>798</v>
      </c>
      <c r="B561" s="17" t="s">
        <v>164</v>
      </c>
      <c r="C561" s="50" t="str">
        <f>VLOOKUP(B561,'Patner Store'!A$2:A$51,1,0)</f>
        <v>PS0025</v>
      </c>
      <c r="D561" s="29" t="s">
        <v>227</v>
      </c>
      <c r="E561" s="50" t="str">
        <f>VLOOKUP(D561,'Sales Team'!A$2:B$6,1,0)</f>
        <v>ST0003</v>
      </c>
      <c r="F561" s="28">
        <v>44412</v>
      </c>
      <c r="G561" s="17" t="s">
        <v>234</v>
      </c>
      <c r="H561" s="31">
        <v>125845600</v>
      </c>
      <c r="I561" s="17"/>
    </row>
    <row r="562" spans="1:9" ht="15.75" customHeight="1" x14ac:dyDescent="0.3">
      <c r="A562" s="17" t="s">
        <v>799</v>
      </c>
      <c r="B562" s="17" t="s">
        <v>193</v>
      </c>
      <c r="C562" s="50" t="str">
        <f>VLOOKUP(B562,'Patner Store'!A$2:A$51,1,0)</f>
        <v>PS0039</v>
      </c>
      <c r="D562" s="29" t="s">
        <v>227</v>
      </c>
      <c r="E562" s="50" t="str">
        <f>VLOOKUP(D562,'Sales Team'!A$2:B$6,1,0)</f>
        <v>ST0003</v>
      </c>
      <c r="F562" s="28">
        <v>44413</v>
      </c>
      <c r="G562" s="17" t="s">
        <v>234</v>
      </c>
      <c r="H562" s="31">
        <v>148364970</v>
      </c>
      <c r="I562" s="17"/>
    </row>
    <row r="563" spans="1:9" ht="15.75" customHeight="1" x14ac:dyDescent="0.3">
      <c r="A563" s="17" t="s">
        <v>800</v>
      </c>
      <c r="B563" s="17" t="s">
        <v>215</v>
      </c>
      <c r="C563" s="50" t="str">
        <f>VLOOKUP(B563,'Patner Store'!A$2:A$51,1,0)</f>
        <v>PS0050</v>
      </c>
      <c r="D563" s="29" t="s">
        <v>229</v>
      </c>
      <c r="E563" s="50" t="str">
        <f>VLOOKUP(D563,'Sales Team'!A$2:B$6,1,0)</f>
        <v>ST0004</v>
      </c>
      <c r="F563" s="28">
        <v>44413</v>
      </c>
      <c r="G563" s="17" t="s">
        <v>234</v>
      </c>
      <c r="H563" s="31">
        <v>50237520</v>
      </c>
      <c r="I563" s="17"/>
    </row>
    <row r="564" spans="1:9" ht="15.75" customHeight="1" x14ac:dyDescent="0.3">
      <c r="A564" s="17" t="s">
        <v>801</v>
      </c>
      <c r="B564" s="17" t="s">
        <v>193</v>
      </c>
      <c r="C564" s="50" t="str">
        <f>VLOOKUP(B564,'Patner Store'!A$2:A$51,1,0)</f>
        <v>PS0039</v>
      </c>
      <c r="D564" s="29" t="s">
        <v>227</v>
      </c>
      <c r="E564" s="50" t="str">
        <f>VLOOKUP(D564,'Sales Team'!A$2:B$6,1,0)</f>
        <v>ST0003</v>
      </c>
      <c r="F564" s="28">
        <v>44413</v>
      </c>
      <c r="G564" s="29" t="s">
        <v>237</v>
      </c>
      <c r="H564" s="31">
        <v>706752360</v>
      </c>
      <c r="I564" s="17" t="s">
        <v>247</v>
      </c>
    </row>
    <row r="565" spans="1:9" ht="15.75" customHeight="1" x14ac:dyDescent="0.3">
      <c r="A565" s="17" t="s">
        <v>802</v>
      </c>
      <c r="B565" s="17" t="s">
        <v>177</v>
      </c>
      <c r="C565" s="50" t="str">
        <f>VLOOKUP(B565,'Patner Store'!A$2:A$51,1,0)</f>
        <v>PS0031</v>
      </c>
      <c r="D565" s="29" t="s">
        <v>225</v>
      </c>
      <c r="E565" s="50" t="str">
        <f>VLOOKUP(D565,'Sales Team'!A$2:B$6,1,0)</f>
        <v>ST0002</v>
      </c>
      <c r="F565" s="28">
        <v>44413</v>
      </c>
      <c r="G565" s="29" t="s">
        <v>237</v>
      </c>
      <c r="H565" s="31">
        <v>782646120</v>
      </c>
      <c r="I565" s="17" t="s">
        <v>247</v>
      </c>
    </row>
    <row r="566" spans="1:9" ht="15.75" customHeight="1" x14ac:dyDescent="0.3">
      <c r="A566" s="17" t="s">
        <v>803</v>
      </c>
      <c r="B566" s="17" t="s">
        <v>201</v>
      </c>
      <c r="C566" s="50" t="str">
        <f>VLOOKUP(B566,'Patner Store'!A$2:A$51,1,0)</f>
        <v>PS0043</v>
      </c>
      <c r="D566" s="29" t="s">
        <v>229</v>
      </c>
      <c r="E566" s="50" t="str">
        <f>VLOOKUP(D566,'Sales Team'!A$2:B$6,1,0)</f>
        <v>ST0004</v>
      </c>
      <c r="F566" s="28">
        <v>44414</v>
      </c>
      <c r="G566" s="29" t="s">
        <v>237</v>
      </c>
      <c r="H566" s="31">
        <v>298741830</v>
      </c>
      <c r="I566" s="17"/>
    </row>
    <row r="567" spans="1:9" ht="15.75" customHeight="1" x14ac:dyDescent="0.3">
      <c r="A567" s="17" t="s">
        <v>804</v>
      </c>
      <c r="B567" s="17" t="s">
        <v>183</v>
      </c>
      <c r="C567" s="50" t="str">
        <f>VLOOKUP(B567,'Patner Store'!A$2:A$51,1,0)</f>
        <v>PS0034</v>
      </c>
      <c r="D567" s="29" t="s">
        <v>222</v>
      </c>
      <c r="E567" s="50" t="str">
        <f>VLOOKUP(D567,'Sales Team'!A$2:B$6,1,0)</f>
        <v>ST0001</v>
      </c>
      <c r="F567" s="28">
        <v>44415</v>
      </c>
      <c r="G567" s="17" t="s">
        <v>234</v>
      </c>
      <c r="H567" s="31">
        <v>45604410</v>
      </c>
      <c r="I567" s="17"/>
    </row>
    <row r="568" spans="1:9" ht="15.75" customHeight="1" x14ac:dyDescent="0.3">
      <c r="A568" s="17" t="s">
        <v>805</v>
      </c>
      <c r="B568" s="17" t="s">
        <v>116</v>
      </c>
      <c r="C568" s="50" t="str">
        <f>VLOOKUP(B568,'Patner Store'!A$2:A$51,1,0)</f>
        <v>PS0004</v>
      </c>
      <c r="D568" s="29" t="s">
        <v>222</v>
      </c>
      <c r="E568" s="50" t="str">
        <f>VLOOKUP(D568,'Sales Team'!A$2:B$6,1,0)</f>
        <v>ST0001</v>
      </c>
      <c r="F568" s="28">
        <v>44415</v>
      </c>
      <c r="G568" s="29" t="s">
        <v>237</v>
      </c>
      <c r="H568" s="31">
        <v>769614390</v>
      </c>
      <c r="I568" s="17"/>
    </row>
    <row r="569" spans="1:9" ht="15.75" customHeight="1" x14ac:dyDescent="0.3">
      <c r="A569" s="17" t="s">
        <v>806</v>
      </c>
      <c r="B569" s="17" t="s">
        <v>148</v>
      </c>
      <c r="C569" s="50" t="str">
        <f>VLOOKUP(B569,'Patner Store'!A$2:A$51,1,0)</f>
        <v>PS0018</v>
      </c>
      <c r="D569" s="29" t="s">
        <v>225</v>
      </c>
      <c r="E569" s="50" t="str">
        <f>VLOOKUP(D569,'Sales Team'!A$2:B$6,1,0)</f>
        <v>ST0002</v>
      </c>
      <c r="F569" s="28">
        <v>44415</v>
      </c>
      <c r="G569" s="17" t="s">
        <v>234</v>
      </c>
      <c r="H569" s="31">
        <v>28001340</v>
      </c>
      <c r="I569" s="17" t="s">
        <v>247</v>
      </c>
    </row>
    <row r="570" spans="1:9" ht="15.75" customHeight="1" x14ac:dyDescent="0.3">
      <c r="A570" s="17" t="s">
        <v>807</v>
      </c>
      <c r="B570" s="17" t="s">
        <v>181</v>
      </c>
      <c r="C570" s="50" t="str">
        <f>VLOOKUP(B570,'Patner Store'!A$2:A$51,1,0)</f>
        <v>PS0033</v>
      </c>
      <c r="D570" s="29" t="s">
        <v>231</v>
      </c>
      <c r="E570" s="50" t="str">
        <f>VLOOKUP(D570,'Sales Team'!A$2:B$6,1,0)</f>
        <v>ST0005</v>
      </c>
      <c r="F570" s="28">
        <v>44417</v>
      </c>
      <c r="G570" s="17" t="s">
        <v>234</v>
      </c>
      <c r="H570" s="31">
        <v>71586250</v>
      </c>
      <c r="I570" s="17"/>
    </row>
    <row r="571" spans="1:9" ht="15.75" customHeight="1" x14ac:dyDescent="0.3">
      <c r="A571" s="17" t="s">
        <v>808</v>
      </c>
      <c r="B571" s="17" t="s">
        <v>183</v>
      </c>
      <c r="C571" s="50" t="str">
        <f>VLOOKUP(B571,'Patner Store'!A$2:A$51,1,0)</f>
        <v>PS0034</v>
      </c>
      <c r="D571" s="29" t="s">
        <v>222</v>
      </c>
      <c r="E571" s="50" t="str">
        <f>VLOOKUP(D571,'Sales Team'!A$2:B$6,1,0)</f>
        <v>ST0001</v>
      </c>
      <c r="F571" s="28">
        <v>44418</v>
      </c>
      <c r="G571" s="29" t="s">
        <v>237</v>
      </c>
      <c r="H571" s="31">
        <v>766102390</v>
      </c>
      <c r="I571" s="17"/>
    </row>
    <row r="572" spans="1:9" ht="15.75" customHeight="1" x14ac:dyDescent="0.3">
      <c r="A572" s="17" t="s">
        <v>809</v>
      </c>
      <c r="B572" s="17" t="s">
        <v>158</v>
      </c>
      <c r="C572" s="50" t="str">
        <f>VLOOKUP(B572,'Patner Store'!A$2:A$51,1,0)</f>
        <v>PS0022</v>
      </c>
      <c r="D572" s="29" t="s">
        <v>229</v>
      </c>
      <c r="E572" s="50" t="str">
        <f>VLOOKUP(D572,'Sales Team'!A$2:B$6,1,0)</f>
        <v>ST0004</v>
      </c>
      <c r="F572" s="28">
        <v>44418</v>
      </c>
      <c r="G572" s="29" t="s">
        <v>237</v>
      </c>
      <c r="H572" s="31">
        <v>237471230</v>
      </c>
      <c r="I572" s="17"/>
    </row>
    <row r="573" spans="1:9" ht="15.75" customHeight="1" x14ac:dyDescent="0.3">
      <c r="A573" s="17" t="s">
        <v>810</v>
      </c>
      <c r="B573" s="17" t="s">
        <v>179</v>
      </c>
      <c r="C573" s="50" t="str">
        <f>VLOOKUP(B573,'Patner Store'!A$2:A$51,1,0)</f>
        <v>PS0032</v>
      </c>
      <c r="D573" s="29" t="s">
        <v>229</v>
      </c>
      <c r="E573" s="50" t="str">
        <f>VLOOKUP(D573,'Sales Team'!A$2:B$6,1,0)</f>
        <v>ST0004</v>
      </c>
      <c r="F573" s="28">
        <v>44419</v>
      </c>
      <c r="G573" s="17" t="s">
        <v>234</v>
      </c>
      <c r="H573" s="31">
        <v>28464870</v>
      </c>
      <c r="I573" s="17"/>
    </row>
    <row r="574" spans="1:9" ht="15.75" customHeight="1" x14ac:dyDescent="0.3">
      <c r="A574" s="17" t="s">
        <v>811</v>
      </c>
      <c r="B574" s="17" t="s">
        <v>135</v>
      </c>
      <c r="C574" s="50" t="str">
        <f>VLOOKUP(B574,'Patner Store'!A$2:A$51,1,0)</f>
        <v>PS0012</v>
      </c>
      <c r="D574" s="29" t="s">
        <v>227</v>
      </c>
      <c r="E574" s="50" t="str">
        <f>VLOOKUP(D574,'Sales Team'!A$2:B$6,1,0)</f>
        <v>ST0003</v>
      </c>
      <c r="F574" s="28">
        <v>44419</v>
      </c>
      <c r="G574" s="29" t="s">
        <v>237</v>
      </c>
      <c r="H574" s="31">
        <v>584621160</v>
      </c>
      <c r="I574" s="17"/>
    </row>
    <row r="575" spans="1:9" ht="15.75" customHeight="1" x14ac:dyDescent="0.3">
      <c r="A575" s="17" t="s">
        <v>812</v>
      </c>
      <c r="B575" s="17" t="s">
        <v>197</v>
      </c>
      <c r="C575" s="50" t="str">
        <f>VLOOKUP(B575,'Patner Store'!A$2:A$51,1,0)</f>
        <v>PS0041</v>
      </c>
      <c r="D575" s="29" t="s">
        <v>222</v>
      </c>
      <c r="E575" s="50" t="str">
        <f>VLOOKUP(D575,'Sales Team'!A$2:B$6,1,0)</f>
        <v>ST0001</v>
      </c>
      <c r="F575" s="28">
        <v>44420</v>
      </c>
      <c r="G575" s="29" t="s">
        <v>237</v>
      </c>
      <c r="H575" s="31">
        <v>322981730</v>
      </c>
      <c r="I575" s="17" t="s">
        <v>260</v>
      </c>
    </row>
    <row r="576" spans="1:9" ht="15.75" customHeight="1" x14ac:dyDescent="0.3">
      <c r="A576" s="17" t="s">
        <v>813</v>
      </c>
      <c r="B576" s="17" t="s">
        <v>189</v>
      </c>
      <c r="C576" s="50" t="str">
        <f>VLOOKUP(B576,'Patner Store'!A$2:A$51,1,0)</f>
        <v>PS0037</v>
      </c>
      <c r="D576" s="29" t="s">
        <v>225</v>
      </c>
      <c r="E576" s="50" t="str">
        <f>VLOOKUP(D576,'Sales Team'!A$2:B$6,1,0)</f>
        <v>ST0002</v>
      </c>
      <c r="F576" s="28">
        <v>44421</v>
      </c>
      <c r="G576" s="17" t="s">
        <v>234</v>
      </c>
      <c r="H576" s="31">
        <v>73200000</v>
      </c>
      <c r="I576" s="17"/>
    </row>
    <row r="577" spans="1:9" ht="15.75" customHeight="1" x14ac:dyDescent="0.3">
      <c r="A577" s="17" t="s">
        <v>814</v>
      </c>
      <c r="B577" s="17" t="s">
        <v>166</v>
      </c>
      <c r="C577" s="50" t="str">
        <f>VLOOKUP(B577,'Patner Store'!A$2:A$51,1,0)</f>
        <v>PS0026</v>
      </c>
      <c r="D577" s="29" t="s">
        <v>229</v>
      </c>
      <c r="E577" s="50" t="str">
        <f>VLOOKUP(D577,'Sales Team'!A$2:B$6,1,0)</f>
        <v>ST0004</v>
      </c>
      <c r="F577" s="28">
        <v>44424</v>
      </c>
      <c r="G577" s="17" t="s">
        <v>234</v>
      </c>
      <c r="H577" s="31">
        <v>66637450</v>
      </c>
      <c r="I577" s="17"/>
    </row>
    <row r="578" spans="1:9" ht="15.75" customHeight="1" x14ac:dyDescent="0.3">
      <c r="A578" s="17" t="s">
        <v>815</v>
      </c>
      <c r="B578" s="17" t="s">
        <v>203</v>
      </c>
      <c r="C578" s="50" t="str">
        <f>VLOOKUP(B578,'Patner Store'!A$2:A$51,1,0)</f>
        <v>PS0044</v>
      </c>
      <c r="D578" s="29" t="s">
        <v>229</v>
      </c>
      <c r="E578" s="50" t="str">
        <f>VLOOKUP(D578,'Sales Team'!A$2:B$6,1,0)</f>
        <v>ST0004</v>
      </c>
      <c r="F578" s="28">
        <v>44426</v>
      </c>
      <c r="G578" s="29" t="s">
        <v>237</v>
      </c>
      <c r="H578" s="31">
        <v>643499940</v>
      </c>
      <c r="I578" s="17"/>
    </row>
    <row r="579" spans="1:9" ht="15.75" customHeight="1" x14ac:dyDescent="0.3">
      <c r="A579" s="17" t="s">
        <v>816</v>
      </c>
      <c r="B579" s="17" t="s">
        <v>135</v>
      </c>
      <c r="C579" s="50" t="str">
        <f>VLOOKUP(B579,'Patner Store'!A$2:A$51,1,0)</f>
        <v>PS0012</v>
      </c>
      <c r="D579" s="29" t="s">
        <v>227</v>
      </c>
      <c r="E579" s="50" t="str">
        <f>VLOOKUP(D579,'Sales Team'!A$2:B$6,1,0)</f>
        <v>ST0003</v>
      </c>
      <c r="F579" s="28">
        <v>44427</v>
      </c>
      <c r="G579" s="29" t="s">
        <v>237</v>
      </c>
      <c r="H579" s="31">
        <v>381646662</v>
      </c>
      <c r="I579" s="17"/>
    </row>
    <row r="580" spans="1:9" ht="15.75" customHeight="1" x14ac:dyDescent="0.3">
      <c r="A580" s="17" t="s">
        <v>817</v>
      </c>
      <c r="B580" s="17" t="s">
        <v>207</v>
      </c>
      <c r="C580" s="50" t="str">
        <f>VLOOKUP(B580,'Patner Store'!A$2:A$51,1,0)</f>
        <v>PS0046</v>
      </c>
      <c r="D580" s="29" t="s">
        <v>227</v>
      </c>
      <c r="E580" s="50" t="str">
        <f>VLOOKUP(D580,'Sales Team'!A$2:B$6,1,0)</f>
        <v>ST0003</v>
      </c>
      <c r="F580" s="28">
        <v>44428</v>
      </c>
      <c r="G580" s="29" t="s">
        <v>237</v>
      </c>
      <c r="H580" s="31">
        <v>436417610</v>
      </c>
      <c r="I580" s="17" t="s">
        <v>260</v>
      </c>
    </row>
    <row r="581" spans="1:9" ht="15.75" customHeight="1" x14ac:dyDescent="0.3">
      <c r="A581" s="17" t="s">
        <v>818</v>
      </c>
      <c r="B581" s="17" t="s">
        <v>154</v>
      </c>
      <c r="C581" s="50" t="str">
        <f>VLOOKUP(B581,'Patner Store'!A$2:A$51,1,0)</f>
        <v>PS0020</v>
      </c>
      <c r="D581" s="29" t="s">
        <v>229</v>
      </c>
      <c r="E581" s="50" t="str">
        <f>VLOOKUP(D581,'Sales Team'!A$2:B$6,1,0)</f>
        <v>ST0004</v>
      </c>
      <c r="F581" s="28">
        <v>44429</v>
      </c>
      <c r="G581" s="17" t="s">
        <v>234</v>
      </c>
      <c r="H581" s="31">
        <v>12236940</v>
      </c>
      <c r="I581" s="17"/>
    </row>
    <row r="582" spans="1:9" ht="15.75" customHeight="1" x14ac:dyDescent="0.3">
      <c r="A582" s="17" t="s">
        <v>819</v>
      </c>
      <c r="B582" s="17" t="s">
        <v>197</v>
      </c>
      <c r="C582" s="50" t="str">
        <f>VLOOKUP(B582,'Patner Store'!A$2:A$51,1,0)</f>
        <v>PS0041</v>
      </c>
      <c r="D582" s="29" t="s">
        <v>222</v>
      </c>
      <c r="E582" s="50" t="str">
        <f>VLOOKUP(D582,'Sales Team'!A$2:B$6,1,0)</f>
        <v>ST0001</v>
      </c>
      <c r="F582" s="28">
        <v>44429</v>
      </c>
      <c r="G582" s="17" t="s">
        <v>234</v>
      </c>
      <c r="H582" s="31">
        <v>32556153</v>
      </c>
      <c r="I582" s="17"/>
    </row>
    <row r="583" spans="1:9" ht="15.75" customHeight="1" x14ac:dyDescent="0.3">
      <c r="A583" s="17" t="s">
        <v>820</v>
      </c>
      <c r="B583" s="17" t="s">
        <v>156</v>
      </c>
      <c r="C583" s="50" t="str">
        <f>VLOOKUP(B583,'Patner Store'!A$2:A$51,1,0)</f>
        <v>PS0021</v>
      </c>
      <c r="D583" s="29" t="s">
        <v>222</v>
      </c>
      <c r="E583" s="50" t="str">
        <f>VLOOKUP(D583,'Sales Team'!A$2:B$6,1,0)</f>
        <v>ST0001</v>
      </c>
      <c r="F583" s="28">
        <v>44432</v>
      </c>
      <c r="G583" s="17" t="s">
        <v>234</v>
      </c>
      <c r="H583" s="31">
        <v>223239010</v>
      </c>
      <c r="I583" s="17"/>
    </row>
    <row r="584" spans="1:9" ht="15.75" customHeight="1" x14ac:dyDescent="0.3">
      <c r="A584" s="17" t="s">
        <v>821</v>
      </c>
      <c r="B584" s="17" t="s">
        <v>189</v>
      </c>
      <c r="C584" s="50" t="str">
        <f>VLOOKUP(B584,'Patner Store'!A$2:A$51,1,0)</f>
        <v>PS0037</v>
      </c>
      <c r="D584" s="29" t="s">
        <v>225</v>
      </c>
      <c r="E584" s="50" t="str">
        <f>VLOOKUP(D584,'Sales Team'!A$2:B$6,1,0)</f>
        <v>ST0002</v>
      </c>
      <c r="F584" s="28">
        <v>44432</v>
      </c>
      <c r="G584" s="17" t="s">
        <v>234</v>
      </c>
      <c r="H584" s="31">
        <v>31888080.000000004</v>
      </c>
      <c r="I584" s="17"/>
    </row>
    <row r="585" spans="1:9" ht="15.75" customHeight="1" x14ac:dyDescent="0.3">
      <c r="A585" s="17" t="s">
        <v>822</v>
      </c>
      <c r="B585" s="17" t="s">
        <v>189</v>
      </c>
      <c r="C585" s="50" t="str">
        <f>VLOOKUP(B585,'Patner Store'!A$2:A$51,1,0)</f>
        <v>PS0037</v>
      </c>
      <c r="D585" s="29" t="s">
        <v>225</v>
      </c>
      <c r="E585" s="50" t="str">
        <f>VLOOKUP(D585,'Sales Team'!A$2:B$6,1,0)</f>
        <v>ST0002</v>
      </c>
      <c r="F585" s="28">
        <v>44432</v>
      </c>
      <c r="G585" s="17" t="s">
        <v>234</v>
      </c>
      <c r="H585" s="31">
        <v>12786150</v>
      </c>
      <c r="I585" s="17"/>
    </row>
    <row r="586" spans="1:9" ht="15.75" customHeight="1" x14ac:dyDescent="0.3">
      <c r="A586" s="17" t="s">
        <v>823</v>
      </c>
      <c r="B586" s="17" t="s">
        <v>171</v>
      </c>
      <c r="C586" s="50" t="str">
        <f>VLOOKUP(B586,'Patner Store'!A$2:A$51,1,0)</f>
        <v>PS0028</v>
      </c>
      <c r="D586" s="29" t="s">
        <v>231</v>
      </c>
      <c r="E586" s="50" t="str">
        <f>VLOOKUP(D586,'Sales Team'!A$2:B$6,1,0)</f>
        <v>ST0005</v>
      </c>
      <c r="F586" s="28">
        <v>44434</v>
      </c>
      <c r="G586" s="17" t="s">
        <v>234</v>
      </c>
      <c r="H586" s="31">
        <v>119694800</v>
      </c>
      <c r="I586" s="17"/>
    </row>
    <row r="587" spans="1:9" ht="15.75" customHeight="1" x14ac:dyDescent="0.3">
      <c r="A587" s="17" t="s">
        <v>824</v>
      </c>
      <c r="B587" s="17" t="s">
        <v>126</v>
      </c>
      <c r="C587" s="50" t="str">
        <f>VLOOKUP(B587,'Patner Store'!A$2:A$51,1,0)</f>
        <v>PS0008</v>
      </c>
      <c r="D587" s="29" t="s">
        <v>229</v>
      </c>
      <c r="E587" s="50" t="str">
        <f>VLOOKUP(D587,'Sales Team'!A$2:B$6,1,0)</f>
        <v>ST0004</v>
      </c>
      <c r="F587" s="28">
        <v>44434</v>
      </c>
      <c r="G587" s="17" t="s">
        <v>234</v>
      </c>
      <c r="H587" s="31">
        <v>16897440</v>
      </c>
      <c r="I587" s="17"/>
    </row>
    <row r="588" spans="1:9" ht="15.75" customHeight="1" x14ac:dyDescent="0.3">
      <c r="A588" s="17" t="s">
        <v>825</v>
      </c>
      <c r="B588" s="17" t="s">
        <v>126</v>
      </c>
      <c r="C588" s="50" t="str">
        <f>VLOOKUP(B588,'Patner Store'!A$2:A$51,1,0)</f>
        <v>PS0008</v>
      </c>
      <c r="D588" s="29" t="s">
        <v>229</v>
      </c>
      <c r="E588" s="50" t="str">
        <f>VLOOKUP(D588,'Sales Team'!A$2:B$6,1,0)</f>
        <v>ST0004</v>
      </c>
      <c r="F588" s="28">
        <v>44434</v>
      </c>
      <c r="G588" s="29" t="s">
        <v>237</v>
      </c>
      <c r="H588" s="31">
        <v>263493360</v>
      </c>
      <c r="I588" s="17" t="s">
        <v>253</v>
      </c>
    </row>
    <row r="589" spans="1:9" ht="15.75" customHeight="1" x14ac:dyDescent="0.3">
      <c r="A589" s="17" t="s">
        <v>826</v>
      </c>
      <c r="B589" s="17" t="s">
        <v>128</v>
      </c>
      <c r="C589" s="50" t="str">
        <f>VLOOKUP(B589,'Patner Store'!A$2:A$51,1,0)</f>
        <v>PS0009</v>
      </c>
      <c r="D589" s="29" t="s">
        <v>227</v>
      </c>
      <c r="E589" s="50" t="str">
        <f>VLOOKUP(D589,'Sales Team'!A$2:B$6,1,0)</f>
        <v>ST0003</v>
      </c>
      <c r="F589" s="28">
        <v>44436</v>
      </c>
      <c r="G589" s="17" t="s">
        <v>234</v>
      </c>
      <c r="H589" s="31">
        <v>141790620</v>
      </c>
      <c r="I589" s="17"/>
    </row>
    <row r="590" spans="1:9" ht="15.75" customHeight="1" x14ac:dyDescent="0.3">
      <c r="A590" s="17" t="s">
        <v>827</v>
      </c>
      <c r="B590" s="17" t="s">
        <v>213</v>
      </c>
      <c r="C590" s="50" t="str">
        <f>VLOOKUP(B590,'Patner Store'!A$2:A$51,1,0)</f>
        <v>PS0049</v>
      </c>
      <c r="D590" s="29" t="s">
        <v>229</v>
      </c>
      <c r="E590" s="50" t="str">
        <f>VLOOKUP(D590,'Sales Team'!A$2:B$6,1,0)</f>
        <v>ST0004</v>
      </c>
      <c r="F590" s="28">
        <v>44437</v>
      </c>
      <c r="G590" s="17" t="s">
        <v>234</v>
      </c>
      <c r="H590" s="31">
        <v>73889380</v>
      </c>
      <c r="I590" s="17" t="s">
        <v>260</v>
      </c>
    </row>
    <row r="591" spans="1:9" ht="15.75" customHeight="1" x14ac:dyDescent="0.3">
      <c r="A591" s="17" t="s">
        <v>828</v>
      </c>
      <c r="B591" s="17" t="s">
        <v>187</v>
      </c>
      <c r="C591" s="50" t="str">
        <f>VLOOKUP(B591,'Patner Store'!A$2:A$51,1,0)</f>
        <v>PS0036</v>
      </c>
      <c r="D591" s="29" t="s">
        <v>231</v>
      </c>
      <c r="E591" s="50" t="str">
        <f>VLOOKUP(D591,'Sales Team'!A$2:B$6,1,0)</f>
        <v>ST0005</v>
      </c>
      <c r="F591" s="28">
        <v>44439</v>
      </c>
      <c r="G591" s="17" t="s">
        <v>234</v>
      </c>
      <c r="H591" s="31">
        <v>96615016</v>
      </c>
      <c r="I591" s="17" t="s">
        <v>260</v>
      </c>
    </row>
    <row r="592" spans="1:9" ht="15.75" customHeight="1" x14ac:dyDescent="0.3">
      <c r="A592" s="17" t="s">
        <v>829</v>
      </c>
      <c r="B592" s="17" t="s">
        <v>144</v>
      </c>
      <c r="C592" s="50" t="str">
        <f>VLOOKUP(B592,'Patner Store'!A$2:A$51,1,0)</f>
        <v>PS0016</v>
      </c>
      <c r="D592" s="29" t="s">
        <v>227</v>
      </c>
      <c r="E592" s="50" t="str">
        <f>VLOOKUP(D592,'Sales Team'!A$2:B$6,1,0)</f>
        <v>ST0003</v>
      </c>
      <c r="F592" s="28">
        <v>44444</v>
      </c>
      <c r="G592" s="17" t="s">
        <v>234</v>
      </c>
      <c r="H592" s="31">
        <v>17347000</v>
      </c>
      <c r="I592" s="17"/>
    </row>
    <row r="593" spans="1:9" ht="15.75" customHeight="1" x14ac:dyDescent="0.3">
      <c r="A593" s="17" t="s">
        <v>830</v>
      </c>
      <c r="B593" s="17" t="s">
        <v>135</v>
      </c>
      <c r="C593" s="50" t="str">
        <f>VLOOKUP(B593,'Patner Store'!A$2:A$51,1,0)</f>
        <v>PS0012</v>
      </c>
      <c r="D593" s="29" t="s">
        <v>227</v>
      </c>
      <c r="E593" s="50" t="str">
        <f>VLOOKUP(D593,'Sales Team'!A$2:B$6,1,0)</f>
        <v>ST0003</v>
      </c>
      <c r="F593" s="28">
        <v>44444</v>
      </c>
      <c r="G593" s="29" t="s">
        <v>237</v>
      </c>
      <c r="H593" s="31">
        <v>268924890</v>
      </c>
      <c r="I593" s="17"/>
    </row>
    <row r="594" spans="1:9" ht="15.75" customHeight="1" x14ac:dyDescent="0.3">
      <c r="A594" s="17" t="s">
        <v>831</v>
      </c>
      <c r="B594" s="17" t="s">
        <v>168</v>
      </c>
      <c r="C594" s="50" t="str">
        <f>VLOOKUP(B594,'Patner Store'!A$2:A$51,1,0)</f>
        <v>PS0027</v>
      </c>
      <c r="D594" s="29" t="s">
        <v>229</v>
      </c>
      <c r="E594" s="50" t="str">
        <f>VLOOKUP(D594,'Sales Team'!A$2:B$6,1,0)</f>
        <v>ST0004</v>
      </c>
      <c r="F594" s="28">
        <v>44446</v>
      </c>
      <c r="G594" s="17" t="s">
        <v>234</v>
      </c>
      <c r="H594" s="31">
        <v>65189950</v>
      </c>
      <c r="I594" s="17"/>
    </row>
    <row r="595" spans="1:9" ht="15.75" customHeight="1" x14ac:dyDescent="0.3">
      <c r="A595" s="17" t="s">
        <v>832</v>
      </c>
      <c r="B595" s="17" t="s">
        <v>168</v>
      </c>
      <c r="C595" s="50" t="str">
        <f>VLOOKUP(B595,'Patner Store'!A$2:A$51,1,0)</f>
        <v>PS0027</v>
      </c>
      <c r="D595" s="29" t="s">
        <v>229</v>
      </c>
      <c r="E595" s="50" t="str">
        <f>VLOOKUP(D595,'Sales Team'!A$2:B$6,1,0)</f>
        <v>ST0004</v>
      </c>
      <c r="F595" s="28">
        <v>44446</v>
      </c>
      <c r="G595" s="17" t="s">
        <v>234</v>
      </c>
      <c r="H595" s="31">
        <v>28053690</v>
      </c>
      <c r="I595" s="17" t="s">
        <v>253</v>
      </c>
    </row>
    <row r="596" spans="1:9" ht="15.75" customHeight="1" x14ac:dyDescent="0.3">
      <c r="A596" s="17" t="s">
        <v>833</v>
      </c>
      <c r="B596" s="17" t="s">
        <v>197</v>
      </c>
      <c r="C596" s="50" t="str">
        <f>VLOOKUP(B596,'Patner Store'!A$2:A$51,1,0)</f>
        <v>PS0041</v>
      </c>
      <c r="D596" s="29" t="s">
        <v>222</v>
      </c>
      <c r="E596" s="50" t="str">
        <f>VLOOKUP(D596,'Sales Team'!A$2:B$6,1,0)</f>
        <v>ST0001</v>
      </c>
      <c r="F596" s="28">
        <v>44448</v>
      </c>
      <c r="G596" s="17" t="s">
        <v>234</v>
      </c>
      <c r="H596" s="31">
        <v>152288840</v>
      </c>
      <c r="I596" s="17" t="s">
        <v>260</v>
      </c>
    </row>
    <row r="597" spans="1:9" ht="15.75" customHeight="1" x14ac:dyDescent="0.3">
      <c r="A597" s="17" t="s">
        <v>834</v>
      </c>
      <c r="B597" s="17" t="s">
        <v>177</v>
      </c>
      <c r="C597" s="50" t="str">
        <f>VLOOKUP(B597,'Patner Store'!A$2:A$51,1,0)</f>
        <v>PS0031</v>
      </c>
      <c r="D597" s="29" t="s">
        <v>225</v>
      </c>
      <c r="E597" s="50" t="str">
        <f>VLOOKUP(D597,'Sales Team'!A$2:B$6,1,0)</f>
        <v>ST0002</v>
      </c>
      <c r="F597" s="28">
        <v>44451</v>
      </c>
      <c r="G597" s="29" t="s">
        <v>237</v>
      </c>
      <c r="H597" s="31">
        <v>753146848</v>
      </c>
      <c r="I597" s="17"/>
    </row>
    <row r="598" spans="1:9" ht="15.75" customHeight="1" x14ac:dyDescent="0.3">
      <c r="A598" s="17" t="s">
        <v>835</v>
      </c>
      <c r="B598" s="17" t="s">
        <v>189</v>
      </c>
      <c r="C598" s="50" t="str">
        <f>VLOOKUP(B598,'Patner Store'!A$2:A$51,1,0)</f>
        <v>PS0037</v>
      </c>
      <c r="D598" s="29" t="s">
        <v>225</v>
      </c>
      <c r="E598" s="50" t="str">
        <f>VLOOKUP(D598,'Sales Team'!A$2:B$6,1,0)</f>
        <v>ST0002</v>
      </c>
      <c r="F598" s="28">
        <v>44451</v>
      </c>
      <c r="G598" s="29" t="s">
        <v>237</v>
      </c>
      <c r="H598" s="31">
        <v>475476370</v>
      </c>
      <c r="I598" s="17"/>
    </row>
    <row r="599" spans="1:9" ht="15.75" customHeight="1" x14ac:dyDescent="0.3">
      <c r="A599" s="17" t="s">
        <v>836</v>
      </c>
      <c r="B599" s="17" t="s">
        <v>113</v>
      </c>
      <c r="C599" s="50" t="str">
        <f>VLOOKUP(B599,'Patner Store'!A$2:A$51,1,0)</f>
        <v>PS0003</v>
      </c>
      <c r="D599" s="29" t="s">
        <v>227</v>
      </c>
      <c r="E599" s="50" t="str">
        <f>VLOOKUP(D599,'Sales Team'!A$2:B$6,1,0)</f>
        <v>ST0003</v>
      </c>
      <c r="F599" s="28">
        <v>44455</v>
      </c>
      <c r="G599" s="29" t="s">
        <v>237</v>
      </c>
      <c r="H599" s="31">
        <v>906069320</v>
      </c>
      <c r="I599" s="17" t="s">
        <v>247</v>
      </c>
    </row>
    <row r="600" spans="1:9" ht="15.75" customHeight="1" x14ac:dyDescent="0.3">
      <c r="A600" s="17" t="s">
        <v>837</v>
      </c>
      <c r="B600" s="17" t="s">
        <v>171</v>
      </c>
      <c r="C600" s="50" t="str">
        <f>VLOOKUP(B600,'Patner Store'!A$2:A$51,1,0)</f>
        <v>PS0028</v>
      </c>
      <c r="D600" s="29" t="s">
        <v>231</v>
      </c>
      <c r="E600" s="50" t="str">
        <f>VLOOKUP(D600,'Sales Team'!A$2:B$6,1,0)</f>
        <v>ST0005</v>
      </c>
      <c r="F600" s="28">
        <v>44458</v>
      </c>
      <c r="G600" s="29" t="s">
        <v>237</v>
      </c>
      <c r="H600" s="31">
        <v>774261840</v>
      </c>
      <c r="I600" s="17"/>
    </row>
    <row r="601" spans="1:9" ht="15.75" customHeight="1" x14ac:dyDescent="0.3">
      <c r="A601" s="17" t="s">
        <v>838</v>
      </c>
      <c r="B601" s="17" t="s">
        <v>148</v>
      </c>
      <c r="C601" s="50" t="str">
        <f>VLOOKUP(B601,'Patner Store'!A$2:A$51,1,0)</f>
        <v>PS0018</v>
      </c>
      <c r="D601" s="29" t="s">
        <v>225</v>
      </c>
      <c r="E601" s="50" t="str">
        <f>VLOOKUP(D601,'Sales Team'!A$2:B$6,1,0)</f>
        <v>ST0002</v>
      </c>
      <c r="F601" s="28">
        <v>44462</v>
      </c>
      <c r="G601" s="17" t="s">
        <v>234</v>
      </c>
      <c r="H601" s="31">
        <v>32892530</v>
      </c>
      <c r="I601" s="17"/>
    </row>
    <row r="602" spans="1:9" ht="15.75" customHeight="1" x14ac:dyDescent="0.3">
      <c r="A602" s="17" t="s">
        <v>839</v>
      </c>
      <c r="B602" s="17" t="s">
        <v>160</v>
      </c>
      <c r="C602" s="50" t="str">
        <f>VLOOKUP(B602,'Patner Store'!A$2:A$51,1,0)</f>
        <v>PS0023</v>
      </c>
      <c r="D602" s="29" t="s">
        <v>227</v>
      </c>
      <c r="E602" s="50" t="str">
        <f>VLOOKUP(D602,'Sales Team'!A$2:B$6,1,0)</f>
        <v>ST0003</v>
      </c>
      <c r="F602" s="28">
        <v>44462</v>
      </c>
      <c r="G602" s="17" t="s">
        <v>234</v>
      </c>
      <c r="H602" s="31">
        <v>50847720</v>
      </c>
      <c r="I602" s="17"/>
    </row>
    <row r="603" spans="1:9" ht="15.75" customHeight="1" x14ac:dyDescent="0.3">
      <c r="A603" s="17" t="s">
        <v>840</v>
      </c>
      <c r="B603" s="17" t="s">
        <v>183</v>
      </c>
      <c r="C603" s="50" t="str">
        <f>VLOOKUP(B603,'Patner Store'!A$2:A$51,1,0)</f>
        <v>PS0034</v>
      </c>
      <c r="D603" s="29" t="s">
        <v>222</v>
      </c>
      <c r="E603" s="50" t="str">
        <f>VLOOKUP(D603,'Sales Team'!A$2:B$6,1,0)</f>
        <v>ST0001</v>
      </c>
      <c r="F603" s="28">
        <v>44465</v>
      </c>
      <c r="G603" s="17" t="s">
        <v>234</v>
      </c>
      <c r="H603" s="31">
        <v>11959200</v>
      </c>
      <c r="I603" s="17"/>
    </row>
    <row r="604" spans="1:9" ht="15.75" customHeight="1" x14ac:dyDescent="0.3">
      <c r="A604" s="17" t="s">
        <v>841</v>
      </c>
      <c r="B604" s="17" t="s">
        <v>151</v>
      </c>
      <c r="C604" s="50" t="str">
        <f>VLOOKUP(B604,'Patner Store'!A$2:A$51,1,0)</f>
        <v>PS0019</v>
      </c>
      <c r="D604" s="29" t="s">
        <v>231</v>
      </c>
      <c r="E604" s="50" t="str">
        <f>VLOOKUP(D604,'Sales Team'!A$2:B$6,1,0)</f>
        <v>ST0005</v>
      </c>
      <c r="F604" s="28">
        <v>44465</v>
      </c>
      <c r="G604" s="17" t="s">
        <v>234</v>
      </c>
      <c r="H604" s="31">
        <v>187848390</v>
      </c>
      <c r="I604" s="17"/>
    </row>
    <row r="605" spans="1:9" ht="15.75" customHeight="1" x14ac:dyDescent="0.3">
      <c r="A605" s="17" t="s">
        <v>842</v>
      </c>
      <c r="B605" s="17" t="s">
        <v>144</v>
      </c>
      <c r="C605" s="50" t="str">
        <f>VLOOKUP(B605,'Patner Store'!A$2:A$51,1,0)</f>
        <v>PS0016</v>
      </c>
      <c r="D605" s="29" t="s">
        <v>227</v>
      </c>
      <c r="E605" s="50" t="str">
        <f>VLOOKUP(D605,'Sales Team'!A$2:B$6,1,0)</f>
        <v>ST0003</v>
      </c>
      <c r="F605" s="28">
        <v>44470</v>
      </c>
      <c r="G605" s="29" t="s">
        <v>237</v>
      </c>
      <c r="H605" s="31">
        <v>413246280</v>
      </c>
      <c r="I605" s="17" t="s">
        <v>260</v>
      </c>
    </row>
    <row r="606" spans="1:9" ht="15.75" customHeight="1" x14ac:dyDescent="0.3">
      <c r="A606" s="17" t="s">
        <v>843</v>
      </c>
      <c r="B606" s="17" t="s">
        <v>154</v>
      </c>
      <c r="C606" s="50" t="str">
        <f>VLOOKUP(B606,'Patner Store'!A$2:A$51,1,0)</f>
        <v>PS0020</v>
      </c>
      <c r="D606" s="29" t="s">
        <v>229</v>
      </c>
      <c r="E606" s="50" t="str">
        <f>VLOOKUP(D606,'Sales Team'!A$2:B$6,1,0)</f>
        <v>ST0004</v>
      </c>
      <c r="F606" s="28">
        <v>44472</v>
      </c>
      <c r="G606" s="29" t="s">
        <v>237</v>
      </c>
      <c r="H606" s="31">
        <v>289564490</v>
      </c>
      <c r="I606" s="17"/>
    </row>
    <row r="607" spans="1:9" ht="15.75" customHeight="1" x14ac:dyDescent="0.3">
      <c r="A607" s="17" t="s">
        <v>844</v>
      </c>
      <c r="B607" s="17" t="s">
        <v>116</v>
      </c>
      <c r="C607" s="50" t="str">
        <f>VLOOKUP(B607,'Patner Store'!A$2:A$51,1,0)</f>
        <v>PS0004</v>
      </c>
      <c r="D607" s="29" t="s">
        <v>222</v>
      </c>
      <c r="E607" s="50" t="str">
        <f>VLOOKUP(D607,'Sales Team'!A$2:B$6,1,0)</f>
        <v>ST0001</v>
      </c>
      <c r="F607" s="28">
        <v>44472</v>
      </c>
      <c r="G607" s="17" t="s">
        <v>234</v>
      </c>
      <c r="H607" s="31">
        <v>140355660</v>
      </c>
      <c r="I607" s="17" t="s">
        <v>260</v>
      </c>
    </row>
    <row r="608" spans="1:9" ht="15.75" customHeight="1" x14ac:dyDescent="0.3">
      <c r="A608" s="17" t="s">
        <v>845</v>
      </c>
      <c r="B608" s="17" t="s">
        <v>201</v>
      </c>
      <c r="C608" s="50" t="str">
        <f>VLOOKUP(B608,'Patner Store'!A$2:A$51,1,0)</f>
        <v>PS0043</v>
      </c>
      <c r="D608" s="29" t="s">
        <v>229</v>
      </c>
      <c r="E608" s="50" t="str">
        <f>VLOOKUP(D608,'Sales Team'!A$2:B$6,1,0)</f>
        <v>ST0004</v>
      </c>
      <c r="F608" s="28">
        <v>44474</v>
      </c>
      <c r="G608" s="29" t="s">
        <v>237</v>
      </c>
      <c r="H608" s="31">
        <v>697134740</v>
      </c>
      <c r="I608" s="17"/>
    </row>
    <row r="609" spans="1:9" ht="15.75" customHeight="1" x14ac:dyDescent="0.3">
      <c r="A609" s="17" t="s">
        <v>846</v>
      </c>
      <c r="B609" s="17" t="s">
        <v>131</v>
      </c>
      <c r="C609" s="50" t="str">
        <f>VLOOKUP(B609,'Patner Store'!A$2:A$51,1,0)</f>
        <v>PS0010</v>
      </c>
      <c r="D609" s="29" t="s">
        <v>222</v>
      </c>
      <c r="E609" s="50" t="str">
        <f>VLOOKUP(D609,'Sales Team'!A$2:B$6,1,0)</f>
        <v>ST0001</v>
      </c>
      <c r="F609" s="28">
        <v>44475</v>
      </c>
      <c r="G609" s="29" t="s">
        <v>237</v>
      </c>
      <c r="H609" s="31">
        <v>723540090</v>
      </c>
      <c r="I609" s="17"/>
    </row>
    <row r="610" spans="1:9" ht="15.75" customHeight="1" x14ac:dyDescent="0.3">
      <c r="A610" s="17" t="s">
        <v>847</v>
      </c>
      <c r="B610" s="17" t="s">
        <v>179</v>
      </c>
      <c r="C610" s="50" t="str">
        <f>VLOOKUP(B610,'Patner Store'!A$2:A$51,1,0)</f>
        <v>PS0032</v>
      </c>
      <c r="D610" s="29" t="s">
        <v>229</v>
      </c>
      <c r="E610" s="50" t="str">
        <f>VLOOKUP(D610,'Sales Team'!A$2:B$6,1,0)</f>
        <v>ST0004</v>
      </c>
      <c r="F610" s="28">
        <v>44475</v>
      </c>
      <c r="G610" s="17" t="s">
        <v>234</v>
      </c>
      <c r="H610" s="31">
        <v>204669210</v>
      </c>
      <c r="I610" s="17"/>
    </row>
    <row r="611" spans="1:9" ht="15.75" customHeight="1" x14ac:dyDescent="0.3">
      <c r="A611" s="17" t="s">
        <v>848</v>
      </c>
      <c r="B611" s="17" t="s">
        <v>148</v>
      </c>
      <c r="C611" s="50" t="str">
        <f>VLOOKUP(B611,'Patner Store'!A$2:A$51,1,0)</f>
        <v>PS0018</v>
      </c>
      <c r="D611" s="29" t="s">
        <v>225</v>
      </c>
      <c r="E611" s="50" t="str">
        <f>VLOOKUP(D611,'Sales Team'!A$2:B$6,1,0)</f>
        <v>ST0002</v>
      </c>
      <c r="F611" s="28">
        <v>44476</v>
      </c>
      <c r="G611" s="17" t="s">
        <v>234</v>
      </c>
      <c r="H611" s="31">
        <v>95288150</v>
      </c>
      <c r="I611" s="17"/>
    </row>
    <row r="612" spans="1:9" ht="15.75" customHeight="1" x14ac:dyDescent="0.3">
      <c r="A612" s="17" t="s">
        <v>849</v>
      </c>
      <c r="B612" s="17" t="s">
        <v>205</v>
      </c>
      <c r="C612" s="50" t="str">
        <f>VLOOKUP(B612,'Patner Store'!A$2:A$51,1,0)</f>
        <v>PS0045</v>
      </c>
      <c r="D612" s="29" t="s">
        <v>231</v>
      </c>
      <c r="E612" s="50" t="str">
        <f>VLOOKUP(D612,'Sales Team'!A$2:B$6,1,0)</f>
        <v>ST0005</v>
      </c>
      <c r="F612" s="28">
        <v>44478</v>
      </c>
      <c r="G612" s="29" t="s">
        <v>237</v>
      </c>
      <c r="H612" s="31">
        <v>549704000</v>
      </c>
      <c r="I612" s="17"/>
    </row>
    <row r="613" spans="1:9" ht="15.75" customHeight="1" x14ac:dyDescent="0.3">
      <c r="A613" s="17" t="s">
        <v>850</v>
      </c>
      <c r="B613" s="17" t="s">
        <v>144</v>
      </c>
      <c r="C613" s="50" t="str">
        <f>VLOOKUP(B613,'Patner Store'!A$2:A$51,1,0)</f>
        <v>PS0016</v>
      </c>
      <c r="D613" s="29" t="s">
        <v>227</v>
      </c>
      <c r="E613" s="50" t="str">
        <f>VLOOKUP(D613,'Sales Team'!A$2:B$6,1,0)</f>
        <v>ST0003</v>
      </c>
      <c r="F613" s="28">
        <v>44479</v>
      </c>
      <c r="G613" s="17" t="s">
        <v>234</v>
      </c>
      <c r="H613" s="31">
        <v>53232166</v>
      </c>
      <c r="I613" s="17"/>
    </row>
    <row r="614" spans="1:9" ht="15.75" customHeight="1" x14ac:dyDescent="0.3">
      <c r="A614" s="17" t="s">
        <v>851</v>
      </c>
      <c r="B614" s="17" t="s">
        <v>156</v>
      </c>
      <c r="C614" s="50" t="str">
        <f>VLOOKUP(B614,'Patner Store'!A$2:A$51,1,0)</f>
        <v>PS0021</v>
      </c>
      <c r="D614" s="29" t="s">
        <v>222</v>
      </c>
      <c r="E614" s="50" t="str">
        <f>VLOOKUP(D614,'Sales Team'!A$2:B$6,1,0)</f>
        <v>ST0001</v>
      </c>
      <c r="F614" s="28">
        <v>44479</v>
      </c>
      <c r="G614" s="29" t="s">
        <v>237</v>
      </c>
      <c r="H614" s="31">
        <v>620049310</v>
      </c>
      <c r="I614" s="17"/>
    </row>
    <row r="615" spans="1:9" ht="15.75" customHeight="1" x14ac:dyDescent="0.3">
      <c r="A615" s="17" t="s">
        <v>852</v>
      </c>
      <c r="B615" s="17" t="s">
        <v>133</v>
      </c>
      <c r="C615" s="50" t="str">
        <f>VLOOKUP(B615,'Patner Store'!A$2:A$51,1,0)</f>
        <v>PS0011</v>
      </c>
      <c r="D615" s="29" t="s">
        <v>225</v>
      </c>
      <c r="E615" s="50" t="str">
        <f>VLOOKUP(D615,'Sales Team'!A$2:B$6,1,0)</f>
        <v>ST0002</v>
      </c>
      <c r="F615" s="28">
        <v>44480</v>
      </c>
      <c r="G615" s="17" t="s">
        <v>234</v>
      </c>
      <c r="H615" s="31">
        <v>153844767</v>
      </c>
      <c r="I615" s="17"/>
    </row>
    <row r="616" spans="1:9" ht="15.75" customHeight="1" x14ac:dyDescent="0.3">
      <c r="A616" s="17" t="s">
        <v>853</v>
      </c>
      <c r="B616" s="17" t="s">
        <v>162</v>
      </c>
      <c r="C616" s="50" t="str">
        <f>VLOOKUP(B616,'Patner Store'!A$2:A$51,1,0)</f>
        <v>PS0024</v>
      </c>
      <c r="D616" s="29" t="s">
        <v>222</v>
      </c>
      <c r="E616" s="50" t="str">
        <f>VLOOKUP(D616,'Sales Team'!A$2:B$6,1,0)</f>
        <v>ST0001</v>
      </c>
      <c r="F616" s="28">
        <v>44480</v>
      </c>
      <c r="G616" s="17" t="s">
        <v>234</v>
      </c>
      <c r="H616" s="31">
        <v>78036900</v>
      </c>
      <c r="I616" s="17"/>
    </row>
    <row r="617" spans="1:9" ht="15.75" customHeight="1" x14ac:dyDescent="0.3">
      <c r="A617" s="17" t="s">
        <v>854</v>
      </c>
      <c r="B617" s="17" t="s">
        <v>205</v>
      </c>
      <c r="C617" s="50" t="str">
        <f>VLOOKUP(B617,'Patner Store'!A$2:A$51,1,0)</f>
        <v>PS0045</v>
      </c>
      <c r="D617" s="29" t="s">
        <v>231</v>
      </c>
      <c r="E617" s="50" t="str">
        <f>VLOOKUP(D617,'Sales Team'!A$2:B$6,1,0)</f>
        <v>ST0005</v>
      </c>
      <c r="F617" s="28">
        <v>44481</v>
      </c>
      <c r="G617" s="17" t="s">
        <v>234</v>
      </c>
      <c r="H617" s="31">
        <v>165172200</v>
      </c>
      <c r="I617" s="17"/>
    </row>
    <row r="618" spans="1:9" ht="15.75" customHeight="1" x14ac:dyDescent="0.3">
      <c r="A618" s="17" t="s">
        <v>855</v>
      </c>
      <c r="B618" s="17" t="s">
        <v>215</v>
      </c>
      <c r="C618" s="50" t="str">
        <f>VLOOKUP(B618,'Patner Store'!A$2:A$51,1,0)</f>
        <v>PS0050</v>
      </c>
      <c r="D618" s="29" t="s">
        <v>229</v>
      </c>
      <c r="E618" s="50" t="str">
        <f>VLOOKUP(D618,'Sales Team'!A$2:B$6,1,0)</f>
        <v>ST0004</v>
      </c>
      <c r="F618" s="28">
        <v>44482</v>
      </c>
      <c r="G618" s="17" t="s">
        <v>234</v>
      </c>
      <c r="H618" s="31">
        <v>37852500</v>
      </c>
      <c r="I618" s="17" t="s">
        <v>247</v>
      </c>
    </row>
    <row r="619" spans="1:9" ht="15.75" customHeight="1" x14ac:dyDescent="0.3">
      <c r="A619" s="17" t="s">
        <v>856</v>
      </c>
      <c r="B619" s="17" t="s">
        <v>187</v>
      </c>
      <c r="C619" s="50" t="str">
        <f>VLOOKUP(B619,'Patner Store'!A$2:A$51,1,0)</f>
        <v>PS0036</v>
      </c>
      <c r="D619" s="29" t="s">
        <v>231</v>
      </c>
      <c r="E619" s="50" t="str">
        <f>VLOOKUP(D619,'Sales Team'!A$2:B$6,1,0)</f>
        <v>ST0005</v>
      </c>
      <c r="F619" s="28">
        <v>44482</v>
      </c>
      <c r="G619" s="29" t="s">
        <v>237</v>
      </c>
      <c r="H619" s="31">
        <v>432394000</v>
      </c>
      <c r="I619" s="17"/>
    </row>
    <row r="620" spans="1:9" ht="15.75" customHeight="1" x14ac:dyDescent="0.3">
      <c r="A620" s="17" t="s">
        <v>857</v>
      </c>
      <c r="B620" s="17" t="s">
        <v>205</v>
      </c>
      <c r="C620" s="50" t="str">
        <f>VLOOKUP(B620,'Patner Store'!A$2:A$51,1,0)</f>
        <v>PS0045</v>
      </c>
      <c r="D620" s="29" t="s">
        <v>231</v>
      </c>
      <c r="E620" s="50" t="str">
        <f>VLOOKUP(D620,'Sales Team'!A$2:B$6,1,0)</f>
        <v>ST0005</v>
      </c>
      <c r="F620" s="28">
        <v>44482</v>
      </c>
      <c r="G620" s="17" t="s">
        <v>234</v>
      </c>
      <c r="H620" s="31">
        <v>21584280</v>
      </c>
      <c r="I620" s="17" t="s">
        <v>253</v>
      </c>
    </row>
    <row r="621" spans="1:9" ht="15.75" customHeight="1" x14ac:dyDescent="0.3">
      <c r="A621" s="17" t="s">
        <v>858</v>
      </c>
      <c r="B621" s="17" t="s">
        <v>166</v>
      </c>
      <c r="C621" s="50" t="str">
        <f>VLOOKUP(B621,'Patner Store'!A$2:A$51,1,0)</f>
        <v>PS0026</v>
      </c>
      <c r="D621" s="29" t="s">
        <v>229</v>
      </c>
      <c r="E621" s="50" t="str">
        <f>VLOOKUP(D621,'Sales Team'!A$2:B$6,1,0)</f>
        <v>ST0004</v>
      </c>
      <c r="F621" s="28">
        <v>44483</v>
      </c>
      <c r="G621" s="17" t="s">
        <v>234</v>
      </c>
      <c r="H621" s="31">
        <v>30330250</v>
      </c>
      <c r="I621" s="17"/>
    </row>
    <row r="622" spans="1:9" ht="15.75" customHeight="1" x14ac:dyDescent="0.3">
      <c r="A622" s="17" t="s">
        <v>859</v>
      </c>
      <c r="B622" s="17" t="s">
        <v>201</v>
      </c>
      <c r="C622" s="50" t="str">
        <f>VLOOKUP(B622,'Patner Store'!A$2:A$51,1,0)</f>
        <v>PS0043</v>
      </c>
      <c r="D622" s="29" t="s">
        <v>229</v>
      </c>
      <c r="E622" s="50" t="str">
        <f>VLOOKUP(D622,'Sales Team'!A$2:B$6,1,0)</f>
        <v>ST0004</v>
      </c>
      <c r="F622" s="28">
        <v>44483</v>
      </c>
      <c r="G622" s="17" t="s">
        <v>234</v>
      </c>
      <c r="H622" s="31">
        <v>48241680</v>
      </c>
      <c r="I622" s="17"/>
    </row>
    <row r="623" spans="1:9" ht="15.75" customHeight="1" x14ac:dyDescent="0.3">
      <c r="A623" s="17" t="s">
        <v>860</v>
      </c>
      <c r="B623" s="17" t="s">
        <v>195</v>
      </c>
      <c r="C623" s="50" t="str">
        <f>VLOOKUP(B623,'Patner Store'!A$2:A$51,1,0)</f>
        <v>PS0040</v>
      </c>
      <c r="D623" s="29" t="s">
        <v>227</v>
      </c>
      <c r="E623" s="50" t="str">
        <f>VLOOKUP(D623,'Sales Team'!A$2:B$6,1,0)</f>
        <v>ST0003</v>
      </c>
      <c r="F623" s="28">
        <v>44483</v>
      </c>
      <c r="G623" s="17" t="s">
        <v>234</v>
      </c>
      <c r="H623" s="31">
        <v>231435060</v>
      </c>
      <c r="I623" s="17"/>
    </row>
    <row r="624" spans="1:9" ht="15.75" customHeight="1" x14ac:dyDescent="0.3">
      <c r="A624" s="17" t="s">
        <v>861</v>
      </c>
      <c r="B624" s="17" t="s">
        <v>168</v>
      </c>
      <c r="C624" s="50" t="str">
        <f>VLOOKUP(B624,'Patner Store'!A$2:A$51,1,0)</f>
        <v>PS0027</v>
      </c>
      <c r="D624" s="29" t="s">
        <v>229</v>
      </c>
      <c r="E624" s="50" t="str">
        <f>VLOOKUP(D624,'Sales Team'!A$2:B$6,1,0)</f>
        <v>ST0004</v>
      </c>
      <c r="F624" s="28">
        <v>44484</v>
      </c>
      <c r="G624" s="29" t="s">
        <v>237</v>
      </c>
      <c r="H624" s="31">
        <v>334301250</v>
      </c>
      <c r="I624" s="17"/>
    </row>
    <row r="625" spans="1:9" ht="15.75" customHeight="1" x14ac:dyDescent="0.3">
      <c r="A625" s="17" t="s">
        <v>862</v>
      </c>
      <c r="B625" s="17" t="s">
        <v>193</v>
      </c>
      <c r="C625" s="50" t="str">
        <f>VLOOKUP(B625,'Patner Store'!A$2:A$51,1,0)</f>
        <v>PS0039</v>
      </c>
      <c r="D625" s="29" t="s">
        <v>227</v>
      </c>
      <c r="E625" s="50" t="str">
        <f>VLOOKUP(D625,'Sales Team'!A$2:B$6,1,0)</f>
        <v>ST0003</v>
      </c>
      <c r="F625" s="28">
        <v>44486</v>
      </c>
      <c r="G625" s="29" t="s">
        <v>237</v>
      </c>
      <c r="H625" s="31">
        <v>267482270.00000003</v>
      </c>
      <c r="I625" s="17"/>
    </row>
    <row r="626" spans="1:9" ht="15.75" customHeight="1" x14ac:dyDescent="0.3">
      <c r="A626" s="17" t="s">
        <v>863</v>
      </c>
      <c r="B626" s="17" t="s">
        <v>195</v>
      </c>
      <c r="C626" s="50" t="str">
        <f>VLOOKUP(B626,'Patner Store'!A$2:A$51,1,0)</f>
        <v>PS0040</v>
      </c>
      <c r="D626" s="29" t="s">
        <v>227</v>
      </c>
      <c r="E626" s="50" t="str">
        <f>VLOOKUP(D626,'Sales Team'!A$2:B$6,1,0)</f>
        <v>ST0003</v>
      </c>
      <c r="F626" s="28">
        <v>44489</v>
      </c>
      <c r="G626" s="17" t="s">
        <v>234</v>
      </c>
      <c r="H626" s="31">
        <v>170164750</v>
      </c>
      <c r="I626" s="17"/>
    </row>
    <row r="627" spans="1:9" ht="15.75" customHeight="1" x14ac:dyDescent="0.3">
      <c r="A627" s="17" t="s">
        <v>864</v>
      </c>
      <c r="B627" s="17" t="s">
        <v>158</v>
      </c>
      <c r="C627" s="50" t="str">
        <f>VLOOKUP(B627,'Patner Store'!A$2:A$51,1,0)</f>
        <v>PS0022</v>
      </c>
      <c r="D627" s="29" t="s">
        <v>229</v>
      </c>
      <c r="E627" s="50" t="str">
        <f>VLOOKUP(D627,'Sales Team'!A$2:B$6,1,0)</f>
        <v>ST0004</v>
      </c>
      <c r="F627" s="28">
        <v>44491</v>
      </c>
      <c r="G627" s="29" t="s">
        <v>237</v>
      </c>
      <c r="H627" s="31">
        <v>510373780</v>
      </c>
      <c r="I627" s="17"/>
    </row>
    <row r="628" spans="1:9" ht="15.75" customHeight="1" x14ac:dyDescent="0.3">
      <c r="A628" s="17" t="s">
        <v>865</v>
      </c>
      <c r="B628" s="17" t="s">
        <v>109</v>
      </c>
      <c r="C628" s="50" t="str">
        <f>VLOOKUP(B628,'Patner Store'!A$2:A$51,1,0)</f>
        <v>PS0002</v>
      </c>
      <c r="D628" s="29" t="s">
        <v>225</v>
      </c>
      <c r="E628" s="50" t="str">
        <f>VLOOKUP(D628,'Sales Team'!A$2:B$6,1,0)</f>
        <v>ST0002</v>
      </c>
      <c r="F628" s="28">
        <v>44493</v>
      </c>
      <c r="G628" s="29" t="s">
        <v>237</v>
      </c>
      <c r="H628" s="31">
        <v>308202980</v>
      </c>
      <c r="I628" s="17"/>
    </row>
    <row r="629" spans="1:9" ht="15.75" customHeight="1" x14ac:dyDescent="0.3">
      <c r="A629" s="17" t="s">
        <v>866</v>
      </c>
      <c r="B629" s="17" t="s">
        <v>193</v>
      </c>
      <c r="C629" s="50" t="str">
        <f>VLOOKUP(B629,'Patner Store'!A$2:A$51,1,0)</f>
        <v>PS0039</v>
      </c>
      <c r="D629" s="29" t="s">
        <v>227</v>
      </c>
      <c r="E629" s="50" t="str">
        <f>VLOOKUP(D629,'Sales Team'!A$2:B$6,1,0)</f>
        <v>ST0003</v>
      </c>
      <c r="F629" s="28">
        <v>44494</v>
      </c>
      <c r="G629" s="29" t="s">
        <v>237</v>
      </c>
      <c r="H629" s="31">
        <v>383492980</v>
      </c>
      <c r="I629" s="17"/>
    </row>
    <row r="630" spans="1:9" ht="15.75" customHeight="1" x14ac:dyDescent="0.3">
      <c r="A630" s="17" t="s">
        <v>867</v>
      </c>
      <c r="B630" s="17" t="s">
        <v>146</v>
      </c>
      <c r="C630" s="50" t="str">
        <f>VLOOKUP(B630,'Patner Store'!A$2:A$51,1,0)</f>
        <v>PS0017</v>
      </c>
      <c r="D630" s="29" t="s">
        <v>222</v>
      </c>
      <c r="E630" s="50" t="str">
        <f>VLOOKUP(D630,'Sales Team'!A$2:B$6,1,0)</f>
        <v>ST0001</v>
      </c>
      <c r="F630" s="28">
        <v>44498</v>
      </c>
      <c r="G630" s="17" t="s">
        <v>234</v>
      </c>
      <c r="H630" s="31">
        <v>237464316</v>
      </c>
      <c r="I630" s="17"/>
    </row>
    <row r="631" spans="1:9" ht="15.75" customHeight="1" x14ac:dyDescent="0.3">
      <c r="A631" s="17" t="s">
        <v>868</v>
      </c>
      <c r="B631" s="17" t="s">
        <v>201</v>
      </c>
      <c r="C631" s="50" t="str">
        <f>VLOOKUP(B631,'Patner Store'!A$2:A$51,1,0)</f>
        <v>PS0043</v>
      </c>
      <c r="D631" s="29" t="s">
        <v>229</v>
      </c>
      <c r="E631" s="50" t="str">
        <f>VLOOKUP(D631,'Sales Team'!A$2:B$6,1,0)</f>
        <v>ST0004</v>
      </c>
      <c r="F631" s="28">
        <v>44500</v>
      </c>
      <c r="G631" s="17" t="s">
        <v>234</v>
      </c>
      <c r="H631" s="31">
        <v>153748320</v>
      </c>
      <c r="I631" s="17"/>
    </row>
    <row r="632" spans="1:9" ht="15.75" customHeight="1" x14ac:dyDescent="0.3">
      <c r="A632" s="17" t="s">
        <v>869</v>
      </c>
      <c r="B632" s="17" t="s">
        <v>187</v>
      </c>
      <c r="C632" s="50" t="str">
        <f>VLOOKUP(B632,'Patner Store'!A$2:A$51,1,0)</f>
        <v>PS0036</v>
      </c>
      <c r="D632" s="29" t="s">
        <v>231</v>
      </c>
      <c r="E632" s="50" t="str">
        <f>VLOOKUP(D632,'Sales Team'!A$2:B$6,1,0)</f>
        <v>ST0005</v>
      </c>
      <c r="F632" s="28">
        <v>44501</v>
      </c>
      <c r="G632" s="17" t="s">
        <v>234</v>
      </c>
      <c r="H632" s="31">
        <v>185151040</v>
      </c>
      <c r="I632" s="17"/>
    </row>
    <row r="633" spans="1:9" ht="15.75" customHeight="1" x14ac:dyDescent="0.3">
      <c r="A633" s="17" t="s">
        <v>870</v>
      </c>
      <c r="B633" s="17" t="s">
        <v>148</v>
      </c>
      <c r="C633" s="50" t="str">
        <f>VLOOKUP(B633,'Patner Store'!A$2:A$51,1,0)</f>
        <v>PS0018</v>
      </c>
      <c r="D633" s="29" t="s">
        <v>225</v>
      </c>
      <c r="E633" s="50" t="str">
        <f>VLOOKUP(D633,'Sales Team'!A$2:B$6,1,0)</f>
        <v>ST0002</v>
      </c>
      <c r="F633" s="28">
        <v>44503</v>
      </c>
      <c r="G633" s="29" t="s">
        <v>237</v>
      </c>
      <c r="H633" s="31">
        <v>777612460</v>
      </c>
      <c r="I633" s="17" t="s">
        <v>238</v>
      </c>
    </row>
    <row r="634" spans="1:9" ht="15.75" customHeight="1" x14ac:dyDescent="0.3">
      <c r="A634" s="17" t="s">
        <v>871</v>
      </c>
      <c r="B634" s="17" t="s">
        <v>113</v>
      </c>
      <c r="C634" s="50" t="str">
        <f>VLOOKUP(B634,'Patner Store'!A$2:A$51,1,0)</f>
        <v>PS0003</v>
      </c>
      <c r="D634" s="29" t="s">
        <v>227</v>
      </c>
      <c r="E634" s="50" t="str">
        <f>VLOOKUP(D634,'Sales Team'!A$2:B$6,1,0)</f>
        <v>ST0003</v>
      </c>
      <c r="F634" s="28">
        <v>44504</v>
      </c>
      <c r="G634" s="29" t="s">
        <v>237</v>
      </c>
      <c r="H634" s="31">
        <v>847354060</v>
      </c>
      <c r="I634" s="17"/>
    </row>
    <row r="635" spans="1:9" ht="15.75" customHeight="1" x14ac:dyDescent="0.3">
      <c r="A635" s="17" t="s">
        <v>872</v>
      </c>
      <c r="B635" s="17" t="s">
        <v>158</v>
      </c>
      <c r="C635" s="50" t="str">
        <f>VLOOKUP(B635,'Patner Store'!A$2:A$51,1,0)</f>
        <v>PS0022</v>
      </c>
      <c r="D635" s="29" t="s">
        <v>229</v>
      </c>
      <c r="E635" s="50" t="str">
        <f>VLOOKUP(D635,'Sales Team'!A$2:B$6,1,0)</f>
        <v>ST0004</v>
      </c>
      <c r="F635" s="28">
        <v>44504</v>
      </c>
      <c r="G635" s="17" t="s">
        <v>234</v>
      </c>
      <c r="H635" s="31">
        <v>27190650</v>
      </c>
      <c r="I635" s="17"/>
    </row>
    <row r="636" spans="1:9" ht="15.75" customHeight="1" x14ac:dyDescent="0.3">
      <c r="A636" s="17" t="s">
        <v>873</v>
      </c>
      <c r="B636" s="17" t="s">
        <v>105</v>
      </c>
      <c r="C636" s="50" t="str">
        <f>VLOOKUP(B636,'Patner Store'!A$2:A$51,1,0)</f>
        <v>PS0001</v>
      </c>
      <c r="D636" s="29" t="s">
        <v>231</v>
      </c>
      <c r="E636" s="50" t="str">
        <f>VLOOKUP(D636,'Sales Team'!A$2:B$6,1,0)</f>
        <v>ST0005</v>
      </c>
      <c r="F636" s="28">
        <v>44507</v>
      </c>
      <c r="G636" s="29" t="s">
        <v>237</v>
      </c>
      <c r="H636" s="31">
        <v>341345130</v>
      </c>
      <c r="I636" s="17"/>
    </row>
    <row r="637" spans="1:9" ht="15.75" customHeight="1" x14ac:dyDescent="0.3">
      <c r="A637" s="17" t="s">
        <v>874</v>
      </c>
      <c r="B637" s="17" t="s">
        <v>173</v>
      </c>
      <c r="C637" s="50" t="str">
        <f>VLOOKUP(B637,'Patner Store'!A$2:A$51,1,0)</f>
        <v>PS0029</v>
      </c>
      <c r="D637" s="29" t="s">
        <v>229</v>
      </c>
      <c r="E637" s="50" t="str">
        <f>VLOOKUP(D637,'Sales Team'!A$2:B$6,1,0)</f>
        <v>ST0004</v>
      </c>
      <c r="F637" s="28">
        <v>44508</v>
      </c>
      <c r="G637" s="29" t="s">
        <v>237</v>
      </c>
      <c r="H637" s="31">
        <v>299106360</v>
      </c>
      <c r="I637" s="17"/>
    </row>
    <row r="638" spans="1:9" ht="15.75" customHeight="1" x14ac:dyDescent="0.3">
      <c r="A638" s="17" t="s">
        <v>875</v>
      </c>
      <c r="B638" s="17" t="s">
        <v>131</v>
      </c>
      <c r="C638" s="50" t="str">
        <f>VLOOKUP(B638,'Patner Store'!A$2:A$51,1,0)</f>
        <v>PS0010</v>
      </c>
      <c r="D638" s="29" t="s">
        <v>222</v>
      </c>
      <c r="E638" s="50" t="str">
        <f>VLOOKUP(D638,'Sales Team'!A$2:B$6,1,0)</f>
        <v>ST0001</v>
      </c>
      <c r="F638" s="28">
        <v>44510</v>
      </c>
      <c r="G638" s="17" t="s">
        <v>234</v>
      </c>
      <c r="H638" s="31">
        <v>100862630</v>
      </c>
      <c r="I638" s="17"/>
    </row>
    <row r="639" spans="1:9" ht="15.75" customHeight="1" x14ac:dyDescent="0.3">
      <c r="A639" s="17" t="s">
        <v>876</v>
      </c>
      <c r="B639" s="17" t="s">
        <v>187</v>
      </c>
      <c r="C639" s="50" t="str">
        <f>VLOOKUP(B639,'Patner Store'!A$2:A$51,1,0)</f>
        <v>PS0036</v>
      </c>
      <c r="D639" s="29" t="s">
        <v>231</v>
      </c>
      <c r="E639" s="50" t="str">
        <f>VLOOKUP(D639,'Sales Team'!A$2:B$6,1,0)</f>
        <v>ST0005</v>
      </c>
      <c r="F639" s="28">
        <v>44510</v>
      </c>
      <c r="G639" s="17" t="s">
        <v>234</v>
      </c>
      <c r="H639" s="31">
        <v>61624752</v>
      </c>
      <c r="I639" s="17" t="s">
        <v>260</v>
      </c>
    </row>
    <row r="640" spans="1:9" ht="15.75" customHeight="1" x14ac:dyDescent="0.3">
      <c r="A640" s="17" t="s">
        <v>877</v>
      </c>
      <c r="B640" s="17" t="s">
        <v>113</v>
      </c>
      <c r="C640" s="50" t="str">
        <f>VLOOKUP(B640,'Patner Store'!A$2:A$51,1,0)</f>
        <v>PS0003</v>
      </c>
      <c r="D640" s="29" t="s">
        <v>227</v>
      </c>
      <c r="E640" s="50" t="str">
        <f>VLOOKUP(D640,'Sales Team'!A$2:B$6,1,0)</f>
        <v>ST0003</v>
      </c>
      <c r="F640" s="28">
        <v>44511</v>
      </c>
      <c r="G640" s="17" t="s">
        <v>234</v>
      </c>
      <c r="H640" s="31">
        <v>160263800</v>
      </c>
      <c r="I640" s="17"/>
    </row>
    <row r="641" spans="1:9" ht="15.75" customHeight="1" x14ac:dyDescent="0.3">
      <c r="A641" s="17" t="s">
        <v>878</v>
      </c>
      <c r="B641" s="17" t="s">
        <v>215</v>
      </c>
      <c r="C641" s="50" t="str">
        <f>VLOOKUP(B641,'Patner Store'!A$2:A$51,1,0)</f>
        <v>PS0050</v>
      </c>
      <c r="D641" s="29" t="s">
        <v>229</v>
      </c>
      <c r="E641" s="50" t="str">
        <f>VLOOKUP(D641,'Sales Team'!A$2:B$6,1,0)</f>
        <v>ST0004</v>
      </c>
      <c r="F641" s="28">
        <v>44512</v>
      </c>
      <c r="G641" s="29" t="s">
        <v>237</v>
      </c>
      <c r="H641" s="31">
        <v>377834240</v>
      </c>
      <c r="I641" s="17" t="s">
        <v>253</v>
      </c>
    </row>
    <row r="642" spans="1:9" ht="15.75" customHeight="1" x14ac:dyDescent="0.3">
      <c r="A642" s="17" t="s">
        <v>879</v>
      </c>
      <c r="B642" s="17" t="s">
        <v>189</v>
      </c>
      <c r="C642" s="50" t="str">
        <f>VLOOKUP(B642,'Patner Store'!A$2:A$51,1,0)</f>
        <v>PS0037</v>
      </c>
      <c r="D642" s="29" t="s">
        <v>225</v>
      </c>
      <c r="E642" s="50" t="str">
        <f>VLOOKUP(D642,'Sales Team'!A$2:B$6,1,0)</f>
        <v>ST0002</v>
      </c>
      <c r="F642" s="28">
        <v>44513</v>
      </c>
      <c r="G642" s="17" t="s">
        <v>234</v>
      </c>
      <c r="H642" s="31">
        <v>28037600</v>
      </c>
      <c r="I642" s="17"/>
    </row>
    <row r="643" spans="1:9" ht="15.75" customHeight="1" x14ac:dyDescent="0.3">
      <c r="A643" s="17" t="s">
        <v>880</v>
      </c>
      <c r="B643" s="17" t="s">
        <v>156</v>
      </c>
      <c r="C643" s="50" t="str">
        <f>VLOOKUP(B643,'Patner Store'!A$2:A$51,1,0)</f>
        <v>PS0021</v>
      </c>
      <c r="D643" s="29" t="s">
        <v>222</v>
      </c>
      <c r="E643" s="50" t="str">
        <f>VLOOKUP(D643,'Sales Team'!A$2:B$6,1,0)</f>
        <v>ST0001</v>
      </c>
      <c r="F643" s="28">
        <v>44513</v>
      </c>
      <c r="G643" s="17" t="s">
        <v>234</v>
      </c>
      <c r="H643" s="31">
        <v>24375575</v>
      </c>
      <c r="I643" s="17"/>
    </row>
    <row r="644" spans="1:9" ht="15.75" customHeight="1" x14ac:dyDescent="0.3">
      <c r="A644" s="17" t="s">
        <v>881</v>
      </c>
      <c r="B644" s="17" t="s">
        <v>207</v>
      </c>
      <c r="C644" s="50" t="str">
        <f>VLOOKUP(B644,'Patner Store'!A$2:A$51,1,0)</f>
        <v>PS0046</v>
      </c>
      <c r="D644" s="29" t="s">
        <v>227</v>
      </c>
      <c r="E644" s="50" t="str">
        <f>VLOOKUP(D644,'Sales Team'!A$2:B$6,1,0)</f>
        <v>ST0003</v>
      </c>
      <c r="F644" s="28">
        <v>44514</v>
      </c>
      <c r="G644" s="29" t="s">
        <v>237</v>
      </c>
      <c r="H644" s="31">
        <v>500863890</v>
      </c>
      <c r="I644" s="17"/>
    </row>
    <row r="645" spans="1:9" ht="15.75" customHeight="1" x14ac:dyDescent="0.3">
      <c r="A645" s="17" t="s">
        <v>882</v>
      </c>
      <c r="B645" s="17" t="s">
        <v>146</v>
      </c>
      <c r="C645" s="50" t="str">
        <f>VLOOKUP(B645,'Patner Store'!A$2:A$51,1,0)</f>
        <v>PS0017</v>
      </c>
      <c r="D645" s="29" t="s">
        <v>222</v>
      </c>
      <c r="E645" s="50" t="str">
        <f>VLOOKUP(D645,'Sales Team'!A$2:B$6,1,0)</f>
        <v>ST0001</v>
      </c>
      <c r="F645" s="28">
        <v>44516</v>
      </c>
      <c r="G645" s="17" t="s">
        <v>234</v>
      </c>
      <c r="H645" s="31">
        <v>25301920</v>
      </c>
      <c r="I645" s="17"/>
    </row>
    <row r="646" spans="1:9" ht="15.75" customHeight="1" x14ac:dyDescent="0.3">
      <c r="A646" s="17" t="s">
        <v>883</v>
      </c>
      <c r="B646" s="17" t="s">
        <v>211</v>
      </c>
      <c r="C646" s="50" t="str">
        <f>VLOOKUP(B646,'Patner Store'!A$2:A$51,1,0)</f>
        <v>PS0048</v>
      </c>
      <c r="D646" s="29" t="s">
        <v>227</v>
      </c>
      <c r="E646" s="50" t="str">
        <f>VLOOKUP(D646,'Sales Team'!A$2:B$6,1,0)</f>
        <v>ST0003</v>
      </c>
      <c r="F646" s="28">
        <v>44517</v>
      </c>
      <c r="G646" s="17" t="s">
        <v>234</v>
      </c>
      <c r="H646" s="31">
        <v>160051710</v>
      </c>
      <c r="I646" s="17"/>
    </row>
    <row r="647" spans="1:9" ht="15.75" customHeight="1" x14ac:dyDescent="0.3">
      <c r="A647" s="17" t="s">
        <v>884</v>
      </c>
      <c r="B647" s="17" t="s">
        <v>177</v>
      </c>
      <c r="C647" s="50" t="str">
        <f>VLOOKUP(B647,'Patner Store'!A$2:A$51,1,0)</f>
        <v>PS0031</v>
      </c>
      <c r="D647" s="29" t="s">
        <v>225</v>
      </c>
      <c r="E647" s="50" t="str">
        <f>VLOOKUP(D647,'Sales Team'!A$2:B$6,1,0)</f>
        <v>ST0002</v>
      </c>
      <c r="F647" s="28">
        <v>44517</v>
      </c>
      <c r="G647" s="17" t="s">
        <v>234</v>
      </c>
      <c r="H647" s="31">
        <v>192581520</v>
      </c>
      <c r="I647" s="17" t="s">
        <v>247</v>
      </c>
    </row>
    <row r="648" spans="1:9" ht="15.75" customHeight="1" x14ac:dyDescent="0.3">
      <c r="A648" s="17" t="s">
        <v>885</v>
      </c>
      <c r="B648" s="17" t="s">
        <v>124</v>
      </c>
      <c r="C648" s="50" t="str">
        <f>VLOOKUP(B648,'Patner Store'!A$2:A$51,1,0)</f>
        <v>PS0007</v>
      </c>
      <c r="D648" s="29" t="s">
        <v>222</v>
      </c>
      <c r="E648" s="50" t="str">
        <f>VLOOKUP(D648,'Sales Team'!A$2:B$6,1,0)</f>
        <v>ST0001</v>
      </c>
      <c r="F648" s="28">
        <v>44517</v>
      </c>
      <c r="G648" s="17" t="s">
        <v>234</v>
      </c>
      <c r="H648" s="31">
        <v>13458240</v>
      </c>
      <c r="I648" s="17" t="s">
        <v>253</v>
      </c>
    </row>
    <row r="649" spans="1:9" ht="15.75" customHeight="1" x14ac:dyDescent="0.3">
      <c r="A649" s="17" t="s">
        <v>886</v>
      </c>
      <c r="B649" s="17" t="s">
        <v>137</v>
      </c>
      <c r="C649" s="50" t="str">
        <f>VLOOKUP(B649,'Patner Store'!A$2:A$51,1,0)</f>
        <v>PS0013</v>
      </c>
      <c r="D649" s="29" t="s">
        <v>222</v>
      </c>
      <c r="E649" s="50" t="str">
        <f>VLOOKUP(D649,'Sales Team'!A$2:B$6,1,0)</f>
        <v>ST0001</v>
      </c>
      <c r="F649" s="28">
        <v>44518</v>
      </c>
      <c r="G649" s="17" t="s">
        <v>234</v>
      </c>
      <c r="H649" s="31">
        <v>133854110</v>
      </c>
      <c r="I649" s="17"/>
    </row>
    <row r="650" spans="1:9" ht="15.75" customHeight="1" x14ac:dyDescent="0.3">
      <c r="A650" s="17" t="s">
        <v>887</v>
      </c>
      <c r="B650" s="17" t="s">
        <v>156</v>
      </c>
      <c r="C650" s="50" t="str">
        <f>VLOOKUP(B650,'Patner Store'!A$2:A$51,1,0)</f>
        <v>PS0021</v>
      </c>
      <c r="D650" s="29" t="s">
        <v>222</v>
      </c>
      <c r="E650" s="50" t="str">
        <f>VLOOKUP(D650,'Sales Team'!A$2:B$6,1,0)</f>
        <v>ST0001</v>
      </c>
      <c r="F650" s="28">
        <v>44519</v>
      </c>
      <c r="G650" s="29" t="s">
        <v>237</v>
      </c>
      <c r="H650" s="31">
        <v>297750470</v>
      </c>
      <c r="I650" s="17" t="s">
        <v>260</v>
      </c>
    </row>
    <row r="651" spans="1:9" ht="15.75" customHeight="1" x14ac:dyDescent="0.3">
      <c r="A651" s="17" t="s">
        <v>888</v>
      </c>
      <c r="B651" s="17" t="s">
        <v>166</v>
      </c>
      <c r="C651" s="50" t="str">
        <f>VLOOKUP(B651,'Patner Store'!A$2:A$51,1,0)</f>
        <v>PS0026</v>
      </c>
      <c r="D651" s="29" t="s">
        <v>229</v>
      </c>
      <c r="E651" s="50" t="str">
        <f>VLOOKUP(D651,'Sales Team'!A$2:B$6,1,0)</f>
        <v>ST0004</v>
      </c>
      <c r="F651" s="28">
        <v>44521</v>
      </c>
      <c r="G651" s="29" t="s">
        <v>237</v>
      </c>
      <c r="H651" s="31">
        <v>329445090</v>
      </c>
      <c r="I651" s="17"/>
    </row>
    <row r="652" spans="1:9" ht="15.75" customHeight="1" x14ac:dyDescent="0.3">
      <c r="A652" s="17" t="s">
        <v>889</v>
      </c>
      <c r="B652" s="17" t="s">
        <v>146</v>
      </c>
      <c r="C652" s="50" t="str">
        <f>VLOOKUP(B652,'Patner Store'!A$2:A$51,1,0)</f>
        <v>PS0017</v>
      </c>
      <c r="D652" s="29" t="s">
        <v>222</v>
      </c>
      <c r="E652" s="50" t="str">
        <f>VLOOKUP(D652,'Sales Team'!A$2:B$6,1,0)</f>
        <v>ST0001</v>
      </c>
      <c r="F652" s="28">
        <v>44523</v>
      </c>
      <c r="G652" s="17" t="s">
        <v>234</v>
      </c>
      <c r="H652" s="31">
        <v>87111010</v>
      </c>
      <c r="I652" s="17" t="s">
        <v>247</v>
      </c>
    </row>
    <row r="653" spans="1:9" ht="15.75" customHeight="1" x14ac:dyDescent="0.3">
      <c r="A653" s="17" t="s">
        <v>890</v>
      </c>
      <c r="B653" s="17" t="s">
        <v>215</v>
      </c>
      <c r="C653" s="50" t="str">
        <f>VLOOKUP(B653,'Patner Store'!A$2:A$51,1,0)</f>
        <v>PS0050</v>
      </c>
      <c r="D653" s="29" t="s">
        <v>229</v>
      </c>
      <c r="E653" s="50" t="str">
        <f>VLOOKUP(D653,'Sales Team'!A$2:B$6,1,0)</f>
        <v>ST0004</v>
      </c>
      <c r="F653" s="28">
        <v>44525</v>
      </c>
      <c r="G653" s="29" t="s">
        <v>237</v>
      </c>
      <c r="H653" s="31">
        <v>596716000</v>
      </c>
      <c r="I653" s="17" t="s">
        <v>260</v>
      </c>
    </row>
    <row r="654" spans="1:9" ht="15.75" customHeight="1" x14ac:dyDescent="0.3">
      <c r="A654" s="17" t="s">
        <v>891</v>
      </c>
      <c r="B654" s="17" t="s">
        <v>141</v>
      </c>
      <c r="C654" s="50" t="str">
        <f>VLOOKUP(B654,'Patner Store'!A$2:A$51,1,0)</f>
        <v>PS0015</v>
      </c>
      <c r="D654" s="29" t="s">
        <v>229</v>
      </c>
      <c r="E654" s="50" t="str">
        <f>VLOOKUP(D654,'Sales Team'!A$2:B$6,1,0)</f>
        <v>ST0004</v>
      </c>
      <c r="F654" s="28">
        <v>44527</v>
      </c>
      <c r="G654" s="29" t="s">
        <v>237</v>
      </c>
      <c r="H654" s="31">
        <v>462918120</v>
      </c>
      <c r="I654" s="17"/>
    </row>
    <row r="655" spans="1:9" ht="15.75" customHeight="1" x14ac:dyDescent="0.3">
      <c r="A655" s="17" t="s">
        <v>892</v>
      </c>
      <c r="B655" s="17" t="s">
        <v>213</v>
      </c>
      <c r="C655" s="50" t="str">
        <f>VLOOKUP(B655,'Patner Store'!A$2:A$51,1,0)</f>
        <v>PS0049</v>
      </c>
      <c r="D655" s="29" t="s">
        <v>229</v>
      </c>
      <c r="E655" s="50" t="str">
        <f>VLOOKUP(D655,'Sales Team'!A$2:B$6,1,0)</f>
        <v>ST0004</v>
      </c>
      <c r="F655" s="28">
        <v>44527</v>
      </c>
      <c r="G655" s="29" t="s">
        <v>237</v>
      </c>
      <c r="H655" s="31">
        <v>458407850</v>
      </c>
      <c r="I655" s="17"/>
    </row>
    <row r="656" spans="1:9" ht="15.75" customHeight="1" x14ac:dyDescent="0.3">
      <c r="A656" s="17" t="s">
        <v>893</v>
      </c>
      <c r="B656" s="17" t="s">
        <v>139</v>
      </c>
      <c r="C656" s="50" t="str">
        <f>VLOOKUP(B656,'Patner Store'!A$2:A$51,1,0)</f>
        <v>PS0014</v>
      </c>
      <c r="D656" s="29" t="s">
        <v>227</v>
      </c>
      <c r="E656" s="50" t="str">
        <f>VLOOKUP(D656,'Sales Team'!A$2:B$6,1,0)</f>
        <v>ST0003</v>
      </c>
      <c r="F656" s="28">
        <v>44529</v>
      </c>
      <c r="G656" s="29" t="s">
        <v>237</v>
      </c>
      <c r="H656" s="31">
        <v>686829600</v>
      </c>
      <c r="I656" s="17" t="s">
        <v>247</v>
      </c>
    </row>
    <row r="657" spans="1:9" ht="15.75" customHeight="1" x14ac:dyDescent="0.3">
      <c r="A657" s="17" t="s">
        <v>894</v>
      </c>
      <c r="B657" s="17" t="s">
        <v>128</v>
      </c>
      <c r="C657" s="50" t="str">
        <f>VLOOKUP(B657,'Patner Store'!A$2:A$51,1,0)</f>
        <v>PS0009</v>
      </c>
      <c r="D657" s="29" t="s">
        <v>227</v>
      </c>
      <c r="E657" s="50" t="str">
        <f>VLOOKUP(D657,'Sales Team'!A$2:B$6,1,0)</f>
        <v>ST0003</v>
      </c>
      <c r="F657" s="28">
        <v>44529</v>
      </c>
      <c r="G657" s="17" t="s">
        <v>234</v>
      </c>
      <c r="H657" s="31">
        <v>9306000</v>
      </c>
      <c r="I657" s="17" t="s">
        <v>253</v>
      </c>
    </row>
    <row r="658" spans="1:9" ht="15.75" customHeight="1" x14ac:dyDescent="0.3">
      <c r="A658" s="17" t="s">
        <v>895</v>
      </c>
      <c r="B658" s="17" t="s">
        <v>177</v>
      </c>
      <c r="C658" s="50" t="str">
        <f>VLOOKUP(B658,'Patner Store'!A$2:A$51,1,0)</f>
        <v>PS0031</v>
      </c>
      <c r="D658" s="29" t="s">
        <v>225</v>
      </c>
      <c r="E658" s="50" t="str">
        <f>VLOOKUP(D658,'Sales Team'!A$2:B$6,1,0)</f>
        <v>ST0002</v>
      </c>
      <c r="F658" s="28">
        <v>44530</v>
      </c>
      <c r="G658" s="29" t="s">
        <v>237</v>
      </c>
      <c r="H658" s="31">
        <v>507346350</v>
      </c>
      <c r="I658" s="17"/>
    </row>
    <row r="659" spans="1:9" ht="15.75" customHeight="1" x14ac:dyDescent="0.3">
      <c r="A659" s="17" t="s">
        <v>896</v>
      </c>
      <c r="B659" s="17" t="s">
        <v>154</v>
      </c>
      <c r="C659" s="50" t="str">
        <f>VLOOKUP(B659,'Patner Store'!A$2:A$51,1,0)</f>
        <v>PS0020</v>
      </c>
      <c r="D659" s="29" t="s">
        <v>229</v>
      </c>
      <c r="E659" s="50" t="str">
        <f>VLOOKUP(D659,'Sales Team'!A$2:B$6,1,0)</f>
        <v>ST0004</v>
      </c>
      <c r="F659" s="28">
        <v>44530</v>
      </c>
      <c r="G659" s="17" t="s">
        <v>234</v>
      </c>
      <c r="H659" s="31">
        <v>131293400</v>
      </c>
      <c r="I659" s="17" t="s">
        <v>260</v>
      </c>
    </row>
    <row r="660" spans="1:9" ht="15.75" customHeight="1" x14ac:dyDescent="0.3">
      <c r="A660" s="17" t="s">
        <v>897</v>
      </c>
      <c r="B660" s="17" t="s">
        <v>131</v>
      </c>
      <c r="C660" s="50" t="str">
        <f>VLOOKUP(B660,'Patner Store'!A$2:A$51,1,0)</f>
        <v>PS0010</v>
      </c>
      <c r="D660" s="29" t="s">
        <v>222</v>
      </c>
      <c r="E660" s="50" t="str">
        <f>VLOOKUP(D660,'Sales Team'!A$2:B$6,1,0)</f>
        <v>ST0001</v>
      </c>
      <c r="F660" s="28">
        <v>44531</v>
      </c>
      <c r="G660" s="17" t="s">
        <v>234</v>
      </c>
      <c r="H660" s="31">
        <v>52314090</v>
      </c>
      <c r="I660" s="17" t="s">
        <v>247</v>
      </c>
    </row>
    <row r="661" spans="1:9" ht="15.75" customHeight="1" x14ac:dyDescent="0.3">
      <c r="A661" s="17" t="s">
        <v>898</v>
      </c>
      <c r="B661" s="17" t="s">
        <v>173</v>
      </c>
      <c r="C661" s="50" t="str">
        <f>VLOOKUP(B661,'Patner Store'!A$2:A$51,1,0)</f>
        <v>PS0029</v>
      </c>
      <c r="D661" s="29" t="s">
        <v>229</v>
      </c>
      <c r="E661" s="50" t="str">
        <f>VLOOKUP(D661,'Sales Team'!A$2:B$6,1,0)</f>
        <v>ST0004</v>
      </c>
      <c r="F661" s="28">
        <v>44532</v>
      </c>
      <c r="G661" s="17" t="s">
        <v>234</v>
      </c>
      <c r="H661" s="31">
        <v>202870110</v>
      </c>
      <c r="I661" s="17"/>
    </row>
    <row r="662" spans="1:9" ht="15.75" customHeight="1" x14ac:dyDescent="0.3">
      <c r="A662" s="17" t="s">
        <v>899</v>
      </c>
      <c r="B662" s="17" t="s">
        <v>128</v>
      </c>
      <c r="C662" s="50" t="str">
        <f>VLOOKUP(B662,'Patner Store'!A$2:A$51,1,0)</f>
        <v>PS0009</v>
      </c>
      <c r="D662" s="29" t="s">
        <v>227</v>
      </c>
      <c r="E662" s="50" t="str">
        <f>VLOOKUP(D662,'Sales Team'!A$2:B$6,1,0)</f>
        <v>ST0003</v>
      </c>
      <c r="F662" s="28">
        <v>44532</v>
      </c>
      <c r="G662" s="29" t="s">
        <v>237</v>
      </c>
      <c r="H662" s="31">
        <v>1094558090</v>
      </c>
      <c r="I662" s="17" t="s">
        <v>253</v>
      </c>
    </row>
    <row r="663" spans="1:9" ht="15.75" customHeight="1" x14ac:dyDescent="0.3">
      <c r="A663" s="17" t="s">
        <v>900</v>
      </c>
      <c r="B663" s="17" t="s">
        <v>166</v>
      </c>
      <c r="C663" s="50" t="str">
        <f>VLOOKUP(B663,'Patner Store'!A$2:A$51,1,0)</f>
        <v>PS0026</v>
      </c>
      <c r="D663" s="29" t="s">
        <v>229</v>
      </c>
      <c r="E663" s="50" t="str">
        <f>VLOOKUP(D663,'Sales Team'!A$2:B$6,1,0)</f>
        <v>ST0004</v>
      </c>
      <c r="F663" s="28">
        <v>44533</v>
      </c>
      <c r="G663" s="29" t="s">
        <v>237</v>
      </c>
      <c r="H663" s="31">
        <v>690046750</v>
      </c>
      <c r="I663" s="17" t="s">
        <v>238</v>
      </c>
    </row>
    <row r="664" spans="1:9" ht="15.75" customHeight="1" x14ac:dyDescent="0.3">
      <c r="A664" s="17" t="s">
        <v>901</v>
      </c>
      <c r="B664" s="17" t="s">
        <v>215</v>
      </c>
      <c r="C664" s="50" t="str">
        <f>VLOOKUP(B664,'Patner Store'!A$2:A$51,1,0)</f>
        <v>PS0050</v>
      </c>
      <c r="D664" s="29" t="s">
        <v>229</v>
      </c>
      <c r="E664" s="50" t="str">
        <f>VLOOKUP(D664,'Sales Team'!A$2:B$6,1,0)</f>
        <v>ST0004</v>
      </c>
      <c r="F664" s="28">
        <v>44533</v>
      </c>
      <c r="G664" s="29" t="s">
        <v>237</v>
      </c>
      <c r="H664" s="31">
        <v>303438540</v>
      </c>
      <c r="I664" s="17"/>
    </row>
    <row r="665" spans="1:9" ht="15.75" customHeight="1" x14ac:dyDescent="0.3">
      <c r="A665" s="17" t="s">
        <v>902</v>
      </c>
      <c r="B665" s="17" t="s">
        <v>156</v>
      </c>
      <c r="C665" s="50" t="str">
        <f>VLOOKUP(B665,'Patner Store'!A$2:A$51,1,0)</f>
        <v>PS0021</v>
      </c>
      <c r="D665" s="29" t="s">
        <v>222</v>
      </c>
      <c r="E665" s="50" t="str">
        <f>VLOOKUP(D665,'Sales Team'!A$2:B$6,1,0)</f>
        <v>ST0001</v>
      </c>
      <c r="F665" s="28">
        <v>44533</v>
      </c>
      <c r="G665" s="17" t="s">
        <v>234</v>
      </c>
      <c r="H665" s="31">
        <v>100126350</v>
      </c>
      <c r="I665" s="17"/>
    </row>
    <row r="666" spans="1:9" ht="15.75" customHeight="1" x14ac:dyDescent="0.3">
      <c r="A666" s="17" t="s">
        <v>903</v>
      </c>
      <c r="B666" s="17" t="s">
        <v>122</v>
      </c>
      <c r="C666" s="50" t="str">
        <f>VLOOKUP(B666,'Patner Store'!A$2:A$51,1,0)</f>
        <v>PS0006</v>
      </c>
      <c r="D666" s="29" t="s">
        <v>227</v>
      </c>
      <c r="E666" s="50" t="str">
        <f>VLOOKUP(D666,'Sales Team'!A$2:B$6,1,0)</f>
        <v>ST0003</v>
      </c>
      <c r="F666" s="28">
        <v>44537</v>
      </c>
      <c r="G666" s="29" t="s">
        <v>237</v>
      </c>
      <c r="H666" s="31">
        <v>439462920</v>
      </c>
      <c r="I666" s="17" t="s">
        <v>247</v>
      </c>
    </row>
    <row r="667" spans="1:9" ht="15.75" customHeight="1" x14ac:dyDescent="0.3">
      <c r="A667" s="17" t="s">
        <v>904</v>
      </c>
      <c r="B667" s="17" t="s">
        <v>205</v>
      </c>
      <c r="C667" s="50" t="str">
        <f>VLOOKUP(B667,'Patner Store'!A$2:A$51,1,0)</f>
        <v>PS0045</v>
      </c>
      <c r="D667" s="29" t="s">
        <v>231</v>
      </c>
      <c r="E667" s="50" t="str">
        <f>VLOOKUP(D667,'Sales Team'!A$2:B$6,1,0)</f>
        <v>ST0005</v>
      </c>
      <c r="F667" s="28">
        <v>44540</v>
      </c>
      <c r="G667" s="29" t="s">
        <v>237</v>
      </c>
      <c r="H667" s="31">
        <v>398362130</v>
      </c>
      <c r="I667" s="17"/>
    </row>
    <row r="668" spans="1:9" ht="15.75" customHeight="1" x14ac:dyDescent="0.3">
      <c r="A668" s="17" t="s">
        <v>905</v>
      </c>
      <c r="B668" s="17" t="s">
        <v>158</v>
      </c>
      <c r="C668" s="50" t="str">
        <f>VLOOKUP(B668,'Patner Store'!A$2:A$51,1,0)</f>
        <v>PS0022</v>
      </c>
      <c r="D668" s="29" t="s">
        <v>229</v>
      </c>
      <c r="E668" s="50" t="str">
        <f>VLOOKUP(D668,'Sales Team'!A$2:B$6,1,0)</f>
        <v>ST0004</v>
      </c>
      <c r="F668" s="28">
        <v>44541</v>
      </c>
      <c r="G668" s="17" t="s">
        <v>234</v>
      </c>
      <c r="H668" s="31">
        <v>30596070</v>
      </c>
      <c r="I668" s="17"/>
    </row>
    <row r="669" spans="1:9" ht="15.75" customHeight="1" x14ac:dyDescent="0.3">
      <c r="A669" s="17" t="s">
        <v>906</v>
      </c>
      <c r="B669" s="17" t="s">
        <v>175</v>
      </c>
      <c r="C669" s="50" t="str">
        <f>VLOOKUP(B669,'Patner Store'!A$2:A$51,1,0)</f>
        <v>PS0030</v>
      </c>
      <c r="D669" s="29" t="s">
        <v>229</v>
      </c>
      <c r="E669" s="50" t="str">
        <f>VLOOKUP(D669,'Sales Team'!A$2:B$6,1,0)</f>
        <v>ST0004</v>
      </c>
      <c r="F669" s="28">
        <v>44541</v>
      </c>
      <c r="G669" s="17" t="s">
        <v>234</v>
      </c>
      <c r="H669" s="31">
        <v>162644450</v>
      </c>
      <c r="I669" s="17" t="s">
        <v>260</v>
      </c>
    </row>
    <row r="670" spans="1:9" ht="15.75" customHeight="1" x14ac:dyDescent="0.3">
      <c r="A670" s="17" t="s">
        <v>907</v>
      </c>
      <c r="B670" s="17" t="s">
        <v>175</v>
      </c>
      <c r="C670" s="50" t="str">
        <f>VLOOKUP(B670,'Patner Store'!A$2:A$51,1,0)</f>
        <v>PS0030</v>
      </c>
      <c r="D670" s="29" t="s">
        <v>229</v>
      </c>
      <c r="E670" s="50" t="str">
        <f>VLOOKUP(D670,'Sales Team'!A$2:B$6,1,0)</f>
        <v>ST0004</v>
      </c>
      <c r="F670" s="28">
        <v>44541</v>
      </c>
      <c r="G670" s="29" t="s">
        <v>237</v>
      </c>
      <c r="H670" s="31">
        <v>504769140</v>
      </c>
      <c r="I670" s="17"/>
    </row>
    <row r="671" spans="1:9" ht="15.75" customHeight="1" x14ac:dyDescent="0.3">
      <c r="A671" s="17" t="s">
        <v>908</v>
      </c>
      <c r="B671" s="17" t="s">
        <v>162</v>
      </c>
      <c r="C671" s="50" t="str">
        <f>VLOOKUP(B671,'Patner Store'!A$2:A$51,1,0)</f>
        <v>PS0024</v>
      </c>
      <c r="D671" s="29" t="s">
        <v>222</v>
      </c>
      <c r="E671" s="50" t="str">
        <f>VLOOKUP(D671,'Sales Team'!A$2:B$6,1,0)</f>
        <v>ST0001</v>
      </c>
      <c r="F671" s="28">
        <v>44543</v>
      </c>
      <c r="G671" s="17" t="s">
        <v>234</v>
      </c>
      <c r="H671" s="31">
        <v>24349350</v>
      </c>
      <c r="I671" s="17"/>
    </row>
    <row r="672" spans="1:9" ht="15.75" customHeight="1" x14ac:dyDescent="0.3">
      <c r="A672" s="17" t="s">
        <v>909</v>
      </c>
      <c r="B672" s="17" t="s">
        <v>139</v>
      </c>
      <c r="C672" s="50" t="str">
        <f>VLOOKUP(B672,'Patner Store'!A$2:A$51,1,0)</f>
        <v>PS0014</v>
      </c>
      <c r="D672" s="29" t="s">
        <v>227</v>
      </c>
      <c r="E672" s="50" t="str">
        <f>VLOOKUP(D672,'Sales Team'!A$2:B$6,1,0)</f>
        <v>ST0003</v>
      </c>
      <c r="F672" s="28">
        <v>44544</v>
      </c>
      <c r="G672" s="29" t="s">
        <v>237</v>
      </c>
      <c r="H672" s="31">
        <v>369354780</v>
      </c>
      <c r="I672" s="17" t="s">
        <v>260</v>
      </c>
    </row>
    <row r="673" spans="1:9" ht="15.75" customHeight="1" x14ac:dyDescent="0.3">
      <c r="A673" s="17" t="s">
        <v>910</v>
      </c>
      <c r="B673" s="17" t="s">
        <v>151</v>
      </c>
      <c r="C673" s="50" t="str">
        <f>VLOOKUP(B673,'Patner Store'!A$2:A$51,1,0)</f>
        <v>PS0019</v>
      </c>
      <c r="D673" s="29" t="s">
        <v>231</v>
      </c>
      <c r="E673" s="50" t="str">
        <f>VLOOKUP(D673,'Sales Team'!A$2:B$6,1,0)</f>
        <v>ST0005</v>
      </c>
      <c r="F673" s="28">
        <v>44545</v>
      </c>
      <c r="G673" s="29" t="s">
        <v>237</v>
      </c>
      <c r="H673" s="31">
        <v>383303200</v>
      </c>
      <c r="I673" s="17"/>
    </row>
    <row r="674" spans="1:9" ht="15.75" customHeight="1" x14ac:dyDescent="0.3">
      <c r="A674" s="17" t="s">
        <v>911</v>
      </c>
      <c r="B674" s="17" t="s">
        <v>105</v>
      </c>
      <c r="C674" s="50" t="str">
        <f>VLOOKUP(B674,'Patner Store'!A$2:A$51,1,0)</f>
        <v>PS0001</v>
      </c>
      <c r="D674" s="29" t="s">
        <v>231</v>
      </c>
      <c r="E674" s="50" t="str">
        <f>VLOOKUP(D674,'Sales Team'!A$2:B$6,1,0)</f>
        <v>ST0005</v>
      </c>
      <c r="F674" s="28">
        <v>44546</v>
      </c>
      <c r="G674" s="29" t="s">
        <v>237</v>
      </c>
      <c r="H674" s="31">
        <v>327957210</v>
      </c>
      <c r="I674" s="17"/>
    </row>
    <row r="675" spans="1:9" ht="15.75" customHeight="1" x14ac:dyDescent="0.3">
      <c r="A675" s="17" t="s">
        <v>912</v>
      </c>
      <c r="B675" s="17" t="s">
        <v>201</v>
      </c>
      <c r="C675" s="50" t="str">
        <f>VLOOKUP(B675,'Patner Store'!A$2:A$51,1,0)</f>
        <v>PS0043</v>
      </c>
      <c r="D675" s="29" t="s">
        <v>229</v>
      </c>
      <c r="E675" s="50" t="str">
        <f>VLOOKUP(D675,'Sales Team'!A$2:B$6,1,0)</f>
        <v>ST0004</v>
      </c>
      <c r="F675" s="28">
        <v>44547</v>
      </c>
      <c r="G675" s="17" t="s">
        <v>234</v>
      </c>
      <c r="H675" s="31">
        <v>11643870</v>
      </c>
      <c r="I675" s="17"/>
    </row>
    <row r="676" spans="1:9" ht="15.75" customHeight="1" x14ac:dyDescent="0.3">
      <c r="A676" s="17" t="s">
        <v>913</v>
      </c>
      <c r="B676" s="17" t="s">
        <v>199</v>
      </c>
      <c r="C676" s="50" t="str">
        <f>VLOOKUP(B676,'Patner Store'!A$2:A$51,1,0)</f>
        <v>PS0042</v>
      </c>
      <c r="D676" s="29" t="s">
        <v>225</v>
      </c>
      <c r="E676" s="50" t="str">
        <f>VLOOKUP(D676,'Sales Team'!A$2:B$6,1,0)</f>
        <v>ST0002</v>
      </c>
      <c r="F676" s="28">
        <v>44551</v>
      </c>
      <c r="G676" s="17" t="s">
        <v>234</v>
      </c>
      <c r="H676" s="31">
        <v>115853690</v>
      </c>
      <c r="I676" s="17"/>
    </row>
    <row r="677" spans="1:9" ht="15.75" customHeight="1" x14ac:dyDescent="0.3">
      <c r="A677" s="17" t="s">
        <v>914</v>
      </c>
      <c r="B677" s="17" t="s">
        <v>197</v>
      </c>
      <c r="C677" s="50" t="str">
        <f>VLOOKUP(B677,'Patner Store'!A$2:A$51,1,0)</f>
        <v>PS0041</v>
      </c>
      <c r="D677" s="29" t="s">
        <v>222</v>
      </c>
      <c r="E677" s="50" t="str">
        <f>VLOOKUP(D677,'Sales Team'!A$2:B$6,1,0)</f>
        <v>ST0001</v>
      </c>
      <c r="F677" s="28">
        <v>44551</v>
      </c>
      <c r="G677" s="29" t="s">
        <v>237</v>
      </c>
      <c r="H677" s="31">
        <v>464090200</v>
      </c>
      <c r="I677" s="17" t="s">
        <v>253</v>
      </c>
    </row>
    <row r="678" spans="1:9" ht="15.75" customHeight="1" x14ac:dyDescent="0.3">
      <c r="A678" s="17" t="s">
        <v>915</v>
      </c>
      <c r="B678" s="17" t="s">
        <v>158</v>
      </c>
      <c r="C678" s="50" t="str">
        <f>VLOOKUP(B678,'Patner Store'!A$2:A$51,1,0)</f>
        <v>PS0022</v>
      </c>
      <c r="D678" s="29" t="s">
        <v>229</v>
      </c>
      <c r="E678" s="50" t="str">
        <f>VLOOKUP(D678,'Sales Team'!A$2:B$6,1,0)</f>
        <v>ST0004</v>
      </c>
      <c r="F678" s="28">
        <v>44552</v>
      </c>
      <c r="G678" s="17" t="s">
        <v>234</v>
      </c>
      <c r="H678" s="31">
        <v>110762670</v>
      </c>
      <c r="I678" s="17"/>
    </row>
    <row r="679" spans="1:9" ht="15.75" customHeight="1" x14ac:dyDescent="0.3">
      <c r="A679" s="17" t="s">
        <v>916</v>
      </c>
      <c r="B679" s="17" t="s">
        <v>128</v>
      </c>
      <c r="C679" s="50" t="str">
        <f>VLOOKUP(B679,'Patner Store'!A$2:A$51,1,0)</f>
        <v>PS0009</v>
      </c>
      <c r="D679" s="29" t="s">
        <v>227</v>
      </c>
      <c r="E679" s="50" t="str">
        <f>VLOOKUP(D679,'Sales Team'!A$2:B$6,1,0)</f>
        <v>ST0003</v>
      </c>
      <c r="F679" s="28">
        <v>44556</v>
      </c>
      <c r="G679" s="29" t="s">
        <v>237</v>
      </c>
      <c r="H679" s="31">
        <v>592193270</v>
      </c>
      <c r="I679" s="17" t="s">
        <v>260</v>
      </c>
    </row>
    <row r="680" spans="1:9" ht="15.75" customHeight="1" x14ac:dyDescent="0.3">
      <c r="A680" s="17" t="s">
        <v>917</v>
      </c>
      <c r="B680" s="17" t="s">
        <v>179</v>
      </c>
      <c r="C680" s="50" t="str">
        <f>VLOOKUP(B680,'Patner Store'!A$2:A$51,1,0)</f>
        <v>PS0032</v>
      </c>
      <c r="D680" s="29" t="s">
        <v>229</v>
      </c>
      <c r="E680" s="50" t="str">
        <f>VLOOKUP(D680,'Sales Team'!A$2:B$6,1,0)</f>
        <v>ST0004</v>
      </c>
      <c r="F680" s="28">
        <v>44558</v>
      </c>
      <c r="G680" s="29" t="s">
        <v>237</v>
      </c>
      <c r="H680" s="31">
        <v>465075580</v>
      </c>
      <c r="I680" s="17" t="s">
        <v>253</v>
      </c>
    </row>
    <row r="681" spans="1:9" ht="15.75" customHeight="1" x14ac:dyDescent="0.3">
      <c r="A681" s="17" t="s">
        <v>918</v>
      </c>
      <c r="B681" s="17" t="s">
        <v>135</v>
      </c>
      <c r="C681" s="50" t="str">
        <f>VLOOKUP(B681,'Patner Store'!A$2:A$51,1,0)</f>
        <v>PS0012</v>
      </c>
      <c r="D681" s="29" t="s">
        <v>227</v>
      </c>
      <c r="E681" s="50" t="str">
        <f>VLOOKUP(D681,'Sales Team'!A$2:B$6,1,0)</f>
        <v>ST0003</v>
      </c>
      <c r="F681" s="28">
        <v>44559</v>
      </c>
      <c r="G681" s="17" t="s">
        <v>234</v>
      </c>
      <c r="H681" s="31">
        <v>116135652</v>
      </c>
      <c r="I681" s="17" t="s">
        <v>247</v>
      </c>
    </row>
    <row r="682" spans="1:9" ht="15.75" customHeight="1" x14ac:dyDescent="0.3">
      <c r="A682" s="17" t="s">
        <v>919</v>
      </c>
      <c r="B682" s="17" t="s">
        <v>177</v>
      </c>
      <c r="C682" s="50" t="str">
        <f>VLOOKUP(B682,'Patner Store'!A$2:A$51,1,0)</f>
        <v>PS0031</v>
      </c>
      <c r="D682" s="29" t="s">
        <v>225</v>
      </c>
      <c r="E682" s="50" t="str">
        <f>VLOOKUP(D682,'Sales Team'!A$2:B$6,1,0)</f>
        <v>ST0002</v>
      </c>
      <c r="F682" s="28">
        <v>44561</v>
      </c>
      <c r="G682" s="29" t="s">
        <v>237</v>
      </c>
      <c r="H682" s="31">
        <v>264912970.00000003</v>
      </c>
      <c r="I682" s="17" t="s">
        <v>247</v>
      </c>
    </row>
    <row r="683" spans="1:9" ht="15.75" customHeight="1" x14ac:dyDescent="0.3">
      <c r="A683" s="17" t="s">
        <v>920</v>
      </c>
      <c r="B683" s="17" t="s">
        <v>213</v>
      </c>
      <c r="C683" s="50" t="str">
        <f>VLOOKUP(B683,'Patner Store'!A$2:A$51,1,0)</f>
        <v>PS0049</v>
      </c>
      <c r="D683" s="29" t="s">
        <v>229</v>
      </c>
      <c r="E683" s="50" t="str">
        <f>VLOOKUP(D683,'Sales Team'!A$2:B$6,1,0)</f>
        <v>ST0004</v>
      </c>
      <c r="F683" s="28">
        <v>44562</v>
      </c>
      <c r="G683" s="17" t="s">
        <v>234</v>
      </c>
      <c r="H683" s="31">
        <v>178944450</v>
      </c>
      <c r="I683" s="17" t="s">
        <v>247</v>
      </c>
    </row>
    <row r="684" spans="1:9" ht="15.75" customHeight="1" x14ac:dyDescent="0.3">
      <c r="A684" s="17" t="s">
        <v>921</v>
      </c>
      <c r="B684" s="17" t="s">
        <v>195</v>
      </c>
      <c r="C684" s="50" t="str">
        <f>VLOOKUP(B684,'Patner Store'!A$2:A$51,1,0)</f>
        <v>PS0040</v>
      </c>
      <c r="D684" s="29" t="s">
        <v>227</v>
      </c>
      <c r="E684" s="50" t="str">
        <f>VLOOKUP(D684,'Sales Team'!A$2:B$6,1,0)</f>
        <v>ST0003</v>
      </c>
      <c r="F684" s="28">
        <v>44562</v>
      </c>
      <c r="G684" s="17" t="s">
        <v>234</v>
      </c>
      <c r="H684" s="31">
        <v>33426250</v>
      </c>
      <c r="I684" s="17"/>
    </row>
    <row r="685" spans="1:9" ht="15.75" customHeight="1" x14ac:dyDescent="0.3">
      <c r="A685" s="17" t="s">
        <v>922</v>
      </c>
      <c r="B685" s="17" t="s">
        <v>168</v>
      </c>
      <c r="C685" s="50" t="str">
        <f>VLOOKUP(B685,'Patner Store'!A$2:A$51,1,0)</f>
        <v>PS0027</v>
      </c>
      <c r="D685" s="29" t="s">
        <v>229</v>
      </c>
      <c r="E685" s="50" t="str">
        <f>VLOOKUP(D685,'Sales Team'!A$2:B$6,1,0)</f>
        <v>ST0004</v>
      </c>
      <c r="F685" s="28">
        <v>44563</v>
      </c>
      <c r="G685" s="29" t="s">
        <v>237</v>
      </c>
      <c r="H685" s="31">
        <v>346950589</v>
      </c>
      <c r="I685" s="17" t="s">
        <v>253</v>
      </c>
    </row>
    <row r="686" spans="1:9" ht="15.75" customHeight="1" x14ac:dyDescent="0.3">
      <c r="A686" s="17" t="s">
        <v>923</v>
      </c>
      <c r="B686" s="17" t="s">
        <v>199</v>
      </c>
      <c r="C686" s="50" t="str">
        <f>VLOOKUP(B686,'Patner Store'!A$2:A$51,1,0)</f>
        <v>PS0042</v>
      </c>
      <c r="D686" s="29" t="s">
        <v>225</v>
      </c>
      <c r="E686" s="50" t="str">
        <f>VLOOKUP(D686,'Sales Team'!A$2:B$6,1,0)</f>
        <v>ST0002</v>
      </c>
      <c r="F686" s="28">
        <v>44563</v>
      </c>
      <c r="G686" s="29" t="s">
        <v>237</v>
      </c>
      <c r="H686" s="31">
        <v>1106694770</v>
      </c>
      <c r="I686" s="17" t="s">
        <v>238</v>
      </c>
    </row>
    <row r="687" spans="1:9" ht="15.75" customHeight="1" x14ac:dyDescent="0.3">
      <c r="A687" s="17" t="s">
        <v>924</v>
      </c>
      <c r="B687" s="17" t="s">
        <v>148</v>
      </c>
      <c r="C687" s="50" t="str">
        <f>VLOOKUP(B687,'Patner Store'!A$2:A$51,1,0)</f>
        <v>PS0018</v>
      </c>
      <c r="D687" s="29" t="s">
        <v>225</v>
      </c>
      <c r="E687" s="50" t="str">
        <f>VLOOKUP(D687,'Sales Team'!A$2:B$6,1,0)</f>
        <v>ST0002</v>
      </c>
      <c r="F687" s="28">
        <v>44565</v>
      </c>
      <c r="G687" s="29" t="s">
        <v>237</v>
      </c>
      <c r="H687" s="31">
        <v>301584860</v>
      </c>
      <c r="I687" s="17" t="s">
        <v>253</v>
      </c>
    </row>
    <row r="688" spans="1:9" ht="15.75" customHeight="1" x14ac:dyDescent="0.3">
      <c r="A688" s="17" t="s">
        <v>925</v>
      </c>
      <c r="B688" s="17" t="s">
        <v>124</v>
      </c>
      <c r="C688" s="50" t="str">
        <f>VLOOKUP(B688,'Patner Store'!A$2:A$51,1,0)</f>
        <v>PS0007</v>
      </c>
      <c r="D688" s="29" t="s">
        <v>222</v>
      </c>
      <c r="E688" s="50" t="str">
        <f>VLOOKUP(D688,'Sales Team'!A$2:B$6,1,0)</f>
        <v>ST0001</v>
      </c>
      <c r="F688" s="28">
        <v>44565</v>
      </c>
      <c r="G688" s="17" t="s">
        <v>234</v>
      </c>
      <c r="H688" s="31">
        <v>111810362</v>
      </c>
      <c r="I688" s="17" t="s">
        <v>260</v>
      </c>
    </row>
    <row r="689" spans="1:9" ht="15.75" customHeight="1" x14ac:dyDescent="0.3">
      <c r="A689" s="17" t="s">
        <v>926</v>
      </c>
      <c r="B689" s="17" t="s">
        <v>139</v>
      </c>
      <c r="C689" s="50" t="str">
        <f>VLOOKUP(B689,'Patner Store'!A$2:A$51,1,0)</f>
        <v>PS0014</v>
      </c>
      <c r="D689" s="29" t="s">
        <v>227</v>
      </c>
      <c r="E689" s="50" t="str">
        <f>VLOOKUP(D689,'Sales Team'!A$2:B$6,1,0)</f>
        <v>ST0003</v>
      </c>
      <c r="F689" s="28">
        <v>44567</v>
      </c>
      <c r="G689" s="17" t="s">
        <v>234</v>
      </c>
      <c r="H689" s="31">
        <v>198702460</v>
      </c>
      <c r="I689" s="17"/>
    </row>
    <row r="690" spans="1:9" ht="15.75" customHeight="1" x14ac:dyDescent="0.3">
      <c r="A690" s="17" t="s">
        <v>927</v>
      </c>
      <c r="B690" s="17" t="s">
        <v>109</v>
      </c>
      <c r="C690" s="50" t="str">
        <f>VLOOKUP(B690,'Patner Store'!A$2:A$51,1,0)</f>
        <v>PS0002</v>
      </c>
      <c r="D690" s="29" t="s">
        <v>225</v>
      </c>
      <c r="E690" s="50" t="str">
        <f>VLOOKUP(D690,'Sales Team'!A$2:B$6,1,0)</f>
        <v>ST0002</v>
      </c>
      <c r="F690" s="28">
        <v>44567</v>
      </c>
      <c r="G690" s="29" t="s">
        <v>237</v>
      </c>
      <c r="H690" s="31">
        <v>410983051</v>
      </c>
      <c r="I690" s="17" t="s">
        <v>260</v>
      </c>
    </row>
    <row r="691" spans="1:9" ht="15.75" customHeight="1" x14ac:dyDescent="0.3">
      <c r="A691" s="17" t="s">
        <v>928</v>
      </c>
      <c r="B691" s="17" t="s">
        <v>137</v>
      </c>
      <c r="C691" s="50" t="str">
        <f>VLOOKUP(B691,'Patner Store'!A$2:A$51,1,0)</f>
        <v>PS0013</v>
      </c>
      <c r="D691" s="29" t="s">
        <v>222</v>
      </c>
      <c r="E691" s="50" t="str">
        <f>VLOOKUP(D691,'Sales Team'!A$2:B$6,1,0)</f>
        <v>ST0001</v>
      </c>
      <c r="F691" s="28">
        <v>44570</v>
      </c>
      <c r="G691" s="17" t="s">
        <v>234</v>
      </c>
      <c r="H691" s="31">
        <v>7549080</v>
      </c>
      <c r="I691" s="17" t="s">
        <v>247</v>
      </c>
    </row>
    <row r="692" spans="1:9" ht="15.75" customHeight="1" x14ac:dyDescent="0.3">
      <c r="A692" s="17" t="s">
        <v>929</v>
      </c>
      <c r="B692" s="17" t="s">
        <v>131</v>
      </c>
      <c r="C692" s="50" t="str">
        <f>VLOOKUP(B692,'Patner Store'!A$2:A$51,1,0)</f>
        <v>PS0010</v>
      </c>
      <c r="D692" s="29" t="s">
        <v>222</v>
      </c>
      <c r="E692" s="50" t="str">
        <f>VLOOKUP(D692,'Sales Team'!A$2:B$6,1,0)</f>
        <v>ST0001</v>
      </c>
      <c r="F692" s="28">
        <v>44570</v>
      </c>
      <c r="G692" s="17" t="s">
        <v>234</v>
      </c>
      <c r="H692" s="31">
        <v>24012110</v>
      </c>
      <c r="I692" s="17"/>
    </row>
    <row r="693" spans="1:9" ht="15.75" customHeight="1" x14ac:dyDescent="0.3">
      <c r="A693" s="17" t="s">
        <v>930</v>
      </c>
      <c r="B693" s="17" t="s">
        <v>144</v>
      </c>
      <c r="C693" s="50" t="str">
        <f>VLOOKUP(B693,'Patner Store'!A$2:A$51,1,0)</f>
        <v>PS0016</v>
      </c>
      <c r="D693" s="29" t="s">
        <v>227</v>
      </c>
      <c r="E693" s="50" t="str">
        <f>VLOOKUP(D693,'Sales Team'!A$2:B$6,1,0)</f>
        <v>ST0003</v>
      </c>
      <c r="F693" s="28">
        <v>44571</v>
      </c>
      <c r="G693" s="17" t="s">
        <v>234</v>
      </c>
      <c r="H693" s="31">
        <v>58235530</v>
      </c>
      <c r="I693" s="17" t="s">
        <v>253</v>
      </c>
    </row>
    <row r="694" spans="1:9" ht="15.75" customHeight="1" x14ac:dyDescent="0.3">
      <c r="A694" s="17" t="s">
        <v>931</v>
      </c>
      <c r="B694" s="17" t="s">
        <v>144</v>
      </c>
      <c r="C694" s="50" t="str">
        <f>VLOOKUP(B694,'Patner Store'!A$2:A$51,1,0)</f>
        <v>PS0016</v>
      </c>
      <c r="D694" s="29" t="s">
        <v>227</v>
      </c>
      <c r="E694" s="50" t="str">
        <f>VLOOKUP(D694,'Sales Team'!A$2:B$6,1,0)</f>
        <v>ST0003</v>
      </c>
      <c r="F694" s="28">
        <v>44571</v>
      </c>
      <c r="G694" s="29" t="s">
        <v>237</v>
      </c>
      <c r="H694" s="31">
        <v>377771635</v>
      </c>
      <c r="I694" s="17"/>
    </row>
    <row r="695" spans="1:9" ht="15.75" customHeight="1" x14ac:dyDescent="0.3">
      <c r="A695" s="17" t="s">
        <v>932</v>
      </c>
      <c r="B695" s="17" t="s">
        <v>177</v>
      </c>
      <c r="C695" s="50" t="str">
        <f>VLOOKUP(B695,'Patner Store'!A$2:A$51,1,0)</f>
        <v>PS0031</v>
      </c>
      <c r="D695" s="29" t="s">
        <v>225</v>
      </c>
      <c r="E695" s="50" t="str">
        <f>VLOOKUP(D695,'Sales Team'!A$2:B$6,1,0)</f>
        <v>ST0002</v>
      </c>
      <c r="F695" s="28">
        <v>44572</v>
      </c>
      <c r="G695" s="29" t="s">
        <v>237</v>
      </c>
      <c r="H695" s="31">
        <v>561593630</v>
      </c>
      <c r="I695" s="17"/>
    </row>
    <row r="696" spans="1:9" ht="15.75" customHeight="1" x14ac:dyDescent="0.3">
      <c r="A696" s="17" t="s">
        <v>933</v>
      </c>
      <c r="B696" s="17" t="s">
        <v>141</v>
      </c>
      <c r="C696" s="50" t="str">
        <f>VLOOKUP(B696,'Patner Store'!A$2:A$51,1,0)</f>
        <v>PS0015</v>
      </c>
      <c r="D696" s="29" t="s">
        <v>229</v>
      </c>
      <c r="E696" s="50" t="str">
        <f>VLOOKUP(D696,'Sales Team'!A$2:B$6,1,0)</f>
        <v>ST0004</v>
      </c>
      <c r="F696" s="28">
        <v>44572</v>
      </c>
      <c r="G696" s="29" t="s">
        <v>237</v>
      </c>
      <c r="H696" s="31">
        <v>424023580</v>
      </c>
      <c r="I696" s="17"/>
    </row>
    <row r="697" spans="1:9" ht="15.75" customHeight="1" x14ac:dyDescent="0.3">
      <c r="A697" s="17" t="s">
        <v>934</v>
      </c>
      <c r="B697" s="17" t="s">
        <v>151</v>
      </c>
      <c r="C697" s="50" t="str">
        <f>VLOOKUP(B697,'Patner Store'!A$2:A$51,1,0)</f>
        <v>PS0019</v>
      </c>
      <c r="D697" s="29" t="s">
        <v>231</v>
      </c>
      <c r="E697" s="50" t="str">
        <f>VLOOKUP(D697,'Sales Team'!A$2:B$6,1,0)</f>
        <v>ST0005</v>
      </c>
      <c r="F697" s="28">
        <v>44574</v>
      </c>
      <c r="G697" s="29" t="s">
        <v>237</v>
      </c>
      <c r="H697" s="31">
        <v>317991870</v>
      </c>
      <c r="I697" s="17"/>
    </row>
    <row r="698" spans="1:9" ht="15.75" customHeight="1" x14ac:dyDescent="0.3">
      <c r="A698" s="17" t="s">
        <v>935</v>
      </c>
      <c r="B698" s="17" t="s">
        <v>213</v>
      </c>
      <c r="C698" s="50" t="str">
        <f>VLOOKUP(B698,'Patner Store'!A$2:A$51,1,0)</f>
        <v>PS0049</v>
      </c>
      <c r="D698" s="29" t="s">
        <v>229</v>
      </c>
      <c r="E698" s="50" t="str">
        <f>VLOOKUP(D698,'Sales Team'!A$2:B$6,1,0)</f>
        <v>ST0004</v>
      </c>
      <c r="F698" s="28">
        <v>44576</v>
      </c>
      <c r="G698" s="29" t="s">
        <v>237</v>
      </c>
      <c r="H698" s="31">
        <v>483522220</v>
      </c>
      <c r="I698" s="17"/>
    </row>
    <row r="699" spans="1:9" ht="15.75" customHeight="1" x14ac:dyDescent="0.3">
      <c r="A699" s="17" t="s">
        <v>936</v>
      </c>
      <c r="B699" s="17" t="s">
        <v>209</v>
      </c>
      <c r="C699" s="50" t="str">
        <f>VLOOKUP(B699,'Patner Store'!A$2:A$51,1,0)</f>
        <v>PS0047</v>
      </c>
      <c r="D699" s="29" t="s">
        <v>222</v>
      </c>
      <c r="E699" s="50" t="str">
        <f>VLOOKUP(D699,'Sales Team'!A$2:B$6,1,0)</f>
        <v>ST0001</v>
      </c>
      <c r="F699" s="28">
        <v>44577</v>
      </c>
      <c r="G699" s="17" t="s">
        <v>234</v>
      </c>
      <c r="H699" s="31">
        <v>45626964</v>
      </c>
      <c r="I699" s="17" t="s">
        <v>247</v>
      </c>
    </row>
    <row r="700" spans="1:9" ht="15.75" customHeight="1" x14ac:dyDescent="0.3">
      <c r="A700" s="17" t="s">
        <v>937</v>
      </c>
      <c r="B700" s="17" t="s">
        <v>189</v>
      </c>
      <c r="C700" s="50" t="str">
        <f>VLOOKUP(B700,'Patner Store'!A$2:A$51,1,0)</f>
        <v>PS0037</v>
      </c>
      <c r="D700" s="29" t="s">
        <v>225</v>
      </c>
      <c r="E700" s="50" t="str">
        <f>VLOOKUP(D700,'Sales Team'!A$2:B$6,1,0)</f>
        <v>ST0002</v>
      </c>
      <c r="F700" s="28">
        <v>44579</v>
      </c>
      <c r="G700" s="17" t="s">
        <v>234</v>
      </c>
      <c r="H700" s="31">
        <v>108856480</v>
      </c>
      <c r="I700" s="17" t="s">
        <v>253</v>
      </c>
    </row>
    <row r="701" spans="1:9" ht="15.75" customHeight="1" x14ac:dyDescent="0.3">
      <c r="A701" s="17" t="s">
        <v>938</v>
      </c>
      <c r="B701" s="17" t="s">
        <v>124</v>
      </c>
      <c r="C701" s="50" t="str">
        <f>VLOOKUP(B701,'Patner Store'!A$2:A$51,1,0)</f>
        <v>PS0007</v>
      </c>
      <c r="D701" s="29" t="s">
        <v>222</v>
      </c>
      <c r="E701" s="50" t="str">
        <f>VLOOKUP(D701,'Sales Team'!A$2:B$6,1,0)</f>
        <v>ST0001</v>
      </c>
      <c r="F701" s="28">
        <v>44585</v>
      </c>
      <c r="G701" s="29" t="s">
        <v>237</v>
      </c>
      <c r="H701" s="31">
        <v>261538560</v>
      </c>
      <c r="I701" s="17"/>
    </row>
    <row r="702" spans="1:9" ht="15.75" customHeight="1" x14ac:dyDescent="0.3">
      <c r="A702" s="17" t="s">
        <v>939</v>
      </c>
      <c r="B702" s="17" t="s">
        <v>195</v>
      </c>
      <c r="C702" s="50" t="str">
        <f>VLOOKUP(B702,'Patner Store'!A$2:A$51,1,0)</f>
        <v>PS0040</v>
      </c>
      <c r="D702" s="29" t="s">
        <v>227</v>
      </c>
      <c r="E702" s="50" t="str">
        <f>VLOOKUP(D702,'Sales Team'!A$2:B$6,1,0)</f>
        <v>ST0003</v>
      </c>
      <c r="F702" s="28">
        <v>44586</v>
      </c>
      <c r="G702" s="17" t="s">
        <v>234</v>
      </c>
      <c r="H702" s="31">
        <v>137710280</v>
      </c>
      <c r="I702" s="17"/>
    </row>
    <row r="703" spans="1:9" ht="15.75" customHeight="1" x14ac:dyDescent="0.3">
      <c r="A703" s="17" t="s">
        <v>940</v>
      </c>
      <c r="B703" s="17" t="s">
        <v>173</v>
      </c>
      <c r="C703" s="50" t="str">
        <f>VLOOKUP(B703,'Patner Store'!A$2:A$51,1,0)</f>
        <v>PS0029</v>
      </c>
      <c r="D703" s="29" t="s">
        <v>229</v>
      </c>
      <c r="E703" s="50" t="str">
        <f>VLOOKUP(D703,'Sales Team'!A$2:B$6,1,0)</f>
        <v>ST0004</v>
      </c>
      <c r="F703" s="28">
        <v>44587</v>
      </c>
      <c r="G703" s="17" t="s">
        <v>234</v>
      </c>
      <c r="H703" s="31">
        <v>244390860</v>
      </c>
      <c r="I703" s="17"/>
    </row>
    <row r="704" spans="1:9" ht="15.75" customHeight="1" x14ac:dyDescent="0.3">
      <c r="A704" s="17" t="s">
        <v>941</v>
      </c>
      <c r="B704" s="17" t="s">
        <v>137</v>
      </c>
      <c r="C704" s="50" t="str">
        <f>VLOOKUP(B704,'Patner Store'!A$2:A$51,1,0)</f>
        <v>PS0013</v>
      </c>
      <c r="D704" s="29" t="s">
        <v>222</v>
      </c>
      <c r="E704" s="50" t="str">
        <f>VLOOKUP(D704,'Sales Team'!A$2:B$6,1,0)</f>
        <v>ST0001</v>
      </c>
      <c r="F704" s="28">
        <v>44587</v>
      </c>
      <c r="G704" s="17" t="s">
        <v>234</v>
      </c>
      <c r="H704" s="31">
        <v>46289920</v>
      </c>
      <c r="I704" s="17"/>
    </row>
    <row r="705" spans="1:9" ht="15.75" customHeight="1" x14ac:dyDescent="0.3">
      <c r="A705" s="17" t="s">
        <v>942</v>
      </c>
      <c r="B705" s="17" t="s">
        <v>141</v>
      </c>
      <c r="C705" s="50" t="str">
        <f>VLOOKUP(B705,'Patner Store'!A$2:A$51,1,0)</f>
        <v>PS0015</v>
      </c>
      <c r="D705" s="29" t="s">
        <v>229</v>
      </c>
      <c r="E705" s="50" t="str">
        <f>VLOOKUP(D705,'Sales Team'!A$2:B$6,1,0)</f>
        <v>ST0004</v>
      </c>
      <c r="F705" s="28">
        <v>44588</v>
      </c>
      <c r="G705" s="29" t="s">
        <v>237</v>
      </c>
      <c r="H705" s="31">
        <v>746469180</v>
      </c>
      <c r="I705" s="17"/>
    </row>
    <row r="706" spans="1:9" ht="15.75" customHeight="1" x14ac:dyDescent="0.3">
      <c r="A706" s="17" t="s">
        <v>943</v>
      </c>
      <c r="B706" s="17" t="s">
        <v>197</v>
      </c>
      <c r="C706" s="50" t="str">
        <f>VLOOKUP(B706,'Patner Store'!A$2:A$51,1,0)</f>
        <v>PS0041</v>
      </c>
      <c r="D706" s="29" t="s">
        <v>222</v>
      </c>
      <c r="E706" s="50" t="str">
        <f>VLOOKUP(D706,'Sales Team'!A$2:B$6,1,0)</f>
        <v>ST0001</v>
      </c>
      <c r="F706" s="28">
        <v>44589</v>
      </c>
      <c r="G706" s="17" t="s">
        <v>234</v>
      </c>
      <c r="H706" s="31">
        <v>214388390</v>
      </c>
      <c r="I706" s="17" t="s">
        <v>253</v>
      </c>
    </row>
    <row r="707" spans="1:9" ht="15.75" customHeight="1" x14ac:dyDescent="0.3">
      <c r="A707" s="17" t="s">
        <v>944</v>
      </c>
      <c r="B707" s="17" t="s">
        <v>177</v>
      </c>
      <c r="C707" s="50" t="str">
        <f>VLOOKUP(B707,'Patner Store'!A$2:A$51,1,0)</f>
        <v>PS0031</v>
      </c>
      <c r="D707" s="29" t="s">
        <v>225</v>
      </c>
      <c r="E707" s="50" t="str">
        <f>VLOOKUP(D707,'Sales Team'!A$2:B$6,1,0)</f>
        <v>ST0002</v>
      </c>
      <c r="F707" s="28">
        <v>44590</v>
      </c>
      <c r="G707" s="29" t="s">
        <v>237</v>
      </c>
      <c r="H707" s="31">
        <v>620542600</v>
      </c>
      <c r="I707" s="17" t="s">
        <v>247</v>
      </c>
    </row>
    <row r="708" spans="1:9" ht="15.75" customHeight="1" x14ac:dyDescent="0.3">
      <c r="A708" s="17" t="s">
        <v>945</v>
      </c>
      <c r="B708" s="17" t="s">
        <v>133</v>
      </c>
      <c r="C708" s="50" t="str">
        <f>VLOOKUP(B708,'Patner Store'!A$2:A$51,1,0)</f>
        <v>PS0011</v>
      </c>
      <c r="D708" s="29" t="s">
        <v>225</v>
      </c>
      <c r="E708" s="50" t="str">
        <f>VLOOKUP(D708,'Sales Team'!A$2:B$6,1,0)</f>
        <v>ST0002</v>
      </c>
      <c r="F708" s="28">
        <v>44590</v>
      </c>
      <c r="G708" s="17" t="s">
        <v>234</v>
      </c>
      <c r="H708" s="31">
        <v>186421520</v>
      </c>
      <c r="I708" s="17"/>
    </row>
    <row r="709" spans="1:9" ht="15.75" customHeight="1" x14ac:dyDescent="0.3">
      <c r="A709" s="17" t="s">
        <v>946</v>
      </c>
      <c r="B709" s="17" t="s">
        <v>205</v>
      </c>
      <c r="C709" s="50" t="str">
        <f>VLOOKUP(B709,'Patner Store'!A$2:A$51,1,0)</f>
        <v>PS0045</v>
      </c>
      <c r="D709" s="29" t="s">
        <v>231</v>
      </c>
      <c r="E709" s="50" t="str">
        <f>VLOOKUP(D709,'Sales Team'!A$2:B$6,1,0)</f>
        <v>ST0005</v>
      </c>
      <c r="F709" s="28">
        <v>44591</v>
      </c>
      <c r="G709" s="29" t="s">
        <v>237</v>
      </c>
      <c r="H709" s="31">
        <v>290021700</v>
      </c>
      <c r="I709" s="17" t="s">
        <v>260</v>
      </c>
    </row>
    <row r="710" spans="1:9" ht="15.75" customHeight="1" x14ac:dyDescent="0.3">
      <c r="A710" s="17" t="s">
        <v>947</v>
      </c>
      <c r="B710" s="17" t="s">
        <v>119</v>
      </c>
      <c r="C710" s="50" t="str">
        <f>VLOOKUP(B710,'Patner Store'!A$2:A$51,1,0)</f>
        <v>PS0005</v>
      </c>
      <c r="D710" s="29" t="s">
        <v>229</v>
      </c>
      <c r="E710" s="50" t="str">
        <f>VLOOKUP(D710,'Sales Team'!A$2:B$6,1,0)</f>
        <v>ST0004</v>
      </c>
      <c r="F710" s="28">
        <v>44591</v>
      </c>
      <c r="G710" s="17" t="s">
        <v>234</v>
      </c>
      <c r="H710" s="31">
        <v>68482360</v>
      </c>
      <c r="I710" s="17"/>
    </row>
    <row r="711" spans="1:9" ht="15.75" customHeight="1" x14ac:dyDescent="0.3">
      <c r="A711" s="17" t="s">
        <v>948</v>
      </c>
      <c r="B711" s="17" t="s">
        <v>158</v>
      </c>
      <c r="C711" s="50" t="str">
        <f>VLOOKUP(B711,'Patner Store'!A$2:A$51,1,0)</f>
        <v>PS0022</v>
      </c>
      <c r="D711" s="29" t="s">
        <v>229</v>
      </c>
      <c r="E711" s="50" t="str">
        <f>VLOOKUP(D711,'Sales Team'!A$2:B$6,1,0)</f>
        <v>ST0004</v>
      </c>
      <c r="F711" s="28">
        <v>44592</v>
      </c>
      <c r="G711" s="17" t="s">
        <v>234</v>
      </c>
      <c r="H711" s="31">
        <v>208719670</v>
      </c>
      <c r="I711" s="17"/>
    </row>
    <row r="712" spans="1:9" ht="15.75" customHeight="1" x14ac:dyDescent="0.3">
      <c r="A712" s="17" t="s">
        <v>949</v>
      </c>
      <c r="B712" s="17" t="s">
        <v>213</v>
      </c>
      <c r="C712" s="50" t="str">
        <f>VLOOKUP(B712,'Patner Store'!A$2:A$51,1,0)</f>
        <v>PS0049</v>
      </c>
      <c r="D712" s="29" t="s">
        <v>229</v>
      </c>
      <c r="E712" s="50" t="str">
        <f>VLOOKUP(D712,'Sales Team'!A$2:B$6,1,0)</f>
        <v>ST0004</v>
      </c>
      <c r="F712" s="28">
        <v>44592</v>
      </c>
      <c r="G712" s="29" t="s">
        <v>237</v>
      </c>
      <c r="H712" s="31">
        <v>870761010</v>
      </c>
      <c r="I712" s="17" t="s">
        <v>260</v>
      </c>
    </row>
    <row r="713" spans="1:9" ht="15.75" customHeight="1" x14ac:dyDescent="0.3">
      <c r="A713" s="17" t="s">
        <v>950</v>
      </c>
      <c r="B713" s="17" t="s">
        <v>162</v>
      </c>
      <c r="C713" s="50" t="str">
        <f>VLOOKUP(B713,'Patner Store'!A$2:A$51,1,0)</f>
        <v>PS0024</v>
      </c>
      <c r="D713" s="29" t="s">
        <v>222</v>
      </c>
      <c r="E713" s="50" t="str">
        <f>VLOOKUP(D713,'Sales Team'!A$2:B$6,1,0)</f>
        <v>ST0001</v>
      </c>
      <c r="F713" s="28">
        <v>44594</v>
      </c>
      <c r="G713" s="17" t="s">
        <v>234</v>
      </c>
      <c r="H713" s="31">
        <v>11906400</v>
      </c>
      <c r="I713" s="17" t="s">
        <v>247</v>
      </c>
    </row>
    <row r="714" spans="1:9" ht="15.75" customHeight="1" x14ac:dyDescent="0.3">
      <c r="A714" s="17" t="s">
        <v>951</v>
      </c>
      <c r="B714" s="17" t="s">
        <v>128</v>
      </c>
      <c r="C714" s="50" t="str">
        <f>VLOOKUP(B714,'Patner Store'!A$2:A$51,1,0)</f>
        <v>PS0009</v>
      </c>
      <c r="D714" s="29" t="s">
        <v>227</v>
      </c>
      <c r="E714" s="50" t="str">
        <f>VLOOKUP(D714,'Sales Team'!A$2:B$6,1,0)</f>
        <v>ST0003</v>
      </c>
      <c r="F714" s="28">
        <v>44595</v>
      </c>
      <c r="G714" s="17" t="s">
        <v>234</v>
      </c>
      <c r="H714" s="31">
        <v>47094090</v>
      </c>
      <c r="I714" s="17" t="s">
        <v>247</v>
      </c>
    </row>
    <row r="715" spans="1:9" ht="15.75" customHeight="1" x14ac:dyDescent="0.3">
      <c r="A715" s="17" t="s">
        <v>952</v>
      </c>
      <c r="B715" s="17" t="s">
        <v>146</v>
      </c>
      <c r="C715" s="50" t="str">
        <f>VLOOKUP(B715,'Patner Store'!A$2:A$51,1,0)</f>
        <v>PS0017</v>
      </c>
      <c r="D715" s="29" t="s">
        <v>222</v>
      </c>
      <c r="E715" s="50" t="str">
        <f>VLOOKUP(D715,'Sales Team'!A$2:B$6,1,0)</f>
        <v>ST0001</v>
      </c>
      <c r="F715" s="28">
        <v>44596</v>
      </c>
      <c r="G715" s="29" t="s">
        <v>237</v>
      </c>
      <c r="H715" s="31">
        <v>325672900</v>
      </c>
      <c r="I715" s="17"/>
    </row>
    <row r="716" spans="1:9" ht="15.75" customHeight="1" x14ac:dyDescent="0.3">
      <c r="A716" s="17" t="s">
        <v>953</v>
      </c>
      <c r="B716" s="17" t="s">
        <v>144</v>
      </c>
      <c r="C716" s="50" t="str">
        <f>VLOOKUP(B716,'Patner Store'!A$2:A$51,1,0)</f>
        <v>PS0016</v>
      </c>
      <c r="D716" s="29" t="s">
        <v>227</v>
      </c>
      <c r="E716" s="50" t="str">
        <f>VLOOKUP(D716,'Sales Team'!A$2:B$6,1,0)</f>
        <v>ST0003</v>
      </c>
      <c r="F716" s="28">
        <v>44597</v>
      </c>
      <c r="G716" s="29" t="s">
        <v>237</v>
      </c>
      <c r="H716" s="31">
        <v>622174165</v>
      </c>
      <c r="I716" s="17" t="s">
        <v>247</v>
      </c>
    </row>
    <row r="717" spans="1:9" ht="15.75" customHeight="1" x14ac:dyDescent="0.3">
      <c r="A717" s="17" t="s">
        <v>954</v>
      </c>
      <c r="B717" s="17" t="s">
        <v>141</v>
      </c>
      <c r="C717" s="50" t="str">
        <f>VLOOKUP(B717,'Patner Store'!A$2:A$51,1,0)</f>
        <v>PS0015</v>
      </c>
      <c r="D717" s="29" t="s">
        <v>229</v>
      </c>
      <c r="E717" s="50" t="str">
        <f>VLOOKUP(D717,'Sales Team'!A$2:B$6,1,0)</f>
        <v>ST0004</v>
      </c>
      <c r="F717" s="28">
        <v>44598</v>
      </c>
      <c r="G717" s="29" t="s">
        <v>237</v>
      </c>
      <c r="H717" s="31">
        <v>472734461</v>
      </c>
      <c r="I717" s="17" t="s">
        <v>253</v>
      </c>
    </row>
    <row r="718" spans="1:9" ht="15.75" customHeight="1" x14ac:dyDescent="0.3">
      <c r="A718" s="17" t="s">
        <v>955</v>
      </c>
      <c r="B718" s="17" t="s">
        <v>151</v>
      </c>
      <c r="C718" s="50" t="str">
        <f>VLOOKUP(B718,'Patner Store'!A$2:A$51,1,0)</f>
        <v>PS0019</v>
      </c>
      <c r="D718" s="29" t="s">
        <v>231</v>
      </c>
      <c r="E718" s="50" t="str">
        <f>VLOOKUP(D718,'Sales Team'!A$2:B$6,1,0)</f>
        <v>ST0005</v>
      </c>
      <c r="F718" s="28">
        <v>44598</v>
      </c>
      <c r="G718" s="17" t="s">
        <v>234</v>
      </c>
      <c r="H718" s="31">
        <v>80338950</v>
      </c>
      <c r="I718" s="17" t="s">
        <v>247</v>
      </c>
    </row>
    <row r="719" spans="1:9" ht="15.75" customHeight="1" x14ac:dyDescent="0.3">
      <c r="A719" s="17" t="s">
        <v>956</v>
      </c>
      <c r="B719" s="17" t="s">
        <v>189</v>
      </c>
      <c r="C719" s="50" t="str">
        <f>VLOOKUP(B719,'Patner Store'!A$2:A$51,1,0)</f>
        <v>PS0037</v>
      </c>
      <c r="D719" s="29" t="s">
        <v>225</v>
      </c>
      <c r="E719" s="50" t="str">
        <f>VLOOKUP(D719,'Sales Team'!A$2:B$6,1,0)</f>
        <v>ST0002</v>
      </c>
      <c r="F719" s="28">
        <v>44599</v>
      </c>
      <c r="G719" s="17" t="s">
        <v>234</v>
      </c>
      <c r="H719" s="31">
        <v>21761400</v>
      </c>
      <c r="I719" s="17" t="s">
        <v>253</v>
      </c>
    </row>
    <row r="720" spans="1:9" ht="15.75" customHeight="1" x14ac:dyDescent="0.3">
      <c r="A720" s="17" t="s">
        <v>957</v>
      </c>
      <c r="B720" s="17" t="s">
        <v>137</v>
      </c>
      <c r="C720" s="50" t="str">
        <f>VLOOKUP(B720,'Patner Store'!A$2:A$51,1,0)</f>
        <v>PS0013</v>
      </c>
      <c r="D720" s="29" t="s">
        <v>222</v>
      </c>
      <c r="E720" s="50" t="str">
        <f>VLOOKUP(D720,'Sales Team'!A$2:B$6,1,0)</f>
        <v>ST0001</v>
      </c>
      <c r="F720" s="28">
        <v>44601</v>
      </c>
      <c r="G720" s="17" t="s">
        <v>234</v>
      </c>
      <c r="H720" s="31">
        <v>39377070</v>
      </c>
      <c r="I720" s="17" t="s">
        <v>247</v>
      </c>
    </row>
    <row r="721" spans="1:9" ht="15.75" customHeight="1" x14ac:dyDescent="0.3">
      <c r="A721" s="17" t="s">
        <v>958</v>
      </c>
      <c r="B721" s="17" t="s">
        <v>191</v>
      </c>
      <c r="C721" s="50" t="str">
        <f>VLOOKUP(B721,'Patner Store'!A$2:A$51,1,0)</f>
        <v>PS0038</v>
      </c>
      <c r="D721" s="29" t="s">
        <v>229</v>
      </c>
      <c r="E721" s="50" t="str">
        <f>VLOOKUP(D721,'Sales Team'!A$2:B$6,1,0)</f>
        <v>ST0004</v>
      </c>
      <c r="F721" s="28">
        <v>44601</v>
      </c>
      <c r="G721" s="29" t="s">
        <v>237</v>
      </c>
      <c r="H721" s="31">
        <v>440641540</v>
      </c>
      <c r="I721" s="17"/>
    </row>
    <row r="722" spans="1:9" ht="15.75" customHeight="1" x14ac:dyDescent="0.3">
      <c r="A722" s="17" t="s">
        <v>959</v>
      </c>
      <c r="B722" s="17" t="s">
        <v>183</v>
      </c>
      <c r="C722" s="50" t="str">
        <f>VLOOKUP(B722,'Patner Store'!A$2:A$51,1,0)</f>
        <v>PS0034</v>
      </c>
      <c r="D722" s="29" t="s">
        <v>222</v>
      </c>
      <c r="E722" s="50" t="str">
        <f>VLOOKUP(D722,'Sales Team'!A$2:B$6,1,0)</f>
        <v>ST0001</v>
      </c>
      <c r="F722" s="28">
        <v>44602</v>
      </c>
      <c r="G722" s="29" t="s">
        <v>237</v>
      </c>
      <c r="H722" s="31">
        <v>464841904</v>
      </c>
      <c r="I722" s="17" t="s">
        <v>260</v>
      </c>
    </row>
    <row r="723" spans="1:9" ht="15.75" customHeight="1" x14ac:dyDescent="0.3">
      <c r="A723" s="17" t="s">
        <v>960</v>
      </c>
      <c r="B723" s="17" t="s">
        <v>160</v>
      </c>
      <c r="C723" s="50" t="str">
        <f>VLOOKUP(B723,'Patner Store'!A$2:A$51,1,0)</f>
        <v>PS0023</v>
      </c>
      <c r="D723" s="29" t="s">
        <v>227</v>
      </c>
      <c r="E723" s="50" t="str">
        <f>VLOOKUP(D723,'Sales Team'!A$2:B$6,1,0)</f>
        <v>ST0003</v>
      </c>
      <c r="F723" s="28">
        <v>44606</v>
      </c>
      <c r="G723" s="29" t="s">
        <v>237</v>
      </c>
      <c r="H723" s="31">
        <v>387764070</v>
      </c>
      <c r="I723" s="17"/>
    </row>
    <row r="724" spans="1:9" ht="15.75" customHeight="1" x14ac:dyDescent="0.3">
      <c r="A724" s="17" t="s">
        <v>961</v>
      </c>
      <c r="B724" s="17" t="s">
        <v>135</v>
      </c>
      <c r="C724" s="50" t="str">
        <f>VLOOKUP(B724,'Patner Store'!A$2:A$51,1,0)</f>
        <v>PS0012</v>
      </c>
      <c r="D724" s="29" t="s">
        <v>227</v>
      </c>
      <c r="E724" s="50" t="str">
        <f>VLOOKUP(D724,'Sales Team'!A$2:B$6,1,0)</f>
        <v>ST0003</v>
      </c>
      <c r="F724" s="28">
        <v>44607</v>
      </c>
      <c r="G724" s="17" t="s">
        <v>234</v>
      </c>
      <c r="H724" s="31">
        <v>143140130</v>
      </c>
      <c r="I724" s="17" t="s">
        <v>253</v>
      </c>
    </row>
    <row r="725" spans="1:9" ht="15.75" customHeight="1" x14ac:dyDescent="0.3">
      <c r="A725" s="17" t="s">
        <v>962</v>
      </c>
      <c r="B725" s="17" t="s">
        <v>173</v>
      </c>
      <c r="C725" s="50" t="str">
        <f>VLOOKUP(B725,'Patner Store'!A$2:A$51,1,0)</f>
        <v>PS0029</v>
      </c>
      <c r="D725" s="29" t="s">
        <v>229</v>
      </c>
      <c r="E725" s="50" t="str">
        <f>VLOOKUP(D725,'Sales Team'!A$2:B$6,1,0)</f>
        <v>ST0004</v>
      </c>
      <c r="F725" s="28">
        <v>44608</v>
      </c>
      <c r="G725" s="17" t="s">
        <v>234</v>
      </c>
      <c r="H725" s="31">
        <v>29323350</v>
      </c>
      <c r="I725" s="17" t="s">
        <v>247</v>
      </c>
    </row>
    <row r="726" spans="1:9" ht="15.75" customHeight="1" x14ac:dyDescent="0.3">
      <c r="A726" s="17" t="s">
        <v>963</v>
      </c>
      <c r="B726" s="17" t="s">
        <v>166</v>
      </c>
      <c r="C726" s="50" t="str">
        <f>VLOOKUP(B726,'Patner Store'!A$2:A$51,1,0)</f>
        <v>PS0026</v>
      </c>
      <c r="D726" s="29" t="s">
        <v>229</v>
      </c>
      <c r="E726" s="50" t="str">
        <f>VLOOKUP(D726,'Sales Team'!A$2:B$6,1,0)</f>
        <v>ST0004</v>
      </c>
      <c r="F726" s="28">
        <v>44609</v>
      </c>
      <c r="G726" s="29" t="s">
        <v>237</v>
      </c>
      <c r="H726" s="31">
        <v>282748410</v>
      </c>
      <c r="I726" s="17"/>
    </row>
    <row r="727" spans="1:9" ht="15.75" customHeight="1" x14ac:dyDescent="0.3">
      <c r="A727" s="17" t="s">
        <v>964</v>
      </c>
      <c r="B727" s="17" t="s">
        <v>168</v>
      </c>
      <c r="C727" s="50" t="str">
        <f>VLOOKUP(B727,'Patner Store'!A$2:A$51,1,0)</f>
        <v>PS0027</v>
      </c>
      <c r="D727" s="29" t="s">
        <v>229</v>
      </c>
      <c r="E727" s="50" t="str">
        <f>VLOOKUP(D727,'Sales Team'!A$2:B$6,1,0)</f>
        <v>ST0004</v>
      </c>
      <c r="F727" s="28">
        <v>44610</v>
      </c>
      <c r="G727" s="29" t="s">
        <v>237</v>
      </c>
      <c r="H727" s="31">
        <v>489953810</v>
      </c>
      <c r="I727" s="17"/>
    </row>
    <row r="728" spans="1:9" ht="15.75" customHeight="1" x14ac:dyDescent="0.3">
      <c r="A728" s="17" t="s">
        <v>965</v>
      </c>
      <c r="B728" s="17" t="s">
        <v>124</v>
      </c>
      <c r="C728" s="50" t="str">
        <f>VLOOKUP(B728,'Patner Store'!A$2:A$51,1,0)</f>
        <v>PS0007</v>
      </c>
      <c r="D728" s="29" t="s">
        <v>222</v>
      </c>
      <c r="E728" s="50" t="str">
        <f>VLOOKUP(D728,'Sales Team'!A$2:B$6,1,0)</f>
        <v>ST0001</v>
      </c>
      <c r="F728" s="28">
        <v>44612</v>
      </c>
      <c r="G728" s="17" t="s">
        <v>234</v>
      </c>
      <c r="H728" s="31">
        <v>46096180</v>
      </c>
      <c r="I728" s="17" t="s">
        <v>260</v>
      </c>
    </row>
    <row r="729" spans="1:9" ht="15.75" customHeight="1" x14ac:dyDescent="0.3">
      <c r="A729" s="17" t="s">
        <v>966</v>
      </c>
      <c r="B729" s="17" t="s">
        <v>197</v>
      </c>
      <c r="C729" s="50" t="str">
        <f>VLOOKUP(B729,'Patner Store'!A$2:A$51,1,0)</f>
        <v>PS0041</v>
      </c>
      <c r="D729" s="29" t="s">
        <v>222</v>
      </c>
      <c r="E729" s="50" t="str">
        <f>VLOOKUP(D729,'Sales Team'!A$2:B$6,1,0)</f>
        <v>ST0001</v>
      </c>
      <c r="F729" s="28">
        <v>44612</v>
      </c>
      <c r="G729" s="17" t="s">
        <v>234</v>
      </c>
      <c r="H729" s="31">
        <v>73458000</v>
      </c>
      <c r="I729" s="17"/>
    </row>
    <row r="730" spans="1:9" ht="15.75" customHeight="1" x14ac:dyDescent="0.3">
      <c r="A730" s="17" t="s">
        <v>967</v>
      </c>
      <c r="B730" s="17" t="s">
        <v>181</v>
      </c>
      <c r="C730" s="50" t="str">
        <f>VLOOKUP(B730,'Patner Store'!A$2:A$51,1,0)</f>
        <v>PS0033</v>
      </c>
      <c r="D730" s="29" t="s">
        <v>231</v>
      </c>
      <c r="E730" s="50" t="str">
        <f>VLOOKUP(D730,'Sales Team'!A$2:B$6,1,0)</f>
        <v>ST0005</v>
      </c>
      <c r="F730" s="28">
        <v>44612</v>
      </c>
      <c r="G730" s="17" t="s">
        <v>234</v>
      </c>
      <c r="H730" s="31">
        <v>168348240</v>
      </c>
      <c r="I730" s="17"/>
    </row>
    <row r="731" spans="1:9" ht="15.75" customHeight="1" x14ac:dyDescent="0.3">
      <c r="A731" s="17" t="s">
        <v>968</v>
      </c>
      <c r="B731" s="17" t="s">
        <v>133</v>
      </c>
      <c r="C731" s="50" t="str">
        <f>VLOOKUP(B731,'Patner Store'!A$2:A$51,1,0)</f>
        <v>PS0011</v>
      </c>
      <c r="D731" s="29" t="s">
        <v>225</v>
      </c>
      <c r="E731" s="50" t="str">
        <f>VLOOKUP(D731,'Sales Team'!A$2:B$6,1,0)</f>
        <v>ST0002</v>
      </c>
      <c r="F731" s="28">
        <v>44613</v>
      </c>
      <c r="G731" s="17" t="s">
        <v>234</v>
      </c>
      <c r="H731" s="31">
        <v>98900310</v>
      </c>
      <c r="I731" s="17" t="s">
        <v>260</v>
      </c>
    </row>
    <row r="732" spans="1:9" ht="15.75" customHeight="1" x14ac:dyDescent="0.3">
      <c r="A732" s="17" t="s">
        <v>969</v>
      </c>
      <c r="B732" s="17" t="s">
        <v>173</v>
      </c>
      <c r="C732" s="50" t="str">
        <f>VLOOKUP(B732,'Patner Store'!A$2:A$51,1,0)</f>
        <v>PS0029</v>
      </c>
      <c r="D732" s="29" t="s">
        <v>229</v>
      </c>
      <c r="E732" s="50" t="str">
        <f>VLOOKUP(D732,'Sales Team'!A$2:B$6,1,0)</f>
        <v>ST0004</v>
      </c>
      <c r="F732" s="28">
        <v>44613</v>
      </c>
      <c r="G732" s="17" t="s">
        <v>234</v>
      </c>
      <c r="H732" s="31">
        <v>190816000</v>
      </c>
      <c r="I732" s="17" t="s">
        <v>247</v>
      </c>
    </row>
    <row r="733" spans="1:9" ht="15.75" customHeight="1" x14ac:dyDescent="0.3">
      <c r="A733" s="17" t="s">
        <v>970</v>
      </c>
      <c r="B733" s="17" t="s">
        <v>105</v>
      </c>
      <c r="C733" s="50" t="str">
        <f>VLOOKUP(B733,'Patner Store'!A$2:A$51,1,0)</f>
        <v>PS0001</v>
      </c>
      <c r="D733" s="29" t="s">
        <v>231</v>
      </c>
      <c r="E733" s="50" t="str">
        <f>VLOOKUP(D733,'Sales Team'!A$2:B$6,1,0)</f>
        <v>ST0005</v>
      </c>
      <c r="F733" s="28">
        <v>44615</v>
      </c>
      <c r="G733" s="17" t="s">
        <v>234</v>
      </c>
      <c r="H733" s="31">
        <v>182850000</v>
      </c>
      <c r="I733" s="17" t="s">
        <v>253</v>
      </c>
    </row>
    <row r="734" spans="1:9" ht="15.75" customHeight="1" x14ac:dyDescent="0.3">
      <c r="A734" s="17" t="s">
        <v>971</v>
      </c>
      <c r="B734" s="17" t="s">
        <v>139</v>
      </c>
      <c r="C734" s="50" t="str">
        <f>VLOOKUP(B734,'Patner Store'!A$2:A$51,1,0)</f>
        <v>PS0014</v>
      </c>
      <c r="D734" s="29" t="s">
        <v>227</v>
      </c>
      <c r="E734" s="50" t="str">
        <f>VLOOKUP(D734,'Sales Team'!A$2:B$6,1,0)</f>
        <v>ST0003</v>
      </c>
      <c r="F734" s="28">
        <v>44616</v>
      </c>
      <c r="G734" s="29" t="s">
        <v>237</v>
      </c>
      <c r="H734" s="31">
        <v>655357550</v>
      </c>
      <c r="I734" s="17" t="s">
        <v>253</v>
      </c>
    </row>
    <row r="735" spans="1:9" ht="15.75" customHeight="1" x14ac:dyDescent="0.3">
      <c r="A735" s="17" t="s">
        <v>972</v>
      </c>
      <c r="B735" s="17" t="s">
        <v>185</v>
      </c>
      <c r="C735" s="50" t="str">
        <f>VLOOKUP(B735,'Patner Store'!A$2:A$51,1,0)</f>
        <v>PS0035</v>
      </c>
      <c r="D735" s="29" t="s">
        <v>229</v>
      </c>
      <c r="E735" s="50" t="str">
        <f>VLOOKUP(D735,'Sales Team'!A$2:B$6,1,0)</f>
        <v>ST0004</v>
      </c>
      <c r="F735" s="28">
        <v>44617</v>
      </c>
      <c r="G735" s="29" t="s">
        <v>237</v>
      </c>
      <c r="H735" s="31">
        <v>431368230</v>
      </c>
      <c r="I735" s="17" t="s">
        <v>253</v>
      </c>
    </row>
    <row r="736" spans="1:9" ht="15.75" customHeight="1" x14ac:dyDescent="0.3">
      <c r="A736" s="17" t="s">
        <v>973</v>
      </c>
      <c r="B736" s="17" t="s">
        <v>197</v>
      </c>
      <c r="C736" s="50" t="str">
        <f>VLOOKUP(B736,'Patner Store'!A$2:A$51,1,0)</f>
        <v>PS0041</v>
      </c>
      <c r="D736" s="29" t="s">
        <v>222</v>
      </c>
      <c r="E736" s="50" t="str">
        <f>VLOOKUP(D736,'Sales Team'!A$2:B$6,1,0)</f>
        <v>ST0001</v>
      </c>
      <c r="F736" s="28">
        <v>44617</v>
      </c>
      <c r="G736" s="17" t="s">
        <v>234</v>
      </c>
      <c r="H736" s="31">
        <v>110403925.00000001</v>
      </c>
      <c r="I736" s="17" t="s">
        <v>260</v>
      </c>
    </row>
    <row r="737" spans="1:9" ht="15.75" customHeight="1" x14ac:dyDescent="0.3">
      <c r="A737" s="17" t="s">
        <v>974</v>
      </c>
      <c r="B737" s="17" t="s">
        <v>113</v>
      </c>
      <c r="C737" s="50" t="str">
        <f>VLOOKUP(B737,'Patner Store'!A$2:A$51,1,0)</f>
        <v>PS0003</v>
      </c>
      <c r="D737" s="29" t="s">
        <v>227</v>
      </c>
      <c r="E737" s="50" t="str">
        <f>VLOOKUP(D737,'Sales Team'!A$2:B$6,1,0)</f>
        <v>ST0003</v>
      </c>
      <c r="F737" s="28">
        <v>44619</v>
      </c>
      <c r="G737" s="17" t="s">
        <v>234</v>
      </c>
      <c r="H737" s="31">
        <v>25103040</v>
      </c>
      <c r="I737" s="17"/>
    </row>
    <row r="738" spans="1:9" ht="15.75" customHeight="1" x14ac:dyDescent="0.3">
      <c r="A738" s="17" t="s">
        <v>975</v>
      </c>
      <c r="B738" s="17" t="s">
        <v>154</v>
      </c>
      <c r="C738" s="50" t="str">
        <f>VLOOKUP(B738,'Patner Store'!A$2:A$51,1,0)</f>
        <v>PS0020</v>
      </c>
      <c r="D738" s="29" t="s">
        <v>229</v>
      </c>
      <c r="E738" s="50" t="str">
        <f>VLOOKUP(D738,'Sales Team'!A$2:B$6,1,0)</f>
        <v>ST0004</v>
      </c>
      <c r="F738" s="28">
        <v>44620</v>
      </c>
      <c r="G738" s="29" t="s">
        <v>237</v>
      </c>
      <c r="H738" s="31">
        <v>301486740</v>
      </c>
      <c r="I738" s="17"/>
    </row>
    <row r="739" spans="1:9" ht="15.75" customHeight="1" x14ac:dyDescent="0.3">
      <c r="A739" s="17" t="s">
        <v>976</v>
      </c>
      <c r="B739" s="17" t="s">
        <v>109</v>
      </c>
      <c r="C739" s="50" t="str">
        <f>VLOOKUP(B739,'Patner Store'!A$2:A$51,1,0)</f>
        <v>PS0002</v>
      </c>
      <c r="D739" s="29" t="s">
        <v>225</v>
      </c>
      <c r="E739" s="50" t="str">
        <f>VLOOKUP(D739,'Sales Team'!A$2:B$6,1,0)</f>
        <v>ST0002</v>
      </c>
      <c r="F739" s="28">
        <v>44621</v>
      </c>
      <c r="G739" s="29" t="s">
        <v>237</v>
      </c>
      <c r="H739" s="31">
        <v>384437440</v>
      </c>
      <c r="I739" s="17"/>
    </row>
    <row r="740" spans="1:9" ht="15.75" customHeight="1" x14ac:dyDescent="0.3">
      <c r="A740" s="17" t="s">
        <v>977</v>
      </c>
      <c r="B740" s="17" t="s">
        <v>166</v>
      </c>
      <c r="C740" s="50" t="str">
        <f>VLOOKUP(B740,'Patner Store'!A$2:A$51,1,0)</f>
        <v>PS0026</v>
      </c>
      <c r="D740" s="29" t="s">
        <v>229</v>
      </c>
      <c r="E740" s="50" t="str">
        <f>VLOOKUP(D740,'Sales Team'!A$2:B$6,1,0)</f>
        <v>ST0004</v>
      </c>
      <c r="F740" s="28">
        <v>44621</v>
      </c>
      <c r="G740" s="17" t="s">
        <v>234</v>
      </c>
      <c r="H740" s="31">
        <v>95939120</v>
      </c>
      <c r="I740" s="17" t="s">
        <v>260</v>
      </c>
    </row>
    <row r="741" spans="1:9" ht="15.75" customHeight="1" x14ac:dyDescent="0.3">
      <c r="A741" s="17" t="s">
        <v>978</v>
      </c>
      <c r="B741" s="17" t="s">
        <v>133</v>
      </c>
      <c r="C741" s="50" t="str">
        <f>VLOOKUP(B741,'Patner Store'!A$2:A$51,1,0)</f>
        <v>PS0011</v>
      </c>
      <c r="D741" s="29" t="s">
        <v>225</v>
      </c>
      <c r="E741" s="50" t="str">
        <f>VLOOKUP(D741,'Sales Team'!A$2:B$6,1,0)</f>
        <v>ST0002</v>
      </c>
      <c r="F741" s="28">
        <v>44622</v>
      </c>
      <c r="G741" s="17" t="s">
        <v>234</v>
      </c>
      <c r="H741" s="31">
        <v>86587010</v>
      </c>
      <c r="I741" s="17" t="s">
        <v>260</v>
      </c>
    </row>
    <row r="742" spans="1:9" ht="15.75" customHeight="1" x14ac:dyDescent="0.3">
      <c r="A742" s="17" t="s">
        <v>979</v>
      </c>
      <c r="B742" s="17" t="s">
        <v>215</v>
      </c>
      <c r="C742" s="50" t="str">
        <f>VLOOKUP(B742,'Patner Store'!A$2:A$51,1,0)</f>
        <v>PS0050</v>
      </c>
      <c r="D742" s="29" t="s">
        <v>229</v>
      </c>
      <c r="E742" s="50" t="str">
        <f>VLOOKUP(D742,'Sales Team'!A$2:B$6,1,0)</f>
        <v>ST0004</v>
      </c>
      <c r="F742" s="28">
        <v>44622</v>
      </c>
      <c r="G742" s="17" t="s">
        <v>234</v>
      </c>
      <c r="H742" s="31">
        <v>164735940</v>
      </c>
      <c r="I742" s="17" t="s">
        <v>260</v>
      </c>
    </row>
    <row r="743" spans="1:9" ht="15.75" customHeight="1" x14ac:dyDescent="0.3">
      <c r="A743" s="17" t="s">
        <v>980</v>
      </c>
      <c r="B743" s="17" t="s">
        <v>199</v>
      </c>
      <c r="C743" s="50" t="str">
        <f>VLOOKUP(B743,'Patner Store'!A$2:A$51,1,0)</f>
        <v>PS0042</v>
      </c>
      <c r="D743" s="29" t="s">
        <v>225</v>
      </c>
      <c r="E743" s="50" t="str">
        <f>VLOOKUP(D743,'Sales Team'!A$2:B$6,1,0)</f>
        <v>ST0002</v>
      </c>
      <c r="F743" s="28">
        <v>44622</v>
      </c>
      <c r="G743" s="17" t="s">
        <v>234</v>
      </c>
      <c r="H743" s="31">
        <v>79963790</v>
      </c>
      <c r="I743" s="17" t="s">
        <v>253</v>
      </c>
    </row>
    <row r="744" spans="1:9" ht="15.75" customHeight="1" x14ac:dyDescent="0.3">
      <c r="A744" s="17" t="s">
        <v>981</v>
      </c>
      <c r="B744" s="17" t="s">
        <v>211</v>
      </c>
      <c r="C744" s="50" t="str">
        <f>VLOOKUP(B744,'Patner Store'!A$2:A$51,1,0)</f>
        <v>PS0048</v>
      </c>
      <c r="D744" s="29" t="s">
        <v>227</v>
      </c>
      <c r="E744" s="50" t="str">
        <f>VLOOKUP(D744,'Sales Team'!A$2:B$6,1,0)</f>
        <v>ST0003</v>
      </c>
      <c r="F744" s="28">
        <v>44625</v>
      </c>
      <c r="G744" s="17" t="s">
        <v>234</v>
      </c>
      <c r="H744" s="31">
        <v>76608080</v>
      </c>
      <c r="I744" s="17"/>
    </row>
    <row r="745" spans="1:9" ht="15.75" customHeight="1" x14ac:dyDescent="0.3">
      <c r="A745" s="17" t="s">
        <v>982</v>
      </c>
      <c r="B745" s="17" t="s">
        <v>171</v>
      </c>
      <c r="C745" s="50" t="str">
        <f>VLOOKUP(B745,'Patner Store'!A$2:A$51,1,0)</f>
        <v>PS0028</v>
      </c>
      <c r="D745" s="29" t="s">
        <v>231</v>
      </c>
      <c r="E745" s="50" t="str">
        <f>VLOOKUP(D745,'Sales Team'!A$2:B$6,1,0)</f>
        <v>ST0005</v>
      </c>
      <c r="F745" s="28">
        <v>44626</v>
      </c>
      <c r="G745" s="29" t="s">
        <v>237</v>
      </c>
      <c r="H745" s="31">
        <v>318817170</v>
      </c>
      <c r="I745" s="17"/>
    </row>
    <row r="746" spans="1:9" ht="15.75" customHeight="1" x14ac:dyDescent="0.3">
      <c r="A746" s="17" t="s">
        <v>983</v>
      </c>
      <c r="B746" s="17" t="s">
        <v>144</v>
      </c>
      <c r="C746" s="50" t="str">
        <f>VLOOKUP(B746,'Patner Store'!A$2:A$51,1,0)</f>
        <v>PS0016</v>
      </c>
      <c r="D746" s="29" t="s">
        <v>227</v>
      </c>
      <c r="E746" s="50" t="str">
        <f>VLOOKUP(D746,'Sales Team'!A$2:B$6,1,0)</f>
        <v>ST0003</v>
      </c>
      <c r="F746" s="28">
        <v>44627</v>
      </c>
      <c r="G746" s="29" t="s">
        <v>237</v>
      </c>
      <c r="H746" s="31">
        <v>499945248</v>
      </c>
      <c r="I746" s="17"/>
    </row>
    <row r="747" spans="1:9" ht="15.75" customHeight="1" x14ac:dyDescent="0.3">
      <c r="A747" s="17" t="s">
        <v>984</v>
      </c>
      <c r="B747" s="17" t="s">
        <v>175</v>
      </c>
      <c r="C747" s="50" t="str">
        <f>VLOOKUP(B747,'Patner Store'!A$2:A$51,1,0)</f>
        <v>PS0030</v>
      </c>
      <c r="D747" s="29" t="s">
        <v>229</v>
      </c>
      <c r="E747" s="50" t="str">
        <f>VLOOKUP(D747,'Sales Team'!A$2:B$6,1,0)</f>
        <v>ST0004</v>
      </c>
      <c r="F747" s="28">
        <v>44628</v>
      </c>
      <c r="G747" s="29" t="s">
        <v>237</v>
      </c>
      <c r="H747" s="31">
        <v>496157250</v>
      </c>
      <c r="I747" s="17"/>
    </row>
    <row r="748" spans="1:9" ht="15.75" customHeight="1" x14ac:dyDescent="0.3">
      <c r="A748" s="17" t="s">
        <v>985</v>
      </c>
      <c r="B748" s="17" t="s">
        <v>205</v>
      </c>
      <c r="C748" s="50" t="str">
        <f>VLOOKUP(B748,'Patner Store'!A$2:A$51,1,0)</f>
        <v>PS0045</v>
      </c>
      <c r="D748" s="29" t="s">
        <v>231</v>
      </c>
      <c r="E748" s="50" t="str">
        <f>VLOOKUP(D748,'Sales Team'!A$2:B$6,1,0)</f>
        <v>ST0005</v>
      </c>
      <c r="F748" s="28">
        <v>44630</v>
      </c>
      <c r="G748" s="29" t="s">
        <v>237</v>
      </c>
      <c r="H748" s="31">
        <v>762021990</v>
      </c>
      <c r="I748" s="17"/>
    </row>
    <row r="749" spans="1:9" ht="15.75" customHeight="1" x14ac:dyDescent="0.3">
      <c r="A749" s="17" t="s">
        <v>986</v>
      </c>
      <c r="B749" s="17" t="s">
        <v>168</v>
      </c>
      <c r="C749" s="50" t="str">
        <f>VLOOKUP(B749,'Patner Store'!A$2:A$51,1,0)</f>
        <v>PS0027</v>
      </c>
      <c r="D749" s="29" t="s">
        <v>229</v>
      </c>
      <c r="E749" s="50" t="str">
        <f>VLOOKUP(D749,'Sales Team'!A$2:B$6,1,0)</f>
        <v>ST0004</v>
      </c>
      <c r="F749" s="28">
        <v>44630</v>
      </c>
      <c r="G749" s="17" t="s">
        <v>234</v>
      </c>
      <c r="H749" s="31">
        <v>38241300</v>
      </c>
      <c r="I749" s="17" t="s">
        <v>260</v>
      </c>
    </row>
    <row r="750" spans="1:9" ht="15.75" customHeight="1" x14ac:dyDescent="0.3">
      <c r="A750" s="17" t="s">
        <v>987</v>
      </c>
      <c r="B750" s="17" t="s">
        <v>133</v>
      </c>
      <c r="C750" s="50" t="str">
        <f>VLOOKUP(B750,'Patner Store'!A$2:A$51,1,0)</f>
        <v>PS0011</v>
      </c>
      <c r="D750" s="29" t="s">
        <v>225</v>
      </c>
      <c r="E750" s="50" t="str">
        <f>VLOOKUP(D750,'Sales Team'!A$2:B$6,1,0)</f>
        <v>ST0002</v>
      </c>
      <c r="F750" s="28">
        <v>44631</v>
      </c>
      <c r="G750" s="29" t="s">
        <v>237</v>
      </c>
      <c r="H750" s="31">
        <v>949543980</v>
      </c>
      <c r="I750" s="17"/>
    </row>
    <row r="751" spans="1:9" ht="15.75" customHeight="1" x14ac:dyDescent="0.3">
      <c r="A751" s="17" t="s">
        <v>988</v>
      </c>
      <c r="B751" s="17" t="s">
        <v>185</v>
      </c>
      <c r="C751" s="50" t="str">
        <f>VLOOKUP(B751,'Patner Store'!A$2:A$51,1,0)</f>
        <v>PS0035</v>
      </c>
      <c r="D751" s="29" t="s">
        <v>229</v>
      </c>
      <c r="E751" s="50" t="str">
        <f>VLOOKUP(D751,'Sales Team'!A$2:B$6,1,0)</f>
        <v>ST0004</v>
      </c>
      <c r="F751" s="28">
        <v>44633</v>
      </c>
      <c r="G751" s="17" t="s">
        <v>234</v>
      </c>
      <c r="H751" s="31">
        <v>69333100</v>
      </c>
      <c r="I751" s="17" t="s">
        <v>247</v>
      </c>
    </row>
    <row r="752" spans="1:9" ht="15.75" customHeight="1" x14ac:dyDescent="0.3">
      <c r="A752" s="17" t="s">
        <v>989</v>
      </c>
      <c r="B752" s="17" t="s">
        <v>128</v>
      </c>
      <c r="C752" s="50" t="str">
        <f>VLOOKUP(B752,'Patner Store'!A$2:A$51,1,0)</f>
        <v>PS0009</v>
      </c>
      <c r="D752" s="29" t="s">
        <v>227</v>
      </c>
      <c r="E752" s="50" t="str">
        <f>VLOOKUP(D752,'Sales Team'!A$2:B$6,1,0)</f>
        <v>ST0003</v>
      </c>
      <c r="F752" s="28">
        <v>44635</v>
      </c>
      <c r="G752" s="17" t="s">
        <v>234</v>
      </c>
      <c r="H752" s="31">
        <v>68293260</v>
      </c>
      <c r="I752" s="17"/>
    </row>
    <row r="753" spans="1:9" ht="15.75" customHeight="1" x14ac:dyDescent="0.3">
      <c r="A753" s="17" t="s">
        <v>990</v>
      </c>
      <c r="B753" s="17" t="s">
        <v>205</v>
      </c>
      <c r="C753" s="50" t="str">
        <f>VLOOKUP(B753,'Patner Store'!A$2:A$51,1,0)</f>
        <v>PS0045</v>
      </c>
      <c r="D753" s="29" t="s">
        <v>231</v>
      </c>
      <c r="E753" s="50" t="str">
        <f>VLOOKUP(D753,'Sales Team'!A$2:B$6,1,0)</f>
        <v>ST0005</v>
      </c>
      <c r="F753" s="28">
        <v>44636</v>
      </c>
      <c r="G753" s="17" t="s">
        <v>234</v>
      </c>
      <c r="H753" s="31">
        <v>41160020</v>
      </c>
      <c r="I753" s="17" t="s">
        <v>253</v>
      </c>
    </row>
    <row r="754" spans="1:9" ht="15.75" customHeight="1" x14ac:dyDescent="0.3">
      <c r="A754" s="17" t="s">
        <v>991</v>
      </c>
      <c r="B754" s="17" t="s">
        <v>193</v>
      </c>
      <c r="C754" s="50" t="str">
        <f>VLOOKUP(B754,'Patner Store'!A$2:A$51,1,0)</f>
        <v>PS0039</v>
      </c>
      <c r="D754" s="29" t="s">
        <v>227</v>
      </c>
      <c r="E754" s="50" t="str">
        <f>VLOOKUP(D754,'Sales Team'!A$2:B$6,1,0)</f>
        <v>ST0003</v>
      </c>
      <c r="F754" s="28">
        <v>44637</v>
      </c>
      <c r="G754" s="17" t="s">
        <v>234</v>
      </c>
      <c r="H754" s="31">
        <v>178275330</v>
      </c>
      <c r="I754" s="17" t="s">
        <v>247</v>
      </c>
    </row>
    <row r="755" spans="1:9" ht="15.75" customHeight="1" x14ac:dyDescent="0.3">
      <c r="A755" s="17" t="s">
        <v>992</v>
      </c>
      <c r="B755" s="17" t="s">
        <v>203</v>
      </c>
      <c r="C755" s="50" t="str">
        <f>VLOOKUP(B755,'Patner Store'!A$2:A$51,1,0)</f>
        <v>PS0044</v>
      </c>
      <c r="D755" s="29" t="s">
        <v>229</v>
      </c>
      <c r="E755" s="50" t="str">
        <f>VLOOKUP(D755,'Sales Team'!A$2:B$6,1,0)</f>
        <v>ST0004</v>
      </c>
      <c r="F755" s="28">
        <v>44637</v>
      </c>
      <c r="G755" s="29" t="s">
        <v>237</v>
      </c>
      <c r="H755" s="31">
        <v>843165100</v>
      </c>
      <c r="I755" s="17"/>
    </row>
    <row r="756" spans="1:9" ht="15.75" customHeight="1" x14ac:dyDescent="0.3">
      <c r="A756" s="17" t="s">
        <v>993</v>
      </c>
      <c r="B756" s="17" t="s">
        <v>146</v>
      </c>
      <c r="C756" s="50" t="str">
        <f>VLOOKUP(B756,'Patner Store'!A$2:A$51,1,0)</f>
        <v>PS0017</v>
      </c>
      <c r="D756" s="29" t="s">
        <v>222</v>
      </c>
      <c r="E756" s="50" t="str">
        <f>VLOOKUP(D756,'Sales Team'!A$2:B$6,1,0)</f>
        <v>ST0001</v>
      </c>
      <c r="F756" s="28">
        <v>44638</v>
      </c>
      <c r="G756" s="17" t="s">
        <v>234</v>
      </c>
      <c r="H756" s="31">
        <v>62278020</v>
      </c>
      <c r="I756" s="17"/>
    </row>
    <row r="757" spans="1:9" ht="15.75" customHeight="1" x14ac:dyDescent="0.3">
      <c r="A757" s="17" t="s">
        <v>994</v>
      </c>
      <c r="B757" s="17" t="s">
        <v>139</v>
      </c>
      <c r="C757" s="50" t="str">
        <f>VLOOKUP(B757,'Patner Store'!A$2:A$51,1,0)</f>
        <v>PS0014</v>
      </c>
      <c r="D757" s="29" t="s">
        <v>227</v>
      </c>
      <c r="E757" s="50" t="str">
        <f>VLOOKUP(D757,'Sales Team'!A$2:B$6,1,0)</f>
        <v>ST0003</v>
      </c>
      <c r="F757" s="28">
        <v>44640</v>
      </c>
      <c r="G757" s="29" t="s">
        <v>237</v>
      </c>
      <c r="H757" s="31">
        <v>577489990</v>
      </c>
      <c r="I757" s="17"/>
    </row>
    <row r="758" spans="1:9" ht="15.75" customHeight="1" x14ac:dyDescent="0.3">
      <c r="A758" s="17" t="s">
        <v>995</v>
      </c>
      <c r="B758" s="17" t="s">
        <v>158</v>
      </c>
      <c r="C758" s="50" t="str">
        <f>VLOOKUP(B758,'Patner Store'!A$2:A$51,1,0)</f>
        <v>PS0022</v>
      </c>
      <c r="D758" s="29" t="s">
        <v>229</v>
      </c>
      <c r="E758" s="50" t="str">
        <f>VLOOKUP(D758,'Sales Team'!A$2:B$6,1,0)</f>
        <v>ST0004</v>
      </c>
      <c r="F758" s="28">
        <v>44640</v>
      </c>
      <c r="G758" s="17" t="s">
        <v>234</v>
      </c>
      <c r="H758" s="31">
        <v>159026800</v>
      </c>
      <c r="I758" s="17"/>
    </row>
    <row r="759" spans="1:9" ht="15.75" customHeight="1" x14ac:dyDescent="0.3">
      <c r="A759" s="17" t="s">
        <v>996</v>
      </c>
      <c r="B759" s="17" t="s">
        <v>191</v>
      </c>
      <c r="C759" s="50" t="str">
        <f>VLOOKUP(B759,'Patner Store'!A$2:A$51,1,0)</f>
        <v>PS0038</v>
      </c>
      <c r="D759" s="29" t="s">
        <v>229</v>
      </c>
      <c r="E759" s="50" t="str">
        <f>VLOOKUP(D759,'Sales Team'!A$2:B$6,1,0)</f>
        <v>ST0004</v>
      </c>
      <c r="F759" s="28">
        <v>44640</v>
      </c>
      <c r="G759" s="29" t="s">
        <v>237</v>
      </c>
      <c r="H759" s="31">
        <v>309999620</v>
      </c>
      <c r="I759" s="17"/>
    </row>
    <row r="760" spans="1:9" ht="15.75" customHeight="1" x14ac:dyDescent="0.3">
      <c r="A760" s="17" t="s">
        <v>997</v>
      </c>
      <c r="B760" s="17" t="s">
        <v>189</v>
      </c>
      <c r="C760" s="50" t="str">
        <f>VLOOKUP(B760,'Patner Store'!A$2:A$51,1,0)</f>
        <v>PS0037</v>
      </c>
      <c r="D760" s="29" t="s">
        <v>225</v>
      </c>
      <c r="E760" s="50" t="str">
        <f>VLOOKUP(D760,'Sales Team'!A$2:B$6,1,0)</f>
        <v>ST0002</v>
      </c>
      <c r="F760" s="28">
        <v>44645</v>
      </c>
      <c r="G760" s="17" t="s">
        <v>234</v>
      </c>
      <c r="H760" s="31">
        <v>6953100</v>
      </c>
      <c r="I760" s="17"/>
    </row>
    <row r="761" spans="1:9" ht="15.75" customHeight="1" x14ac:dyDescent="0.3">
      <c r="A761" s="17" t="s">
        <v>998</v>
      </c>
      <c r="B761" s="17" t="s">
        <v>181</v>
      </c>
      <c r="C761" s="50" t="str">
        <f>VLOOKUP(B761,'Patner Store'!A$2:A$51,1,0)</f>
        <v>PS0033</v>
      </c>
      <c r="D761" s="29" t="s">
        <v>231</v>
      </c>
      <c r="E761" s="50" t="str">
        <f>VLOOKUP(D761,'Sales Team'!A$2:B$6,1,0)</f>
        <v>ST0005</v>
      </c>
      <c r="F761" s="28">
        <v>44646</v>
      </c>
      <c r="G761" s="17" t="s">
        <v>234</v>
      </c>
      <c r="H761" s="31">
        <v>52563450</v>
      </c>
      <c r="I761" s="17"/>
    </row>
    <row r="762" spans="1:9" ht="15.75" customHeight="1" x14ac:dyDescent="0.3">
      <c r="A762" s="17" t="s">
        <v>999</v>
      </c>
      <c r="B762" s="17" t="s">
        <v>203</v>
      </c>
      <c r="C762" s="50" t="str">
        <f>VLOOKUP(B762,'Patner Store'!A$2:A$51,1,0)</f>
        <v>PS0044</v>
      </c>
      <c r="D762" s="29" t="s">
        <v>229</v>
      </c>
      <c r="E762" s="50" t="str">
        <f>VLOOKUP(D762,'Sales Team'!A$2:B$6,1,0)</f>
        <v>ST0004</v>
      </c>
      <c r="F762" s="28">
        <v>44647</v>
      </c>
      <c r="G762" s="17" t="s">
        <v>234</v>
      </c>
      <c r="H762" s="31">
        <v>77192840</v>
      </c>
      <c r="I762" s="17"/>
    </row>
    <row r="763" spans="1:9" ht="15.75" customHeight="1" x14ac:dyDescent="0.3">
      <c r="A763" s="17" t="s">
        <v>1000</v>
      </c>
      <c r="B763" s="17" t="s">
        <v>148</v>
      </c>
      <c r="C763" s="50" t="str">
        <f>VLOOKUP(B763,'Patner Store'!A$2:A$51,1,0)</f>
        <v>PS0018</v>
      </c>
      <c r="D763" s="29" t="s">
        <v>225</v>
      </c>
      <c r="E763" s="50" t="str">
        <f>VLOOKUP(D763,'Sales Team'!A$2:B$6,1,0)</f>
        <v>ST0002</v>
      </c>
      <c r="F763" s="28">
        <v>44649</v>
      </c>
      <c r="G763" s="29" t="s">
        <v>237</v>
      </c>
      <c r="H763" s="31">
        <v>630305355</v>
      </c>
      <c r="I763" s="17"/>
    </row>
    <row r="764" spans="1:9" ht="15.75" customHeight="1" x14ac:dyDescent="0.3">
      <c r="A764" s="17" t="s">
        <v>1001</v>
      </c>
      <c r="B764" s="17" t="s">
        <v>166</v>
      </c>
      <c r="C764" s="50" t="str">
        <f>VLOOKUP(B764,'Patner Store'!A$2:A$51,1,0)</f>
        <v>PS0026</v>
      </c>
      <c r="D764" s="29" t="s">
        <v>229</v>
      </c>
      <c r="E764" s="50" t="str">
        <f>VLOOKUP(D764,'Sales Team'!A$2:B$6,1,0)</f>
        <v>ST0004</v>
      </c>
      <c r="F764" s="28">
        <v>44650</v>
      </c>
      <c r="G764" s="17" t="s">
        <v>234</v>
      </c>
      <c r="H764" s="31">
        <v>21127710</v>
      </c>
      <c r="I764" s="17"/>
    </row>
    <row r="765" spans="1:9" ht="15.75" customHeight="1" x14ac:dyDescent="0.3">
      <c r="A765" s="17" t="s">
        <v>1002</v>
      </c>
      <c r="B765" s="17" t="s">
        <v>160</v>
      </c>
      <c r="C765" s="50" t="str">
        <f>VLOOKUP(B765,'Patner Store'!A$2:A$51,1,0)</f>
        <v>PS0023</v>
      </c>
      <c r="D765" s="29" t="s">
        <v>227</v>
      </c>
      <c r="E765" s="50" t="str">
        <f>VLOOKUP(D765,'Sales Team'!A$2:B$6,1,0)</f>
        <v>ST0003</v>
      </c>
      <c r="F765" s="28">
        <v>44652</v>
      </c>
      <c r="G765" s="29" t="s">
        <v>237</v>
      </c>
      <c r="H765" s="31">
        <v>637286300</v>
      </c>
      <c r="I765" s="17" t="s">
        <v>247</v>
      </c>
    </row>
    <row r="766" spans="1:9" ht="15.75" customHeight="1" x14ac:dyDescent="0.3">
      <c r="A766" s="17" t="s">
        <v>1003</v>
      </c>
      <c r="B766" s="17" t="s">
        <v>195</v>
      </c>
      <c r="C766" s="50" t="str">
        <f>VLOOKUP(B766,'Patner Store'!A$2:A$51,1,0)</f>
        <v>PS0040</v>
      </c>
      <c r="D766" s="29" t="s">
        <v>227</v>
      </c>
      <c r="E766" s="50" t="str">
        <f>VLOOKUP(D766,'Sales Team'!A$2:B$6,1,0)</f>
        <v>ST0003</v>
      </c>
      <c r="F766" s="28">
        <v>44652</v>
      </c>
      <c r="G766" s="29" t="s">
        <v>237</v>
      </c>
      <c r="H766" s="31">
        <v>320470980</v>
      </c>
      <c r="I766" s="17" t="s">
        <v>253</v>
      </c>
    </row>
    <row r="767" spans="1:9" ht="15.75" customHeight="1" x14ac:dyDescent="0.3">
      <c r="A767" s="17" t="s">
        <v>1004</v>
      </c>
      <c r="B767" s="17" t="s">
        <v>128</v>
      </c>
      <c r="C767" s="50" t="str">
        <f>VLOOKUP(B767,'Patner Store'!A$2:A$51,1,0)</f>
        <v>PS0009</v>
      </c>
      <c r="D767" s="29" t="s">
        <v>227</v>
      </c>
      <c r="E767" s="50" t="str">
        <f>VLOOKUP(D767,'Sales Team'!A$2:B$6,1,0)</f>
        <v>ST0003</v>
      </c>
      <c r="F767" s="28">
        <v>44653</v>
      </c>
      <c r="G767" s="29" t="s">
        <v>237</v>
      </c>
      <c r="H767" s="31">
        <v>857989710</v>
      </c>
      <c r="I767" s="17" t="s">
        <v>238</v>
      </c>
    </row>
    <row r="768" spans="1:9" ht="15.75" customHeight="1" x14ac:dyDescent="0.3">
      <c r="A768" s="17" t="s">
        <v>1005</v>
      </c>
      <c r="B768" s="17" t="s">
        <v>181</v>
      </c>
      <c r="C768" s="50" t="str">
        <f>VLOOKUP(B768,'Patner Store'!A$2:A$51,1,0)</f>
        <v>PS0033</v>
      </c>
      <c r="D768" s="29" t="s">
        <v>231</v>
      </c>
      <c r="E768" s="50" t="str">
        <f>VLOOKUP(D768,'Sales Team'!A$2:B$6,1,0)</f>
        <v>ST0005</v>
      </c>
      <c r="F768" s="28">
        <v>44653</v>
      </c>
      <c r="G768" s="29" t="s">
        <v>237</v>
      </c>
      <c r="H768" s="31">
        <v>263184770</v>
      </c>
      <c r="I768" s="17" t="s">
        <v>247</v>
      </c>
    </row>
    <row r="769" spans="1:9" ht="15.75" customHeight="1" x14ac:dyDescent="0.3">
      <c r="A769" s="17" t="s">
        <v>1006</v>
      </c>
      <c r="B769" s="17" t="s">
        <v>144</v>
      </c>
      <c r="C769" s="50" t="str">
        <f>VLOOKUP(B769,'Patner Store'!A$2:A$51,1,0)</f>
        <v>PS0016</v>
      </c>
      <c r="D769" s="29" t="s">
        <v>227</v>
      </c>
      <c r="E769" s="50" t="str">
        <f>VLOOKUP(D769,'Sales Team'!A$2:B$6,1,0)</f>
        <v>ST0003</v>
      </c>
      <c r="F769" s="28">
        <v>44654</v>
      </c>
      <c r="G769" s="17" t="s">
        <v>234</v>
      </c>
      <c r="H769" s="31">
        <v>40503375</v>
      </c>
      <c r="I769" s="17"/>
    </row>
    <row r="770" spans="1:9" ht="15.75" customHeight="1" x14ac:dyDescent="0.3">
      <c r="A770" s="17" t="s">
        <v>1007</v>
      </c>
      <c r="B770" s="17" t="s">
        <v>158</v>
      </c>
      <c r="C770" s="50" t="str">
        <f>VLOOKUP(B770,'Patner Store'!A$2:A$51,1,0)</f>
        <v>PS0022</v>
      </c>
      <c r="D770" s="29" t="s">
        <v>229</v>
      </c>
      <c r="E770" s="50" t="str">
        <f>VLOOKUP(D770,'Sales Team'!A$2:B$6,1,0)</f>
        <v>ST0004</v>
      </c>
      <c r="F770" s="28">
        <v>44654</v>
      </c>
      <c r="G770" s="29" t="s">
        <v>237</v>
      </c>
      <c r="H770" s="31">
        <v>341568010</v>
      </c>
      <c r="I770" s="17"/>
    </row>
    <row r="771" spans="1:9" ht="15.75" customHeight="1" x14ac:dyDescent="0.3">
      <c r="A771" s="17" t="s">
        <v>1008</v>
      </c>
      <c r="B771" s="17" t="s">
        <v>179</v>
      </c>
      <c r="C771" s="50" t="str">
        <f>VLOOKUP(B771,'Patner Store'!A$2:A$51,1,0)</f>
        <v>PS0032</v>
      </c>
      <c r="D771" s="29" t="s">
        <v>229</v>
      </c>
      <c r="E771" s="50" t="str">
        <f>VLOOKUP(D771,'Sales Team'!A$2:B$6,1,0)</f>
        <v>ST0004</v>
      </c>
      <c r="F771" s="28">
        <v>44657</v>
      </c>
      <c r="G771" s="17" t="s">
        <v>234</v>
      </c>
      <c r="H771" s="31">
        <v>206567490</v>
      </c>
      <c r="I771" s="17" t="s">
        <v>260</v>
      </c>
    </row>
    <row r="772" spans="1:9" ht="15.75" customHeight="1" x14ac:dyDescent="0.3">
      <c r="A772" s="17" t="s">
        <v>1009</v>
      </c>
      <c r="B772" s="17" t="s">
        <v>168</v>
      </c>
      <c r="C772" s="50" t="str">
        <f>VLOOKUP(B772,'Patner Store'!A$2:A$51,1,0)</f>
        <v>PS0027</v>
      </c>
      <c r="D772" s="29" t="s">
        <v>229</v>
      </c>
      <c r="E772" s="50" t="str">
        <f>VLOOKUP(D772,'Sales Team'!A$2:B$6,1,0)</f>
        <v>ST0004</v>
      </c>
      <c r="F772" s="28">
        <v>44659</v>
      </c>
      <c r="G772" s="29" t="s">
        <v>237</v>
      </c>
      <c r="H772" s="31">
        <v>278936540</v>
      </c>
      <c r="I772" s="17"/>
    </row>
    <row r="773" spans="1:9" ht="15.75" customHeight="1" x14ac:dyDescent="0.3">
      <c r="A773" s="17" t="s">
        <v>1010</v>
      </c>
      <c r="B773" s="17" t="s">
        <v>156</v>
      </c>
      <c r="C773" s="50" t="str">
        <f>VLOOKUP(B773,'Patner Store'!A$2:A$51,1,0)</f>
        <v>PS0021</v>
      </c>
      <c r="D773" s="29" t="s">
        <v>222</v>
      </c>
      <c r="E773" s="50" t="str">
        <f>VLOOKUP(D773,'Sales Team'!A$2:B$6,1,0)</f>
        <v>ST0001</v>
      </c>
      <c r="F773" s="28">
        <v>44660</v>
      </c>
      <c r="G773" s="17" t="s">
        <v>234</v>
      </c>
      <c r="H773" s="31">
        <v>214075670</v>
      </c>
      <c r="I773" s="17" t="s">
        <v>253</v>
      </c>
    </row>
    <row r="774" spans="1:9" ht="15.75" customHeight="1" x14ac:dyDescent="0.3">
      <c r="A774" s="17" t="s">
        <v>1011</v>
      </c>
      <c r="B774" s="17" t="s">
        <v>137</v>
      </c>
      <c r="C774" s="50" t="str">
        <f>VLOOKUP(B774,'Patner Store'!A$2:A$51,1,0)</f>
        <v>PS0013</v>
      </c>
      <c r="D774" s="29" t="s">
        <v>222</v>
      </c>
      <c r="E774" s="50" t="str">
        <f>VLOOKUP(D774,'Sales Team'!A$2:B$6,1,0)</f>
        <v>ST0001</v>
      </c>
      <c r="F774" s="28">
        <v>44660</v>
      </c>
      <c r="G774" s="29" t="s">
        <v>237</v>
      </c>
      <c r="H774" s="31">
        <v>480975360</v>
      </c>
      <c r="I774" s="17"/>
    </row>
    <row r="775" spans="1:9" ht="15.75" customHeight="1" x14ac:dyDescent="0.3">
      <c r="A775" s="17" t="s">
        <v>1012</v>
      </c>
      <c r="B775" s="17" t="s">
        <v>133</v>
      </c>
      <c r="C775" s="50" t="str">
        <f>VLOOKUP(B775,'Patner Store'!A$2:A$51,1,0)</f>
        <v>PS0011</v>
      </c>
      <c r="D775" s="29" t="s">
        <v>225</v>
      </c>
      <c r="E775" s="50" t="str">
        <f>VLOOKUP(D775,'Sales Team'!A$2:B$6,1,0)</f>
        <v>ST0002</v>
      </c>
      <c r="F775" s="28">
        <v>44660</v>
      </c>
      <c r="G775" s="17" t="s">
        <v>234</v>
      </c>
      <c r="H775" s="31">
        <v>4067700</v>
      </c>
      <c r="I775" s="17" t="s">
        <v>260</v>
      </c>
    </row>
    <row r="776" spans="1:9" ht="15.75" customHeight="1" x14ac:dyDescent="0.3">
      <c r="A776" s="17" t="s">
        <v>1013</v>
      </c>
      <c r="B776" s="17" t="s">
        <v>199</v>
      </c>
      <c r="C776" s="50" t="str">
        <f>VLOOKUP(B776,'Patner Store'!A$2:A$51,1,0)</f>
        <v>PS0042</v>
      </c>
      <c r="D776" s="29" t="s">
        <v>225</v>
      </c>
      <c r="E776" s="50" t="str">
        <f>VLOOKUP(D776,'Sales Team'!A$2:B$6,1,0)</f>
        <v>ST0002</v>
      </c>
      <c r="F776" s="28">
        <v>44660</v>
      </c>
      <c r="G776" s="17" t="s">
        <v>234</v>
      </c>
      <c r="H776" s="31">
        <v>52975464</v>
      </c>
      <c r="I776" s="17"/>
    </row>
    <row r="777" spans="1:9" ht="15.75" customHeight="1" x14ac:dyDescent="0.3">
      <c r="A777" s="17" t="s">
        <v>1014</v>
      </c>
      <c r="B777" s="17" t="s">
        <v>187</v>
      </c>
      <c r="C777" s="50" t="str">
        <f>VLOOKUP(B777,'Patner Store'!A$2:A$51,1,0)</f>
        <v>PS0036</v>
      </c>
      <c r="D777" s="29" t="s">
        <v>231</v>
      </c>
      <c r="E777" s="50" t="str">
        <f>VLOOKUP(D777,'Sales Team'!A$2:B$6,1,0)</f>
        <v>ST0005</v>
      </c>
      <c r="F777" s="28">
        <v>44661</v>
      </c>
      <c r="G777" s="17" t="s">
        <v>234</v>
      </c>
      <c r="H777" s="31">
        <v>101760200</v>
      </c>
      <c r="I777" s="17" t="s">
        <v>253</v>
      </c>
    </row>
    <row r="778" spans="1:9" ht="15.75" customHeight="1" x14ac:dyDescent="0.3">
      <c r="A778" s="17" t="s">
        <v>1015</v>
      </c>
      <c r="B778" s="17" t="s">
        <v>195</v>
      </c>
      <c r="C778" s="50" t="str">
        <f>VLOOKUP(B778,'Patner Store'!A$2:A$51,1,0)</f>
        <v>PS0040</v>
      </c>
      <c r="D778" s="29" t="s">
        <v>227</v>
      </c>
      <c r="E778" s="50" t="str">
        <f>VLOOKUP(D778,'Sales Team'!A$2:B$6,1,0)</f>
        <v>ST0003</v>
      </c>
      <c r="F778" s="28">
        <v>44664</v>
      </c>
      <c r="G778" s="17" t="s">
        <v>234</v>
      </c>
      <c r="H778" s="31">
        <v>33319080</v>
      </c>
      <c r="I778" s="17"/>
    </row>
    <row r="779" spans="1:9" ht="15.75" customHeight="1" x14ac:dyDescent="0.3">
      <c r="A779" s="17" t="s">
        <v>1016</v>
      </c>
      <c r="B779" s="17" t="s">
        <v>205</v>
      </c>
      <c r="C779" s="50" t="str">
        <f>VLOOKUP(B779,'Patner Store'!A$2:A$51,1,0)</f>
        <v>PS0045</v>
      </c>
      <c r="D779" s="29" t="s">
        <v>231</v>
      </c>
      <c r="E779" s="50" t="str">
        <f>VLOOKUP(D779,'Sales Team'!A$2:B$6,1,0)</f>
        <v>ST0005</v>
      </c>
      <c r="F779" s="28">
        <v>44665</v>
      </c>
      <c r="G779" s="29" t="s">
        <v>237</v>
      </c>
      <c r="H779" s="31">
        <v>496499180</v>
      </c>
      <c r="I779" s="17" t="s">
        <v>253</v>
      </c>
    </row>
    <row r="780" spans="1:9" ht="15.75" customHeight="1" x14ac:dyDescent="0.3">
      <c r="A780" s="17" t="s">
        <v>1017</v>
      </c>
      <c r="B780" s="17" t="s">
        <v>209</v>
      </c>
      <c r="C780" s="50" t="str">
        <f>VLOOKUP(B780,'Patner Store'!A$2:A$51,1,0)</f>
        <v>PS0047</v>
      </c>
      <c r="D780" s="29" t="s">
        <v>222</v>
      </c>
      <c r="E780" s="50" t="str">
        <f>VLOOKUP(D780,'Sales Team'!A$2:B$6,1,0)</f>
        <v>ST0001</v>
      </c>
      <c r="F780" s="28">
        <v>44665</v>
      </c>
      <c r="G780" s="29" t="s">
        <v>237</v>
      </c>
      <c r="H780" s="31">
        <v>341243304</v>
      </c>
      <c r="I780" s="17" t="s">
        <v>260</v>
      </c>
    </row>
    <row r="781" spans="1:9" ht="15.75" customHeight="1" x14ac:dyDescent="0.3">
      <c r="A781" s="17" t="s">
        <v>1018</v>
      </c>
      <c r="B781" s="17" t="s">
        <v>213</v>
      </c>
      <c r="C781" s="50" t="str">
        <f>VLOOKUP(B781,'Patner Store'!A$2:A$51,1,0)</f>
        <v>PS0049</v>
      </c>
      <c r="D781" s="29" t="s">
        <v>229</v>
      </c>
      <c r="E781" s="50" t="str">
        <f>VLOOKUP(D781,'Sales Team'!A$2:B$6,1,0)</f>
        <v>ST0004</v>
      </c>
      <c r="F781" s="28">
        <v>44667</v>
      </c>
      <c r="G781" s="17" t="s">
        <v>234</v>
      </c>
      <c r="H781" s="31">
        <v>123083530</v>
      </c>
      <c r="I781" s="17" t="s">
        <v>253</v>
      </c>
    </row>
    <row r="782" spans="1:9" ht="15.75" customHeight="1" x14ac:dyDescent="0.3">
      <c r="A782" s="17" t="s">
        <v>1019</v>
      </c>
      <c r="B782" s="17" t="s">
        <v>189</v>
      </c>
      <c r="C782" s="50" t="str">
        <f>VLOOKUP(B782,'Patner Store'!A$2:A$51,1,0)</f>
        <v>PS0037</v>
      </c>
      <c r="D782" s="29" t="s">
        <v>225</v>
      </c>
      <c r="E782" s="50" t="str">
        <f>VLOOKUP(D782,'Sales Team'!A$2:B$6,1,0)</f>
        <v>ST0002</v>
      </c>
      <c r="F782" s="28">
        <v>44668</v>
      </c>
      <c r="G782" s="17" t="s">
        <v>234</v>
      </c>
      <c r="H782" s="31">
        <v>186378520</v>
      </c>
      <c r="I782" s="17" t="s">
        <v>253</v>
      </c>
    </row>
    <row r="783" spans="1:9" ht="15.75" customHeight="1" x14ac:dyDescent="0.3">
      <c r="A783" s="17" t="s">
        <v>1020</v>
      </c>
      <c r="B783" s="17" t="s">
        <v>201</v>
      </c>
      <c r="C783" s="50" t="str">
        <f>VLOOKUP(B783,'Patner Store'!A$2:A$51,1,0)</f>
        <v>PS0043</v>
      </c>
      <c r="D783" s="29" t="s">
        <v>229</v>
      </c>
      <c r="E783" s="50" t="str">
        <f>VLOOKUP(D783,'Sales Team'!A$2:B$6,1,0)</f>
        <v>ST0004</v>
      </c>
      <c r="F783" s="28">
        <v>44669</v>
      </c>
      <c r="G783" s="29" t="s">
        <v>237</v>
      </c>
      <c r="H783" s="31">
        <v>442525970</v>
      </c>
      <c r="I783" s="17" t="s">
        <v>253</v>
      </c>
    </row>
    <row r="784" spans="1:9" ht="15.75" customHeight="1" x14ac:dyDescent="0.3">
      <c r="A784" s="17" t="s">
        <v>1021</v>
      </c>
      <c r="B784" s="17" t="s">
        <v>187</v>
      </c>
      <c r="C784" s="50" t="str">
        <f>VLOOKUP(B784,'Patner Store'!A$2:A$51,1,0)</f>
        <v>PS0036</v>
      </c>
      <c r="D784" s="29" t="s">
        <v>231</v>
      </c>
      <c r="E784" s="50" t="str">
        <f>VLOOKUP(D784,'Sales Team'!A$2:B$6,1,0)</f>
        <v>ST0005</v>
      </c>
      <c r="F784" s="28">
        <v>44669</v>
      </c>
      <c r="G784" s="29" t="s">
        <v>237</v>
      </c>
      <c r="H784" s="31">
        <v>800907000</v>
      </c>
      <c r="I784" s="17" t="s">
        <v>238</v>
      </c>
    </row>
    <row r="785" spans="1:9" ht="15.75" customHeight="1" x14ac:dyDescent="0.3">
      <c r="A785" s="17" t="s">
        <v>1022</v>
      </c>
      <c r="B785" s="17" t="s">
        <v>183</v>
      </c>
      <c r="C785" s="50" t="str">
        <f>VLOOKUP(B785,'Patner Store'!A$2:A$51,1,0)</f>
        <v>PS0034</v>
      </c>
      <c r="D785" s="29" t="s">
        <v>222</v>
      </c>
      <c r="E785" s="50" t="str">
        <f>VLOOKUP(D785,'Sales Team'!A$2:B$6,1,0)</f>
        <v>ST0001</v>
      </c>
      <c r="F785" s="28">
        <v>44670</v>
      </c>
      <c r="G785" s="29" t="s">
        <v>237</v>
      </c>
      <c r="H785" s="31">
        <v>268215090</v>
      </c>
      <c r="I785" s="17" t="s">
        <v>247</v>
      </c>
    </row>
    <row r="786" spans="1:9" ht="15.75" customHeight="1" x14ac:dyDescent="0.3">
      <c r="A786" s="17" t="s">
        <v>1023</v>
      </c>
      <c r="B786" s="17" t="s">
        <v>166</v>
      </c>
      <c r="C786" s="50" t="str">
        <f>VLOOKUP(B786,'Patner Store'!A$2:A$51,1,0)</f>
        <v>PS0026</v>
      </c>
      <c r="D786" s="29" t="s">
        <v>229</v>
      </c>
      <c r="E786" s="50" t="str">
        <f>VLOOKUP(D786,'Sales Team'!A$2:B$6,1,0)</f>
        <v>ST0004</v>
      </c>
      <c r="F786" s="28">
        <v>44670</v>
      </c>
      <c r="G786" s="17" t="s">
        <v>234</v>
      </c>
      <c r="H786" s="31">
        <v>22040400</v>
      </c>
      <c r="I786" s="17"/>
    </row>
    <row r="787" spans="1:9" ht="15.75" customHeight="1" x14ac:dyDescent="0.3">
      <c r="A787" s="17" t="s">
        <v>1024</v>
      </c>
      <c r="B787" s="17" t="s">
        <v>207</v>
      </c>
      <c r="C787" s="50" t="str">
        <f>VLOOKUP(B787,'Patner Store'!A$2:A$51,1,0)</f>
        <v>PS0046</v>
      </c>
      <c r="D787" s="29" t="s">
        <v>227</v>
      </c>
      <c r="E787" s="50" t="str">
        <f>VLOOKUP(D787,'Sales Team'!A$2:B$6,1,0)</f>
        <v>ST0003</v>
      </c>
      <c r="F787" s="28">
        <v>44670</v>
      </c>
      <c r="G787" s="17" t="s">
        <v>234</v>
      </c>
      <c r="H787" s="31">
        <v>70629600</v>
      </c>
      <c r="I787" s="17"/>
    </row>
    <row r="788" spans="1:9" ht="15.75" customHeight="1" x14ac:dyDescent="0.3">
      <c r="A788" s="17" t="s">
        <v>1025</v>
      </c>
      <c r="B788" s="17" t="s">
        <v>148</v>
      </c>
      <c r="C788" s="50" t="str">
        <f>VLOOKUP(B788,'Patner Store'!A$2:A$51,1,0)</f>
        <v>PS0018</v>
      </c>
      <c r="D788" s="29" t="s">
        <v>225</v>
      </c>
      <c r="E788" s="50" t="str">
        <f>VLOOKUP(D788,'Sales Team'!A$2:B$6,1,0)</f>
        <v>ST0002</v>
      </c>
      <c r="F788" s="28">
        <v>44671</v>
      </c>
      <c r="G788" s="17" t="s">
        <v>234</v>
      </c>
      <c r="H788" s="31">
        <v>128831760</v>
      </c>
      <c r="I788" s="17" t="s">
        <v>260</v>
      </c>
    </row>
    <row r="789" spans="1:9" ht="15.75" customHeight="1" x14ac:dyDescent="0.3">
      <c r="A789" s="17" t="s">
        <v>1026</v>
      </c>
      <c r="B789" s="17" t="s">
        <v>116</v>
      </c>
      <c r="C789" s="50" t="str">
        <f>VLOOKUP(B789,'Patner Store'!A$2:A$51,1,0)</f>
        <v>PS0004</v>
      </c>
      <c r="D789" s="29" t="s">
        <v>222</v>
      </c>
      <c r="E789" s="50" t="str">
        <f>VLOOKUP(D789,'Sales Team'!A$2:B$6,1,0)</f>
        <v>ST0001</v>
      </c>
      <c r="F789" s="28">
        <v>44671</v>
      </c>
      <c r="G789" s="29" t="s">
        <v>237</v>
      </c>
      <c r="H789" s="31">
        <v>301350960</v>
      </c>
      <c r="I789" s="17"/>
    </row>
    <row r="790" spans="1:9" ht="15.75" customHeight="1" x14ac:dyDescent="0.3">
      <c r="A790" s="17" t="s">
        <v>1027</v>
      </c>
      <c r="B790" s="17" t="s">
        <v>195</v>
      </c>
      <c r="C790" s="50" t="str">
        <f>VLOOKUP(B790,'Patner Store'!A$2:A$51,1,0)</f>
        <v>PS0040</v>
      </c>
      <c r="D790" s="29" t="s">
        <v>227</v>
      </c>
      <c r="E790" s="50" t="str">
        <f>VLOOKUP(D790,'Sales Team'!A$2:B$6,1,0)</f>
        <v>ST0003</v>
      </c>
      <c r="F790" s="28">
        <v>44672</v>
      </c>
      <c r="G790" s="29" t="s">
        <v>237</v>
      </c>
      <c r="H790" s="31">
        <v>258997140</v>
      </c>
      <c r="I790" s="17" t="s">
        <v>253</v>
      </c>
    </row>
    <row r="791" spans="1:9" ht="15.75" customHeight="1" x14ac:dyDescent="0.3">
      <c r="A791" s="17" t="s">
        <v>1028</v>
      </c>
      <c r="B791" s="17" t="s">
        <v>197</v>
      </c>
      <c r="C791" s="50" t="str">
        <f>VLOOKUP(B791,'Patner Store'!A$2:A$51,1,0)</f>
        <v>PS0041</v>
      </c>
      <c r="D791" s="29" t="s">
        <v>222</v>
      </c>
      <c r="E791" s="50" t="str">
        <f>VLOOKUP(D791,'Sales Team'!A$2:B$6,1,0)</f>
        <v>ST0001</v>
      </c>
      <c r="F791" s="28">
        <v>44672</v>
      </c>
      <c r="G791" s="29" t="s">
        <v>237</v>
      </c>
      <c r="H791" s="31">
        <v>592721810</v>
      </c>
      <c r="I791" s="17" t="s">
        <v>247</v>
      </c>
    </row>
    <row r="792" spans="1:9" ht="15.75" customHeight="1" x14ac:dyDescent="0.3">
      <c r="A792" s="17" t="s">
        <v>1029</v>
      </c>
      <c r="B792" s="17" t="s">
        <v>133</v>
      </c>
      <c r="C792" s="50" t="str">
        <f>VLOOKUP(B792,'Patner Store'!A$2:A$51,1,0)</f>
        <v>PS0011</v>
      </c>
      <c r="D792" s="29" t="s">
        <v>225</v>
      </c>
      <c r="E792" s="50" t="str">
        <f>VLOOKUP(D792,'Sales Team'!A$2:B$6,1,0)</f>
        <v>ST0002</v>
      </c>
      <c r="F792" s="28">
        <v>44673</v>
      </c>
      <c r="G792" s="29" t="s">
        <v>237</v>
      </c>
      <c r="H792" s="31">
        <v>286241670</v>
      </c>
      <c r="I792" s="17" t="s">
        <v>253</v>
      </c>
    </row>
    <row r="793" spans="1:9" ht="15.75" customHeight="1" x14ac:dyDescent="0.3">
      <c r="A793" s="17" t="s">
        <v>1030</v>
      </c>
      <c r="B793" s="17" t="s">
        <v>144</v>
      </c>
      <c r="C793" s="50" t="str">
        <f>VLOOKUP(B793,'Patner Store'!A$2:A$51,1,0)</f>
        <v>PS0016</v>
      </c>
      <c r="D793" s="29" t="s">
        <v>227</v>
      </c>
      <c r="E793" s="50" t="str">
        <f>VLOOKUP(D793,'Sales Team'!A$2:B$6,1,0)</f>
        <v>ST0003</v>
      </c>
      <c r="F793" s="28">
        <v>44675</v>
      </c>
      <c r="G793" s="29" t="s">
        <v>237</v>
      </c>
      <c r="H793" s="31">
        <v>370721120</v>
      </c>
      <c r="I793" s="17"/>
    </row>
    <row r="794" spans="1:9" ht="15.75" customHeight="1" x14ac:dyDescent="0.3">
      <c r="A794" s="17" t="s">
        <v>1031</v>
      </c>
      <c r="B794" s="17" t="s">
        <v>158</v>
      </c>
      <c r="C794" s="50" t="str">
        <f>VLOOKUP(B794,'Patner Store'!A$2:A$51,1,0)</f>
        <v>PS0022</v>
      </c>
      <c r="D794" s="29" t="s">
        <v>229</v>
      </c>
      <c r="E794" s="50" t="str">
        <f>VLOOKUP(D794,'Sales Team'!A$2:B$6,1,0)</f>
        <v>ST0004</v>
      </c>
      <c r="F794" s="28">
        <v>44675</v>
      </c>
      <c r="G794" s="29" t="s">
        <v>237</v>
      </c>
      <c r="H794" s="31">
        <v>515108770</v>
      </c>
      <c r="I794" s="17" t="s">
        <v>253</v>
      </c>
    </row>
    <row r="795" spans="1:9" ht="15.75" customHeight="1" x14ac:dyDescent="0.3">
      <c r="A795" s="17" t="s">
        <v>1032</v>
      </c>
      <c r="B795" s="17" t="s">
        <v>139</v>
      </c>
      <c r="C795" s="50" t="str">
        <f>VLOOKUP(B795,'Patner Store'!A$2:A$51,1,0)</f>
        <v>PS0014</v>
      </c>
      <c r="D795" s="29" t="s">
        <v>227</v>
      </c>
      <c r="E795" s="50" t="str">
        <f>VLOOKUP(D795,'Sales Team'!A$2:B$6,1,0)</f>
        <v>ST0003</v>
      </c>
      <c r="F795" s="28">
        <v>44677</v>
      </c>
      <c r="G795" s="17" t="s">
        <v>234</v>
      </c>
      <c r="H795" s="31">
        <v>160429550</v>
      </c>
      <c r="I795" s="17" t="s">
        <v>260</v>
      </c>
    </row>
    <row r="796" spans="1:9" ht="15.75" customHeight="1" x14ac:dyDescent="0.3">
      <c r="A796" s="17" t="s">
        <v>1033</v>
      </c>
      <c r="B796" s="17" t="s">
        <v>181</v>
      </c>
      <c r="C796" s="50" t="str">
        <f>VLOOKUP(B796,'Patner Store'!A$2:A$51,1,0)</f>
        <v>PS0033</v>
      </c>
      <c r="D796" s="29" t="s">
        <v>231</v>
      </c>
      <c r="E796" s="50" t="str">
        <f>VLOOKUP(D796,'Sales Team'!A$2:B$6,1,0)</f>
        <v>ST0005</v>
      </c>
      <c r="F796" s="28">
        <v>44677</v>
      </c>
      <c r="G796" s="29" t="s">
        <v>237</v>
      </c>
      <c r="H796" s="31">
        <v>370256470</v>
      </c>
      <c r="I796" s="17" t="s">
        <v>260</v>
      </c>
    </row>
    <row r="797" spans="1:9" ht="15.75" customHeight="1" x14ac:dyDescent="0.3">
      <c r="A797" s="17" t="s">
        <v>1034</v>
      </c>
      <c r="B797" s="17" t="s">
        <v>199</v>
      </c>
      <c r="C797" s="50" t="str">
        <f>VLOOKUP(B797,'Patner Store'!A$2:A$51,1,0)</f>
        <v>PS0042</v>
      </c>
      <c r="D797" s="29" t="s">
        <v>225</v>
      </c>
      <c r="E797" s="50" t="str">
        <f>VLOOKUP(D797,'Sales Team'!A$2:B$6,1,0)</f>
        <v>ST0002</v>
      </c>
      <c r="F797" s="28">
        <v>44678</v>
      </c>
      <c r="G797" s="17" t="s">
        <v>234</v>
      </c>
      <c r="H797" s="31">
        <v>79285080</v>
      </c>
      <c r="I797" s="17" t="s">
        <v>260</v>
      </c>
    </row>
    <row r="798" spans="1:9" ht="15.75" customHeight="1" x14ac:dyDescent="0.3">
      <c r="A798" s="17" t="s">
        <v>1035</v>
      </c>
      <c r="B798" s="17" t="s">
        <v>119</v>
      </c>
      <c r="C798" s="50" t="str">
        <f>VLOOKUP(B798,'Patner Store'!A$2:A$51,1,0)</f>
        <v>PS0005</v>
      </c>
      <c r="D798" s="29" t="s">
        <v>229</v>
      </c>
      <c r="E798" s="50" t="str">
        <f>VLOOKUP(D798,'Sales Team'!A$2:B$6,1,0)</f>
        <v>ST0004</v>
      </c>
      <c r="F798" s="28">
        <v>44678</v>
      </c>
      <c r="G798" s="17" t="s">
        <v>234</v>
      </c>
      <c r="H798" s="31">
        <v>20062914</v>
      </c>
      <c r="I798" s="17"/>
    </row>
    <row r="799" spans="1:9" ht="15.75" customHeight="1" x14ac:dyDescent="0.3">
      <c r="A799" s="17" t="s">
        <v>1036</v>
      </c>
      <c r="B799" s="17" t="s">
        <v>126</v>
      </c>
      <c r="C799" s="50" t="str">
        <f>VLOOKUP(B799,'Patner Store'!A$2:A$51,1,0)</f>
        <v>PS0008</v>
      </c>
      <c r="D799" s="29" t="s">
        <v>229</v>
      </c>
      <c r="E799" s="50" t="str">
        <f>VLOOKUP(D799,'Sales Team'!A$2:B$6,1,0)</f>
        <v>ST0004</v>
      </c>
      <c r="F799" s="28">
        <v>44679</v>
      </c>
      <c r="G799" s="17" t="s">
        <v>234</v>
      </c>
      <c r="H799" s="31">
        <v>60223890</v>
      </c>
      <c r="I799" s="17" t="s">
        <v>260</v>
      </c>
    </row>
    <row r="800" spans="1:9" ht="15.75" customHeight="1" x14ac:dyDescent="0.3">
      <c r="A800" s="17" t="s">
        <v>1037</v>
      </c>
      <c r="B800" s="17" t="s">
        <v>164</v>
      </c>
      <c r="C800" s="50" t="str">
        <f>VLOOKUP(B800,'Patner Store'!A$2:A$51,1,0)</f>
        <v>PS0025</v>
      </c>
      <c r="D800" s="29" t="s">
        <v>227</v>
      </c>
      <c r="E800" s="50" t="str">
        <f>VLOOKUP(D800,'Sales Team'!A$2:B$6,1,0)</f>
        <v>ST0003</v>
      </c>
      <c r="F800" s="28">
        <v>44681</v>
      </c>
      <c r="G800" s="29" t="s">
        <v>237</v>
      </c>
      <c r="H800" s="31">
        <v>264966820</v>
      </c>
      <c r="I800" s="17" t="s">
        <v>247</v>
      </c>
    </row>
    <row r="801" spans="1:9" ht="15.75" customHeight="1" x14ac:dyDescent="0.3">
      <c r="A801" s="17" t="s">
        <v>1038</v>
      </c>
      <c r="B801" s="17" t="s">
        <v>148</v>
      </c>
      <c r="C801" s="50" t="str">
        <f>VLOOKUP(B801,'Patner Store'!A$2:A$51,1,0)</f>
        <v>PS0018</v>
      </c>
      <c r="D801" s="29" t="s">
        <v>225</v>
      </c>
      <c r="E801" s="50" t="str">
        <f>VLOOKUP(D801,'Sales Team'!A$2:B$6,1,0)</f>
        <v>ST0002</v>
      </c>
      <c r="F801" s="28">
        <v>44681</v>
      </c>
      <c r="G801" s="17" t="s">
        <v>234</v>
      </c>
      <c r="H801" s="31">
        <v>82026870</v>
      </c>
      <c r="I801" s="17"/>
    </row>
    <row r="802" spans="1:9" ht="15.75" customHeight="1" x14ac:dyDescent="0.3">
      <c r="A802" s="17" t="s">
        <v>1039</v>
      </c>
      <c r="B802" s="17" t="s">
        <v>197</v>
      </c>
      <c r="C802" s="50" t="str">
        <f>VLOOKUP(B802,'Patner Store'!A$2:A$51,1,0)</f>
        <v>PS0041</v>
      </c>
      <c r="D802" s="29" t="s">
        <v>222</v>
      </c>
      <c r="E802" s="50" t="str">
        <f>VLOOKUP(D802,'Sales Team'!A$2:B$6,1,0)</f>
        <v>ST0001</v>
      </c>
      <c r="F802" s="28">
        <v>44682</v>
      </c>
      <c r="G802" s="29" t="s">
        <v>237</v>
      </c>
      <c r="H802" s="31">
        <v>286109650</v>
      </c>
      <c r="I802" s="17"/>
    </row>
    <row r="803" spans="1:9" ht="15.75" customHeight="1" x14ac:dyDescent="0.3">
      <c r="A803" s="17" t="s">
        <v>1040</v>
      </c>
      <c r="B803" s="17" t="s">
        <v>177</v>
      </c>
      <c r="C803" s="50" t="str">
        <f>VLOOKUP(B803,'Patner Store'!A$2:A$51,1,0)</f>
        <v>PS0031</v>
      </c>
      <c r="D803" s="29" t="s">
        <v>225</v>
      </c>
      <c r="E803" s="50" t="str">
        <f>VLOOKUP(D803,'Sales Team'!A$2:B$6,1,0)</f>
        <v>ST0002</v>
      </c>
      <c r="F803" s="28">
        <v>44683</v>
      </c>
      <c r="G803" s="29" t="s">
        <v>237</v>
      </c>
      <c r="H803" s="31">
        <v>523137470</v>
      </c>
      <c r="I803" s="17" t="s">
        <v>260</v>
      </c>
    </row>
    <row r="804" spans="1:9" ht="15.75" customHeight="1" x14ac:dyDescent="0.3">
      <c r="A804" s="17" t="s">
        <v>1041</v>
      </c>
      <c r="B804" s="17" t="s">
        <v>119</v>
      </c>
      <c r="C804" s="50" t="str">
        <f>VLOOKUP(B804,'Patner Store'!A$2:A$51,1,0)</f>
        <v>PS0005</v>
      </c>
      <c r="D804" s="29" t="s">
        <v>229</v>
      </c>
      <c r="E804" s="50" t="str">
        <f>VLOOKUP(D804,'Sales Team'!A$2:B$6,1,0)</f>
        <v>ST0004</v>
      </c>
      <c r="F804" s="28">
        <v>44684</v>
      </c>
      <c r="G804" s="29" t="s">
        <v>237</v>
      </c>
      <c r="H804" s="31">
        <v>315347876</v>
      </c>
      <c r="I804" s="17"/>
    </row>
    <row r="805" spans="1:9" ht="15.75" customHeight="1" x14ac:dyDescent="0.3">
      <c r="A805" s="17" t="s">
        <v>1042</v>
      </c>
      <c r="B805" s="17" t="s">
        <v>207</v>
      </c>
      <c r="C805" s="50" t="str">
        <f>VLOOKUP(B805,'Patner Store'!A$2:A$51,1,0)</f>
        <v>PS0046</v>
      </c>
      <c r="D805" s="29" t="s">
        <v>227</v>
      </c>
      <c r="E805" s="50" t="str">
        <f>VLOOKUP(D805,'Sales Team'!A$2:B$6,1,0)</f>
        <v>ST0003</v>
      </c>
      <c r="F805" s="28">
        <v>44687</v>
      </c>
      <c r="G805" s="29" t="s">
        <v>237</v>
      </c>
      <c r="H805" s="31">
        <v>831164468</v>
      </c>
      <c r="I805" s="17"/>
    </row>
    <row r="806" spans="1:9" ht="15.75" customHeight="1" x14ac:dyDescent="0.3">
      <c r="A806" s="17" t="s">
        <v>1043</v>
      </c>
      <c r="B806" s="17" t="s">
        <v>201</v>
      </c>
      <c r="C806" s="50" t="str">
        <f>VLOOKUP(B806,'Patner Store'!A$2:A$51,1,0)</f>
        <v>PS0043</v>
      </c>
      <c r="D806" s="29" t="s">
        <v>229</v>
      </c>
      <c r="E806" s="50" t="str">
        <f>VLOOKUP(D806,'Sales Team'!A$2:B$6,1,0)</f>
        <v>ST0004</v>
      </c>
      <c r="F806" s="28">
        <v>44687</v>
      </c>
      <c r="G806" s="29" t="s">
        <v>237</v>
      </c>
      <c r="H806" s="31">
        <v>333265450</v>
      </c>
      <c r="I806" s="17" t="s">
        <v>247</v>
      </c>
    </row>
    <row r="807" spans="1:9" ht="15.75" customHeight="1" x14ac:dyDescent="0.3">
      <c r="A807" s="17" t="s">
        <v>1044</v>
      </c>
      <c r="B807" s="17" t="s">
        <v>193</v>
      </c>
      <c r="C807" s="50" t="str">
        <f>VLOOKUP(B807,'Patner Store'!A$2:A$51,1,0)</f>
        <v>PS0039</v>
      </c>
      <c r="D807" s="29" t="s">
        <v>227</v>
      </c>
      <c r="E807" s="50" t="str">
        <f>VLOOKUP(D807,'Sales Team'!A$2:B$6,1,0)</f>
        <v>ST0003</v>
      </c>
      <c r="F807" s="28">
        <v>44688</v>
      </c>
      <c r="G807" s="29" t="s">
        <v>237</v>
      </c>
      <c r="H807" s="31">
        <v>270974458</v>
      </c>
      <c r="I807" s="17"/>
    </row>
    <row r="808" spans="1:9" ht="15.75" customHeight="1" x14ac:dyDescent="0.3">
      <c r="A808" s="17" t="s">
        <v>1045</v>
      </c>
      <c r="B808" s="17" t="s">
        <v>144</v>
      </c>
      <c r="C808" s="50" t="str">
        <f>VLOOKUP(B808,'Patner Store'!A$2:A$51,1,0)</f>
        <v>PS0016</v>
      </c>
      <c r="D808" s="29" t="s">
        <v>227</v>
      </c>
      <c r="E808" s="50" t="str">
        <f>VLOOKUP(D808,'Sales Team'!A$2:B$6,1,0)</f>
        <v>ST0003</v>
      </c>
      <c r="F808" s="28">
        <v>44688</v>
      </c>
      <c r="G808" s="29" t="s">
        <v>237</v>
      </c>
      <c r="H808" s="31">
        <v>701216380</v>
      </c>
      <c r="I808" s="17" t="s">
        <v>247</v>
      </c>
    </row>
    <row r="809" spans="1:9" ht="15.75" customHeight="1" x14ac:dyDescent="0.3">
      <c r="A809" s="17" t="s">
        <v>1046</v>
      </c>
      <c r="B809" s="17" t="s">
        <v>113</v>
      </c>
      <c r="C809" s="50" t="str">
        <f>VLOOKUP(B809,'Patner Store'!A$2:A$51,1,0)</f>
        <v>PS0003</v>
      </c>
      <c r="D809" s="29" t="s">
        <v>227</v>
      </c>
      <c r="E809" s="50" t="str">
        <f>VLOOKUP(D809,'Sales Team'!A$2:B$6,1,0)</f>
        <v>ST0003</v>
      </c>
      <c r="F809" s="28">
        <v>44690</v>
      </c>
      <c r="G809" s="17" t="s">
        <v>234</v>
      </c>
      <c r="H809" s="31">
        <v>19945330</v>
      </c>
      <c r="I809" s="17"/>
    </row>
    <row r="810" spans="1:9" ht="15.75" customHeight="1" x14ac:dyDescent="0.3">
      <c r="A810" s="17" t="s">
        <v>1047</v>
      </c>
      <c r="B810" s="17" t="s">
        <v>156</v>
      </c>
      <c r="C810" s="50" t="str">
        <f>VLOOKUP(B810,'Patner Store'!A$2:A$51,1,0)</f>
        <v>PS0021</v>
      </c>
      <c r="D810" s="29" t="s">
        <v>222</v>
      </c>
      <c r="E810" s="50" t="str">
        <f>VLOOKUP(D810,'Sales Team'!A$2:B$6,1,0)</f>
        <v>ST0001</v>
      </c>
      <c r="F810" s="28">
        <v>44690</v>
      </c>
      <c r="G810" s="17" t="s">
        <v>234</v>
      </c>
      <c r="H810" s="31">
        <v>184863542</v>
      </c>
      <c r="I810" s="17" t="s">
        <v>247</v>
      </c>
    </row>
    <row r="811" spans="1:9" ht="15.75" customHeight="1" x14ac:dyDescent="0.3">
      <c r="A811" s="17" t="s">
        <v>1048</v>
      </c>
      <c r="B811" s="17" t="s">
        <v>113</v>
      </c>
      <c r="C811" s="50" t="str">
        <f>VLOOKUP(B811,'Patner Store'!A$2:A$51,1,0)</f>
        <v>PS0003</v>
      </c>
      <c r="D811" s="29" t="s">
        <v>227</v>
      </c>
      <c r="E811" s="50" t="str">
        <f>VLOOKUP(D811,'Sales Team'!A$2:B$6,1,0)</f>
        <v>ST0003</v>
      </c>
      <c r="F811" s="28">
        <v>44691</v>
      </c>
      <c r="G811" s="17" t="s">
        <v>234</v>
      </c>
      <c r="H811" s="31">
        <v>131008000</v>
      </c>
      <c r="I811" s="17" t="s">
        <v>247</v>
      </c>
    </row>
    <row r="812" spans="1:9" ht="15.75" customHeight="1" x14ac:dyDescent="0.3">
      <c r="A812" s="17" t="s">
        <v>1049</v>
      </c>
      <c r="B812" s="17" t="s">
        <v>166</v>
      </c>
      <c r="C812" s="50" t="str">
        <f>VLOOKUP(B812,'Patner Store'!A$2:A$51,1,0)</f>
        <v>PS0026</v>
      </c>
      <c r="D812" s="29" t="s">
        <v>229</v>
      </c>
      <c r="E812" s="50" t="str">
        <f>VLOOKUP(D812,'Sales Team'!A$2:B$6,1,0)</f>
        <v>ST0004</v>
      </c>
      <c r="F812" s="28">
        <v>44695</v>
      </c>
      <c r="G812" s="17" t="s">
        <v>234</v>
      </c>
      <c r="H812" s="31">
        <v>47881880</v>
      </c>
      <c r="I812" s="17"/>
    </row>
    <row r="813" spans="1:9" ht="15.75" customHeight="1" x14ac:dyDescent="0.3">
      <c r="A813" s="17" t="s">
        <v>1050</v>
      </c>
      <c r="B813" s="17" t="s">
        <v>154</v>
      </c>
      <c r="C813" s="50" t="str">
        <f>VLOOKUP(B813,'Patner Store'!A$2:A$51,1,0)</f>
        <v>PS0020</v>
      </c>
      <c r="D813" s="29" t="s">
        <v>229</v>
      </c>
      <c r="E813" s="50" t="str">
        <f>VLOOKUP(D813,'Sales Team'!A$2:B$6,1,0)</f>
        <v>ST0004</v>
      </c>
      <c r="F813" s="28">
        <v>44696</v>
      </c>
      <c r="G813" s="29" t="s">
        <v>237</v>
      </c>
      <c r="H813" s="31">
        <v>426916980</v>
      </c>
      <c r="I813" s="17"/>
    </row>
    <row r="814" spans="1:9" ht="15.75" customHeight="1" x14ac:dyDescent="0.3">
      <c r="A814" s="17" t="s">
        <v>1051</v>
      </c>
      <c r="B814" s="17" t="s">
        <v>201</v>
      </c>
      <c r="C814" s="50" t="str">
        <f>VLOOKUP(B814,'Patner Store'!A$2:A$51,1,0)</f>
        <v>PS0043</v>
      </c>
      <c r="D814" s="29" t="s">
        <v>229</v>
      </c>
      <c r="E814" s="50" t="str">
        <f>VLOOKUP(D814,'Sales Team'!A$2:B$6,1,0)</f>
        <v>ST0004</v>
      </c>
      <c r="F814" s="28">
        <v>44697</v>
      </c>
      <c r="G814" s="17" t="s">
        <v>234</v>
      </c>
      <c r="H814" s="31">
        <v>61099140</v>
      </c>
      <c r="I814" s="17" t="s">
        <v>260</v>
      </c>
    </row>
    <row r="815" spans="1:9" ht="15.75" customHeight="1" x14ac:dyDescent="0.3">
      <c r="A815" s="17" t="s">
        <v>1052</v>
      </c>
      <c r="B815" s="17" t="s">
        <v>109</v>
      </c>
      <c r="C815" s="50" t="str">
        <f>VLOOKUP(B815,'Patner Store'!A$2:A$51,1,0)</f>
        <v>PS0002</v>
      </c>
      <c r="D815" s="29" t="s">
        <v>225</v>
      </c>
      <c r="E815" s="50" t="str">
        <f>VLOOKUP(D815,'Sales Team'!A$2:B$6,1,0)</f>
        <v>ST0002</v>
      </c>
      <c r="F815" s="28">
        <v>44697</v>
      </c>
      <c r="G815" s="17" t="s">
        <v>234</v>
      </c>
      <c r="H815" s="31">
        <v>39321090</v>
      </c>
      <c r="I815" s="17"/>
    </row>
    <row r="816" spans="1:9" ht="15.75" customHeight="1" x14ac:dyDescent="0.3">
      <c r="A816" s="17" t="s">
        <v>1053</v>
      </c>
      <c r="B816" s="17" t="s">
        <v>201</v>
      </c>
      <c r="C816" s="50" t="str">
        <f>VLOOKUP(B816,'Patner Store'!A$2:A$51,1,0)</f>
        <v>PS0043</v>
      </c>
      <c r="D816" s="29" t="s">
        <v>229</v>
      </c>
      <c r="E816" s="50" t="str">
        <f>VLOOKUP(D816,'Sales Team'!A$2:B$6,1,0)</f>
        <v>ST0004</v>
      </c>
      <c r="F816" s="28">
        <v>44697</v>
      </c>
      <c r="G816" s="29" t="s">
        <v>237</v>
      </c>
      <c r="H816" s="31">
        <v>649668636</v>
      </c>
      <c r="I816" s="17" t="s">
        <v>247</v>
      </c>
    </row>
    <row r="817" spans="1:9" ht="15.75" customHeight="1" x14ac:dyDescent="0.3">
      <c r="A817" s="17" t="s">
        <v>1054</v>
      </c>
      <c r="B817" s="17" t="s">
        <v>158</v>
      </c>
      <c r="C817" s="50" t="str">
        <f>VLOOKUP(B817,'Patner Store'!A$2:A$51,1,0)</f>
        <v>PS0022</v>
      </c>
      <c r="D817" s="29" t="s">
        <v>229</v>
      </c>
      <c r="E817" s="50" t="str">
        <f>VLOOKUP(D817,'Sales Team'!A$2:B$6,1,0)</f>
        <v>ST0004</v>
      </c>
      <c r="F817" s="28">
        <v>44698</v>
      </c>
      <c r="G817" s="17" t="s">
        <v>234</v>
      </c>
      <c r="H817" s="31">
        <v>2038400</v>
      </c>
      <c r="I817" s="17" t="s">
        <v>253</v>
      </c>
    </row>
    <row r="818" spans="1:9" ht="15.75" customHeight="1" x14ac:dyDescent="0.3">
      <c r="A818" s="17" t="s">
        <v>1055</v>
      </c>
      <c r="B818" s="17" t="s">
        <v>199</v>
      </c>
      <c r="C818" s="50" t="str">
        <f>VLOOKUP(B818,'Patner Store'!A$2:A$51,1,0)</f>
        <v>PS0042</v>
      </c>
      <c r="D818" s="29" t="s">
        <v>225</v>
      </c>
      <c r="E818" s="50" t="str">
        <f>VLOOKUP(D818,'Sales Team'!A$2:B$6,1,0)</f>
        <v>ST0002</v>
      </c>
      <c r="F818" s="28">
        <v>44698</v>
      </c>
      <c r="G818" s="17" t="s">
        <v>234</v>
      </c>
      <c r="H818" s="31">
        <v>22274100</v>
      </c>
      <c r="I818" s="17"/>
    </row>
    <row r="819" spans="1:9" ht="15.75" customHeight="1" x14ac:dyDescent="0.3">
      <c r="A819" s="17" t="s">
        <v>1056</v>
      </c>
      <c r="B819" s="17" t="s">
        <v>173</v>
      </c>
      <c r="C819" s="50" t="str">
        <f>VLOOKUP(B819,'Patner Store'!A$2:A$51,1,0)</f>
        <v>PS0029</v>
      </c>
      <c r="D819" s="29" t="s">
        <v>229</v>
      </c>
      <c r="E819" s="50" t="str">
        <f>VLOOKUP(D819,'Sales Team'!A$2:B$6,1,0)</f>
        <v>ST0004</v>
      </c>
      <c r="F819" s="28">
        <v>44698</v>
      </c>
      <c r="G819" s="17" t="s">
        <v>234</v>
      </c>
      <c r="H819" s="31">
        <v>182050750</v>
      </c>
      <c r="I819" s="17"/>
    </row>
    <row r="820" spans="1:9" ht="15.75" customHeight="1" x14ac:dyDescent="0.3">
      <c r="A820" s="17" t="s">
        <v>1057</v>
      </c>
      <c r="B820" s="17" t="s">
        <v>160</v>
      </c>
      <c r="C820" s="50" t="str">
        <f>VLOOKUP(B820,'Patner Store'!A$2:A$51,1,0)</f>
        <v>PS0023</v>
      </c>
      <c r="D820" s="29" t="s">
        <v>227</v>
      </c>
      <c r="E820" s="50" t="str">
        <f>VLOOKUP(D820,'Sales Team'!A$2:B$6,1,0)</f>
        <v>ST0003</v>
      </c>
      <c r="F820" s="28">
        <v>44699</v>
      </c>
      <c r="G820" s="17" t="s">
        <v>234</v>
      </c>
      <c r="H820" s="31">
        <v>207128880</v>
      </c>
      <c r="I820" s="17" t="s">
        <v>247</v>
      </c>
    </row>
    <row r="821" spans="1:9" ht="15.75" customHeight="1" x14ac:dyDescent="0.3">
      <c r="A821" s="17" t="s">
        <v>1058</v>
      </c>
      <c r="B821" s="17" t="s">
        <v>141</v>
      </c>
      <c r="C821" s="50" t="str">
        <f>VLOOKUP(B821,'Patner Store'!A$2:A$51,1,0)</f>
        <v>PS0015</v>
      </c>
      <c r="D821" s="29" t="s">
        <v>229</v>
      </c>
      <c r="E821" s="50" t="str">
        <f>VLOOKUP(D821,'Sales Team'!A$2:B$6,1,0)</f>
        <v>ST0004</v>
      </c>
      <c r="F821" s="28">
        <v>44699</v>
      </c>
      <c r="G821" s="17" t="s">
        <v>234</v>
      </c>
      <c r="H821" s="31">
        <v>37016390</v>
      </c>
      <c r="I821" s="17"/>
    </row>
    <row r="822" spans="1:9" ht="15.75" customHeight="1" x14ac:dyDescent="0.3">
      <c r="A822" s="17" t="s">
        <v>1059</v>
      </c>
      <c r="B822" s="17" t="s">
        <v>183</v>
      </c>
      <c r="C822" s="50" t="str">
        <f>VLOOKUP(B822,'Patner Store'!A$2:A$51,1,0)</f>
        <v>PS0034</v>
      </c>
      <c r="D822" s="29" t="s">
        <v>222</v>
      </c>
      <c r="E822" s="50" t="str">
        <f>VLOOKUP(D822,'Sales Team'!A$2:B$6,1,0)</f>
        <v>ST0001</v>
      </c>
      <c r="F822" s="28">
        <v>44701</v>
      </c>
      <c r="G822" s="17" t="s">
        <v>234</v>
      </c>
      <c r="H822" s="31">
        <v>228375900</v>
      </c>
      <c r="I822" s="17"/>
    </row>
    <row r="823" spans="1:9" ht="15.75" customHeight="1" x14ac:dyDescent="0.3">
      <c r="A823" s="17" t="s">
        <v>1060</v>
      </c>
      <c r="B823" s="17" t="s">
        <v>158</v>
      </c>
      <c r="C823" s="50" t="str">
        <f>VLOOKUP(B823,'Patner Store'!A$2:A$51,1,0)</f>
        <v>PS0022</v>
      </c>
      <c r="D823" s="29" t="s">
        <v>229</v>
      </c>
      <c r="E823" s="50" t="str">
        <f>VLOOKUP(D823,'Sales Team'!A$2:B$6,1,0)</f>
        <v>ST0004</v>
      </c>
      <c r="F823" s="28">
        <v>44703</v>
      </c>
      <c r="G823" s="17" t="s">
        <v>234</v>
      </c>
      <c r="H823" s="31">
        <v>134080210</v>
      </c>
      <c r="I823" s="17"/>
    </row>
    <row r="824" spans="1:9" ht="15.75" customHeight="1" x14ac:dyDescent="0.3">
      <c r="A824" s="17" t="s">
        <v>1061</v>
      </c>
      <c r="B824" s="17" t="s">
        <v>151</v>
      </c>
      <c r="C824" s="50" t="str">
        <f>VLOOKUP(B824,'Patner Store'!A$2:A$51,1,0)</f>
        <v>PS0019</v>
      </c>
      <c r="D824" s="29" t="s">
        <v>231</v>
      </c>
      <c r="E824" s="50" t="str">
        <f>VLOOKUP(D824,'Sales Team'!A$2:B$6,1,0)</f>
        <v>ST0005</v>
      </c>
      <c r="F824" s="28">
        <v>44705</v>
      </c>
      <c r="G824" s="17" t="s">
        <v>234</v>
      </c>
      <c r="H824" s="31">
        <v>104547230</v>
      </c>
      <c r="I824" s="17"/>
    </row>
    <row r="825" spans="1:9" ht="15.75" customHeight="1" x14ac:dyDescent="0.3">
      <c r="A825" s="17" t="s">
        <v>1062</v>
      </c>
      <c r="B825" s="17" t="s">
        <v>171</v>
      </c>
      <c r="C825" s="50" t="str">
        <f>VLOOKUP(B825,'Patner Store'!A$2:A$51,1,0)</f>
        <v>PS0028</v>
      </c>
      <c r="D825" s="29" t="s">
        <v>231</v>
      </c>
      <c r="E825" s="50" t="str">
        <f>VLOOKUP(D825,'Sales Team'!A$2:B$6,1,0)</f>
        <v>ST0005</v>
      </c>
      <c r="F825" s="28">
        <v>44706</v>
      </c>
      <c r="G825" s="29" t="s">
        <v>237</v>
      </c>
      <c r="H825" s="31">
        <v>1219271050</v>
      </c>
      <c r="I825" s="17" t="s">
        <v>238</v>
      </c>
    </row>
    <row r="826" spans="1:9" ht="15.75" customHeight="1" x14ac:dyDescent="0.3">
      <c r="A826" s="17" t="s">
        <v>1063</v>
      </c>
      <c r="B826" s="17" t="s">
        <v>126</v>
      </c>
      <c r="C826" s="50" t="str">
        <f>VLOOKUP(B826,'Patner Store'!A$2:A$51,1,0)</f>
        <v>PS0008</v>
      </c>
      <c r="D826" s="29" t="s">
        <v>229</v>
      </c>
      <c r="E826" s="50" t="str">
        <f>VLOOKUP(D826,'Sales Team'!A$2:B$6,1,0)</f>
        <v>ST0004</v>
      </c>
      <c r="F826" s="28">
        <v>44706</v>
      </c>
      <c r="G826" s="29" t="s">
        <v>237</v>
      </c>
      <c r="H826" s="31">
        <v>314483090</v>
      </c>
      <c r="I826" s="17" t="s">
        <v>260</v>
      </c>
    </row>
    <row r="827" spans="1:9" ht="15.75" customHeight="1" x14ac:dyDescent="0.3">
      <c r="A827" s="17" t="s">
        <v>1064</v>
      </c>
      <c r="B827" s="17" t="s">
        <v>189</v>
      </c>
      <c r="C827" s="50" t="str">
        <f>VLOOKUP(B827,'Patner Store'!A$2:A$51,1,0)</f>
        <v>PS0037</v>
      </c>
      <c r="D827" s="29" t="s">
        <v>225</v>
      </c>
      <c r="E827" s="50" t="str">
        <f>VLOOKUP(D827,'Sales Team'!A$2:B$6,1,0)</f>
        <v>ST0002</v>
      </c>
      <c r="F827" s="28">
        <v>44707</v>
      </c>
      <c r="G827" s="29" t="s">
        <v>237</v>
      </c>
      <c r="H827" s="31">
        <v>252936120</v>
      </c>
      <c r="I827" s="17"/>
    </row>
    <row r="828" spans="1:9" ht="15.75" customHeight="1" x14ac:dyDescent="0.3">
      <c r="A828" s="17" t="s">
        <v>1065</v>
      </c>
      <c r="B828" s="17" t="s">
        <v>126</v>
      </c>
      <c r="C828" s="50" t="str">
        <f>VLOOKUP(B828,'Patner Store'!A$2:A$51,1,0)</f>
        <v>PS0008</v>
      </c>
      <c r="D828" s="29" t="s">
        <v>229</v>
      </c>
      <c r="E828" s="50" t="str">
        <f>VLOOKUP(D828,'Sales Team'!A$2:B$6,1,0)</f>
        <v>ST0004</v>
      </c>
      <c r="F828" s="28">
        <v>44709</v>
      </c>
      <c r="G828" s="17" t="s">
        <v>234</v>
      </c>
      <c r="H828" s="31">
        <v>20540790</v>
      </c>
      <c r="I828" s="17" t="s">
        <v>260</v>
      </c>
    </row>
    <row r="829" spans="1:9" ht="15.75" customHeight="1" x14ac:dyDescent="0.3">
      <c r="A829" s="17" t="s">
        <v>1066</v>
      </c>
      <c r="B829" s="17" t="s">
        <v>193</v>
      </c>
      <c r="C829" s="50" t="str">
        <f>VLOOKUP(B829,'Patner Store'!A$2:A$51,1,0)</f>
        <v>PS0039</v>
      </c>
      <c r="D829" s="29" t="s">
        <v>227</v>
      </c>
      <c r="E829" s="50" t="str">
        <f>VLOOKUP(D829,'Sales Team'!A$2:B$6,1,0)</f>
        <v>ST0003</v>
      </c>
      <c r="F829" s="28">
        <v>44709</v>
      </c>
      <c r="G829" s="29" t="s">
        <v>237</v>
      </c>
      <c r="H829" s="31">
        <v>299947950</v>
      </c>
      <c r="I829" s="17" t="s">
        <v>247</v>
      </c>
    </row>
    <row r="830" spans="1:9" ht="15.75" customHeight="1" x14ac:dyDescent="0.3">
      <c r="A830" s="17" t="s">
        <v>1067</v>
      </c>
      <c r="B830" s="17" t="s">
        <v>105</v>
      </c>
      <c r="C830" s="50" t="str">
        <f>VLOOKUP(B830,'Patner Store'!A$2:A$51,1,0)</f>
        <v>PS0001</v>
      </c>
      <c r="D830" s="29" t="s">
        <v>231</v>
      </c>
      <c r="E830" s="50" t="str">
        <f>VLOOKUP(D830,'Sales Team'!A$2:B$6,1,0)</f>
        <v>ST0005</v>
      </c>
      <c r="F830" s="28">
        <v>44710</v>
      </c>
      <c r="G830" s="29" t="s">
        <v>237</v>
      </c>
      <c r="H830" s="31">
        <v>271285000</v>
      </c>
      <c r="I830" s="17"/>
    </row>
    <row r="831" spans="1:9" ht="15.75" customHeight="1" x14ac:dyDescent="0.3">
      <c r="A831" s="17" t="s">
        <v>1068</v>
      </c>
      <c r="B831" s="17" t="s">
        <v>105</v>
      </c>
      <c r="C831" s="50" t="str">
        <f>VLOOKUP(B831,'Patner Store'!A$2:A$51,1,0)</f>
        <v>PS0001</v>
      </c>
      <c r="D831" s="29" t="s">
        <v>231</v>
      </c>
      <c r="E831" s="50" t="str">
        <f>VLOOKUP(D831,'Sales Team'!A$2:B$6,1,0)</f>
        <v>ST0005</v>
      </c>
      <c r="F831" s="28">
        <v>44710</v>
      </c>
      <c r="G831" s="29" t="s">
        <v>237</v>
      </c>
      <c r="H831" s="31">
        <v>394363590</v>
      </c>
      <c r="I831" s="17"/>
    </row>
    <row r="832" spans="1:9" ht="15.75" customHeight="1" x14ac:dyDescent="0.3">
      <c r="A832" s="17" t="s">
        <v>1069</v>
      </c>
      <c r="B832" s="17" t="s">
        <v>126</v>
      </c>
      <c r="C832" s="50" t="str">
        <f>VLOOKUP(B832,'Patner Store'!A$2:A$51,1,0)</f>
        <v>PS0008</v>
      </c>
      <c r="D832" s="29" t="s">
        <v>229</v>
      </c>
      <c r="E832" s="50" t="str">
        <f>VLOOKUP(D832,'Sales Team'!A$2:B$6,1,0)</f>
        <v>ST0004</v>
      </c>
      <c r="F832" s="28">
        <v>44711</v>
      </c>
      <c r="G832" s="17" t="s">
        <v>234</v>
      </c>
      <c r="H832" s="31">
        <v>96159000</v>
      </c>
      <c r="I832" s="17"/>
    </row>
    <row r="833" spans="1:9" ht="15.75" customHeight="1" x14ac:dyDescent="0.3">
      <c r="A833" s="17" t="s">
        <v>1070</v>
      </c>
      <c r="B833" s="17" t="s">
        <v>148</v>
      </c>
      <c r="C833" s="50" t="str">
        <f>VLOOKUP(B833,'Patner Store'!A$2:A$51,1,0)</f>
        <v>PS0018</v>
      </c>
      <c r="D833" s="29" t="s">
        <v>225</v>
      </c>
      <c r="E833" s="50" t="str">
        <f>VLOOKUP(D833,'Sales Team'!A$2:B$6,1,0)</f>
        <v>ST0002</v>
      </c>
      <c r="F833" s="28">
        <v>44712</v>
      </c>
      <c r="G833" s="29" t="s">
        <v>237</v>
      </c>
      <c r="H833" s="31">
        <v>382431516</v>
      </c>
      <c r="I833" s="17"/>
    </row>
    <row r="834" spans="1:9" ht="15.75" customHeight="1" x14ac:dyDescent="0.3">
      <c r="A834" s="17" t="s">
        <v>1071</v>
      </c>
      <c r="B834" s="17" t="s">
        <v>151</v>
      </c>
      <c r="C834" s="50" t="str">
        <f>VLOOKUP(B834,'Patner Store'!A$2:A$51,1,0)</f>
        <v>PS0019</v>
      </c>
      <c r="D834" s="29" t="s">
        <v>231</v>
      </c>
      <c r="E834" s="50" t="str">
        <f>VLOOKUP(D834,'Sales Team'!A$2:B$6,1,0)</f>
        <v>ST0005</v>
      </c>
      <c r="F834" s="28">
        <v>44713</v>
      </c>
      <c r="G834" s="29" t="s">
        <v>237</v>
      </c>
      <c r="H834" s="31">
        <v>330846420</v>
      </c>
      <c r="I834" s="17"/>
    </row>
    <row r="835" spans="1:9" ht="15.75" customHeight="1" x14ac:dyDescent="0.3">
      <c r="A835" s="17" t="s">
        <v>1072</v>
      </c>
      <c r="B835" s="17" t="s">
        <v>137</v>
      </c>
      <c r="C835" s="50" t="str">
        <f>VLOOKUP(B835,'Patner Store'!A$2:A$51,1,0)</f>
        <v>PS0013</v>
      </c>
      <c r="D835" s="29" t="s">
        <v>222</v>
      </c>
      <c r="E835" s="50" t="str">
        <f>VLOOKUP(D835,'Sales Team'!A$2:B$6,1,0)</f>
        <v>ST0001</v>
      </c>
      <c r="F835" s="28">
        <v>44715</v>
      </c>
      <c r="G835" s="17" t="s">
        <v>234</v>
      </c>
      <c r="H835" s="31">
        <v>37203140</v>
      </c>
      <c r="I835" s="17" t="s">
        <v>247</v>
      </c>
    </row>
    <row r="836" spans="1:9" ht="15.75" customHeight="1" x14ac:dyDescent="0.3">
      <c r="A836" s="17" t="s">
        <v>1073</v>
      </c>
      <c r="B836" s="17" t="s">
        <v>113</v>
      </c>
      <c r="C836" s="50" t="str">
        <f>VLOOKUP(B836,'Patner Store'!A$2:A$51,1,0)</f>
        <v>PS0003</v>
      </c>
      <c r="D836" s="29" t="s">
        <v>227</v>
      </c>
      <c r="E836" s="50" t="str">
        <f>VLOOKUP(D836,'Sales Team'!A$2:B$6,1,0)</f>
        <v>ST0003</v>
      </c>
      <c r="F836" s="28">
        <v>44717</v>
      </c>
      <c r="G836" s="17" t="s">
        <v>234</v>
      </c>
      <c r="H836" s="31">
        <v>31305840</v>
      </c>
      <c r="I836" s="17" t="s">
        <v>253</v>
      </c>
    </row>
    <row r="837" spans="1:9" ht="15.75" customHeight="1" x14ac:dyDescent="0.3">
      <c r="A837" s="17" t="s">
        <v>1074</v>
      </c>
      <c r="B837" s="17" t="s">
        <v>131</v>
      </c>
      <c r="C837" s="50" t="str">
        <f>VLOOKUP(B837,'Patner Store'!A$2:A$51,1,0)</f>
        <v>PS0010</v>
      </c>
      <c r="D837" s="29" t="s">
        <v>222</v>
      </c>
      <c r="E837" s="50" t="str">
        <f>VLOOKUP(D837,'Sales Team'!A$2:B$6,1,0)</f>
        <v>ST0001</v>
      </c>
      <c r="F837" s="28">
        <v>44718</v>
      </c>
      <c r="G837" s="17" t="s">
        <v>234</v>
      </c>
      <c r="H837" s="31">
        <v>24096750</v>
      </c>
      <c r="I837" s="17"/>
    </row>
    <row r="838" spans="1:9" ht="15.75" customHeight="1" x14ac:dyDescent="0.3">
      <c r="A838" s="17" t="s">
        <v>1075</v>
      </c>
      <c r="B838" s="17" t="s">
        <v>179</v>
      </c>
      <c r="C838" s="50" t="str">
        <f>VLOOKUP(B838,'Patner Store'!A$2:A$51,1,0)</f>
        <v>PS0032</v>
      </c>
      <c r="D838" s="29" t="s">
        <v>229</v>
      </c>
      <c r="E838" s="50" t="str">
        <f>VLOOKUP(D838,'Sales Team'!A$2:B$6,1,0)</f>
        <v>ST0004</v>
      </c>
      <c r="F838" s="28">
        <v>44718</v>
      </c>
      <c r="G838" s="29" t="s">
        <v>237</v>
      </c>
      <c r="H838" s="31">
        <v>410907891</v>
      </c>
      <c r="I838" s="17" t="s">
        <v>260</v>
      </c>
    </row>
    <row r="839" spans="1:9" ht="15.75" customHeight="1" x14ac:dyDescent="0.3">
      <c r="A839" s="17" t="s">
        <v>1076</v>
      </c>
      <c r="B839" s="17" t="s">
        <v>164</v>
      </c>
      <c r="C839" s="50" t="str">
        <f>VLOOKUP(B839,'Patner Store'!A$2:A$51,1,0)</f>
        <v>PS0025</v>
      </c>
      <c r="D839" s="29" t="s">
        <v>227</v>
      </c>
      <c r="E839" s="50" t="str">
        <f>VLOOKUP(D839,'Sales Team'!A$2:B$6,1,0)</f>
        <v>ST0003</v>
      </c>
      <c r="F839" s="28">
        <v>44719</v>
      </c>
      <c r="G839" s="17" t="s">
        <v>234</v>
      </c>
      <c r="H839" s="31">
        <v>30551880</v>
      </c>
      <c r="I839" s="17"/>
    </row>
    <row r="840" spans="1:9" ht="15.75" customHeight="1" x14ac:dyDescent="0.3">
      <c r="A840" s="17" t="s">
        <v>1077</v>
      </c>
      <c r="B840" s="17" t="s">
        <v>109</v>
      </c>
      <c r="C840" s="50" t="str">
        <f>VLOOKUP(B840,'Patner Store'!A$2:A$51,1,0)</f>
        <v>PS0002</v>
      </c>
      <c r="D840" s="29" t="s">
        <v>225</v>
      </c>
      <c r="E840" s="50" t="str">
        <f>VLOOKUP(D840,'Sales Team'!A$2:B$6,1,0)</f>
        <v>ST0002</v>
      </c>
      <c r="F840" s="28">
        <v>44720</v>
      </c>
      <c r="G840" s="17" t="s">
        <v>234</v>
      </c>
      <c r="H840" s="31">
        <v>19714200</v>
      </c>
      <c r="I840" s="17"/>
    </row>
    <row r="841" spans="1:9" ht="15.75" customHeight="1" x14ac:dyDescent="0.3">
      <c r="A841" s="17" t="s">
        <v>1078</v>
      </c>
      <c r="B841" s="17" t="s">
        <v>122</v>
      </c>
      <c r="C841" s="50" t="str">
        <f>VLOOKUP(B841,'Patner Store'!A$2:A$51,1,0)</f>
        <v>PS0006</v>
      </c>
      <c r="D841" s="29" t="s">
        <v>227</v>
      </c>
      <c r="E841" s="50" t="str">
        <f>VLOOKUP(D841,'Sales Team'!A$2:B$6,1,0)</f>
        <v>ST0003</v>
      </c>
      <c r="F841" s="28">
        <v>44721</v>
      </c>
      <c r="G841" s="17" t="s">
        <v>234</v>
      </c>
      <c r="H841" s="31">
        <v>74152610</v>
      </c>
      <c r="I841" s="17"/>
    </row>
    <row r="842" spans="1:9" ht="15.75" customHeight="1" x14ac:dyDescent="0.3">
      <c r="A842" s="17" t="s">
        <v>1079</v>
      </c>
      <c r="B842" s="17" t="s">
        <v>162</v>
      </c>
      <c r="C842" s="50" t="str">
        <f>VLOOKUP(B842,'Patner Store'!A$2:A$51,1,0)</f>
        <v>PS0024</v>
      </c>
      <c r="D842" s="29" t="s">
        <v>222</v>
      </c>
      <c r="E842" s="50" t="str">
        <f>VLOOKUP(D842,'Sales Team'!A$2:B$6,1,0)</f>
        <v>ST0001</v>
      </c>
      <c r="F842" s="28">
        <v>44722</v>
      </c>
      <c r="G842" s="29" t="s">
        <v>237</v>
      </c>
      <c r="H842" s="31">
        <v>384861750</v>
      </c>
      <c r="I842" s="17"/>
    </row>
    <row r="843" spans="1:9" ht="15.75" customHeight="1" x14ac:dyDescent="0.3">
      <c r="A843" s="17" t="s">
        <v>1080</v>
      </c>
      <c r="B843" s="17" t="s">
        <v>211</v>
      </c>
      <c r="C843" s="50" t="str">
        <f>VLOOKUP(B843,'Patner Store'!A$2:A$51,1,0)</f>
        <v>PS0048</v>
      </c>
      <c r="D843" s="29" t="s">
        <v>227</v>
      </c>
      <c r="E843" s="50" t="str">
        <f>VLOOKUP(D843,'Sales Team'!A$2:B$6,1,0)</f>
        <v>ST0003</v>
      </c>
      <c r="F843" s="28">
        <v>44722</v>
      </c>
      <c r="G843" s="17" t="s">
        <v>234</v>
      </c>
      <c r="H843" s="31">
        <v>31275570</v>
      </c>
      <c r="I843" s="17" t="s">
        <v>247</v>
      </c>
    </row>
    <row r="844" spans="1:9" ht="15.75" customHeight="1" x14ac:dyDescent="0.3">
      <c r="A844" s="17" t="s">
        <v>1081</v>
      </c>
      <c r="B844" s="17" t="s">
        <v>151</v>
      </c>
      <c r="C844" s="50" t="str">
        <f>VLOOKUP(B844,'Patner Store'!A$2:A$51,1,0)</f>
        <v>PS0019</v>
      </c>
      <c r="D844" s="29" t="s">
        <v>231</v>
      </c>
      <c r="E844" s="50" t="str">
        <f>VLOOKUP(D844,'Sales Team'!A$2:B$6,1,0)</f>
        <v>ST0005</v>
      </c>
      <c r="F844" s="28">
        <v>44722</v>
      </c>
      <c r="G844" s="17" t="s">
        <v>234</v>
      </c>
      <c r="H844" s="31">
        <v>64172210</v>
      </c>
      <c r="I844" s="17"/>
    </row>
    <row r="845" spans="1:9" ht="15.75" customHeight="1" x14ac:dyDescent="0.3">
      <c r="A845" s="17" t="s">
        <v>1082</v>
      </c>
      <c r="B845" s="17" t="s">
        <v>173</v>
      </c>
      <c r="C845" s="50" t="str">
        <f>VLOOKUP(B845,'Patner Store'!A$2:A$51,1,0)</f>
        <v>PS0029</v>
      </c>
      <c r="D845" s="29" t="s">
        <v>229</v>
      </c>
      <c r="E845" s="50" t="str">
        <f>VLOOKUP(D845,'Sales Team'!A$2:B$6,1,0)</f>
        <v>ST0004</v>
      </c>
      <c r="F845" s="28">
        <v>44725</v>
      </c>
      <c r="G845" s="17" t="s">
        <v>234</v>
      </c>
      <c r="H845" s="31">
        <v>123644300</v>
      </c>
      <c r="I845" s="17"/>
    </row>
    <row r="846" spans="1:9" ht="15.75" customHeight="1" x14ac:dyDescent="0.3">
      <c r="A846" s="17" t="s">
        <v>1083</v>
      </c>
      <c r="B846" s="17" t="s">
        <v>171</v>
      </c>
      <c r="C846" s="50" t="str">
        <f>VLOOKUP(B846,'Patner Store'!A$2:A$51,1,0)</f>
        <v>PS0028</v>
      </c>
      <c r="D846" s="29" t="s">
        <v>231</v>
      </c>
      <c r="E846" s="50" t="str">
        <f>VLOOKUP(D846,'Sales Team'!A$2:B$6,1,0)</f>
        <v>ST0005</v>
      </c>
      <c r="F846" s="28">
        <v>44725</v>
      </c>
      <c r="G846" s="29" t="s">
        <v>237</v>
      </c>
      <c r="H846" s="31">
        <v>622771691</v>
      </c>
      <c r="I846" s="17" t="s">
        <v>260</v>
      </c>
    </row>
    <row r="847" spans="1:9" ht="15.75" customHeight="1" x14ac:dyDescent="0.3">
      <c r="A847" s="17" t="s">
        <v>1084</v>
      </c>
      <c r="B847" s="17" t="s">
        <v>187</v>
      </c>
      <c r="C847" s="50" t="str">
        <f>VLOOKUP(B847,'Patner Store'!A$2:A$51,1,0)</f>
        <v>PS0036</v>
      </c>
      <c r="D847" s="29" t="s">
        <v>231</v>
      </c>
      <c r="E847" s="50" t="str">
        <f>VLOOKUP(D847,'Sales Team'!A$2:B$6,1,0)</f>
        <v>ST0005</v>
      </c>
      <c r="F847" s="28">
        <v>44725</v>
      </c>
      <c r="G847" s="29" t="s">
        <v>237</v>
      </c>
      <c r="H847" s="31">
        <v>595558220</v>
      </c>
      <c r="I847" s="17"/>
    </row>
    <row r="848" spans="1:9" ht="15.75" customHeight="1" x14ac:dyDescent="0.3">
      <c r="A848" s="17" t="s">
        <v>1085</v>
      </c>
      <c r="B848" s="17" t="s">
        <v>144</v>
      </c>
      <c r="C848" s="50" t="str">
        <f>VLOOKUP(B848,'Patner Store'!A$2:A$51,1,0)</f>
        <v>PS0016</v>
      </c>
      <c r="D848" s="29" t="s">
        <v>227</v>
      </c>
      <c r="E848" s="50" t="str">
        <f>VLOOKUP(D848,'Sales Team'!A$2:B$6,1,0)</f>
        <v>ST0003</v>
      </c>
      <c r="F848" s="28">
        <v>44726</v>
      </c>
      <c r="G848" s="29" t="s">
        <v>237</v>
      </c>
      <c r="H848" s="31">
        <v>375501950</v>
      </c>
      <c r="I848" s="17"/>
    </row>
    <row r="849" spans="1:9" ht="15.75" customHeight="1" x14ac:dyDescent="0.3">
      <c r="A849" s="17" t="s">
        <v>1086</v>
      </c>
      <c r="B849" s="17" t="s">
        <v>197</v>
      </c>
      <c r="C849" s="50" t="str">
        <f>VLOOKUP(B849,'Patner Store'!A$2:A$51,1,0)</f>
        <v>PS0041</v>
      </c>
      <c r="D849" s="29" t="s">
        <v>222</v>
      </c>
      <c r="E849" s="50" t="str">
        <f>VLOOKUP(D849,'Sales Team'!A$2:B$6,1,0)</f>
        <v>ST0001</v>
      </c>
      <c r="F849" s="28">
        <v>44729</v>
      </c>
      <c r="G849" s="17" t="s">
        <v>234</v>
      </c>
      <c r="H849" s="31">
        <v>39943476</v>
      </c>
      <c r="I849" s="17"/>
    </row>
    <row r="850" spans="1:9" ht="15.75" customHeight="1" x14ac:dyDescent="0.3">
      <c r="A850" s="17" t="s">
        <v>1087</v>
      </c>
      <c r="B850" s="17" t="s">
        <v>189</v>
      </c>
      <c r="C850" s="50" t="str">
        <f>VLOOKUP(B850,'Patner Store'!A$2:A$51,1,0)</f>
        <v>PS0037</v>
      </c>
      <c r="D850" s="29" t="s">
        <v>225</v>
      </c>
      <c r="E850" s="50" t="str">
        <f>VLOOKUP(D850,'Sales Team'!A$2:B$6,1,0)</f>
        <v>ST0002</v>
      </c>
      <c r="F850" s="28">
        <v>44729</v>
      </c>
      <c r="G850" s="17" t="s">
        <v>234</v>
      </c>
      <c r="H850" s="31">
        <v>27690410</v>
      </c>
      <c r="I850" s="17"/>
    </row>
    <row r="851" spans="1:9" ht="15.75" customHeight="1" x14ac:dyDescent="0.3">
      <c r="A851" s="17" t="s">
        <v>1088</v>
      </c>
      <c r="B851" s="17" t="s">
        <v>189</v>
      </c>
      <c r="C851" s="50" t="str">
        <f>VLOOKUP(B851,'Patner Store'!A$2:A$51,1,0)</f>
        <v>PS0037</v>
      </c>
      <c r="D851" s="29" t="s">
        <v>225</v>
      </c>
      <c r="E851" s="50" t="str">
        <f>VLOOKUP(D851,'Sales Team'!A$2:B$6,1,0)</f>
        <v>ST0002</v>
      </c>
      <c r="F851" s="28">
        <v>44731</v>
      </c>
      <c r="G851" s="29" t="s">
        <v>237</v>
      </c>
      <c r="H851" s="31">
        <v>256555992</v>
      </c>
      <c r="I851" s="17" t="s">
        <v>260</v>
      </c>
    </row>
    <row r="852" spans="1:9" ht="15.75" customHeight="1" x14ac:dyDescent="0.3">
      <c r="A852" s="17" t="s">
        <v>1089</v>
      </c>
      <c r="B852" s="17" t="s">
        <v>168</v>
      </c>
      <c r="C852" s="50" t="str">
        <f>VLOOKUP(B852,'Patner Store'!A$2:A$51,1,0)</f>
        <v>PS0027</v>
      </c>
      <c r="D852" s="29" t="s">
        <v>229</v>
      </c>
      <c r="E852" s="50" t="str">
        <f>VLOOKUP(D852,'Sales Team'!A$2:B$6,1,0)</f>
        <v>ST0004</v>
      </c>
      <c r="F852" s="28">
        <v>44735</v>
      </c>
      <c r="G852" s="29" t="s">
        <v>237</v>
      </c>
      <c r="H852" s="31">
        <v>627670860</v>
      </c>
      <c r="I852" s="17"/>
    </row>
    <row r="853" spans="1:9" ht="15.75" customHeight="1" x14ac:dyDescent="0.3">
      <c r="A853" s="17" t="s">
        <v>1090</v>
      </c>
      <c r="B853" s="17" t="s">
        <v>181</v>
      </c>
      <c r="C853" s="50" t="str">
        <f>VLOOKUP(B853,'Patner Store'!A$2:A$51,1,0)</f>
        <v>PS0033</v>
      </c>
      <c r="D853" s="29" t="s">
        <v>231</v>
      </c>
      <c r="E853" s="50" t="str">
        <f>VLOOKUP(D853,'Sales Team'!A$2:B$6,1,0)</f>
        <v>ST0005</v>
      </c>
      <c r="F853" s="28">
        <v>44735</v>
      </c>
      <c r="G853" s="17" t="s">
        <v>234</v>
      </c>
      <c r="H853" s="31">
        <v>124551810</v>
      </c>
      <c r="I853" s="17" t="s">
        <v>253</v>
      </c>
    </row>
    <row r="854" spans="1:9" ht="15.75" customHeight="1" x14ac:dyDescent="0.3">
      <c r="A854" s="17" t="s">
        <v>1091</v>
      </c>
      <c r="B854" s="17" t="s">
        <v>207</v>
      </c>
      <c r="C854" s="50" t="str">
        <f>VLOOKUP(B854,'Patner Store'!A$2:A$51,1,0)</f>
        <v>PS0046</v>
      </c>
      <c r="D854" s="29" t="s">
        <v>227</v>
      </c>
      <c r="E854" s="50" t="str">
        <f>VLOOKUP(D854,'Sales Team'!A$2:B$6,1,0)</f>
        <v>ST0003</v>
      </c>
      <c r="F854" s="28">
        <v>44737</v>
      </c>
      <c r="G854" s="29" t="s">
        <v>237</v>
      </c>
      <c r="H854" s="31">
        <v>321632000</v>
      </c>
      <c r="I854" s="17"/>
    </row>
    <row r="855" spans="1:9" ht="15.75" customHeight="1" x14ac:dyDescent="0.3">
      <c r="A855" s="17" t="s">
        <v>1092</v>
      </c>
      <c r="B855" s="17" t="s">
        <v>116</v>
      </c>
      <c r="C855" s="50" t="str">
        <f>VLOOKUP(B855,'Patner Store'!A$2:A$51,1,0)</f>
        <v>PS0004</v>
      </c>
      <c r="D855" s="29" t="s">
        <v>222</v>
      </c>
      <c r="E855" s="50" t="str">
        <f>VLOOKUP(D855,'Sales Team'!A$2:B$6,1,0)</f>
        <v>ST0001</v>
      </c>
      <c r="F855" s="28">
        <v>44738</v>
      </c>
      <c r="G855" s="29" t="s">
        <v>237</v>
      </c>
      <c r="H855" s="31">
        <v>282151729</v>
      </c>
      <c r="I855" s="17"/>
    </row>
    <row r="856" spans="1:9" ht="15.75" customHeight="1" x14ac:dyDescent="0.3">
      <c r="A856" s="17" t="s">
        <v>1093</v>
      </c>
      <c r="B856" s="17" t="s">
        <v>128</v>
      </c>
      <c r="C856" s="50" t="str">
        <f>VLOOKUP(B856,'Patner Store'!A$2:A$51,1,0)</f>
        <v>PS0009</v>
      </c>
      <c r="D856" s="29" t="s">
        <v>227</v>
      </c>
      <c r="E856" s="50" t="str">
        <f>VLOOKUP(D856,'Sales Team'!A$2:B$6,1,0)</f>
        <v>ST0003</v>
      </c>
      <c r="F856" s="28">
        <v>44738</v>
      </c>
      <c r="G856" s="29" t="s">
        <v>237</v>
      </c>
      <c r="H856" s="31">
        <v>657995895</v>
      </c>
      <c r="I856" s="17"/>
    </row>
    <row r="857" spans="1:9" ht="15.75" customHeight="1" x14ac:dyDescent="0.3">
      <c r="A857" s="17" t="s">
        <v>1094</v>
      </c>
      <c r="B857" s="17" t="s">
        <v>209</v>
      </c>
      <c r="C857" s="50" t="str">
        <f>VLOOKUP(B857,'Patner Store'!A$2:A$51,1,0)</f>
        <v>PS0047</v>
      </c>
      <c r="D857" s="29" t="s">
        <v>222</v>
      </c>
      <c r="E857" s="50" t="str">
        <f>VLOOKUP(D857,'Sales Team'!A$2:B$6,1,0)</f>
        <v>ST0001</v>
      </c>
      <c r="F857" s="28">
        <v>44738</v>
      </c>
      <c r="G857" s="17" t="s">
        <v>234</v>
      </c>
      <c r="H857" s="31">
        <v>132858650</v>
      </c>
      <c r="I857" s="17"/>
    </row>
    <row r="858" spans="1:9" ht="15.75" customHeight="1" x14ac:dyDescent="0.3">
      <c r="A858" s="17" t="s">
        <v>1095</v>
      </c>
      <c r="B858" s="17" t="s">
        <v>105</v>
      </c>
      <c r="C858" s="50" t="str">
        <f>VLOOKUP(B858,'Patner Store'!A$2:A$51,1,0)</f>
        <v>PS0001</v>
      </c>
      <c r="D858" s="29" t="s">
        <v>231</v>
      </c>
      <c r="E858" s="50" t="str">
        <f>VLOOKUP(D858,'Sales Team'!A$2:B$6,1,0)</f>
        <v>ST0005</v>
      </c>
      <c r="F858" s="28">
        <v>44739</v>
      </c>
      <c r="G858" s="29" t="s">
        <v>237</v>
      </c>
      <c r="H858" s="31">
        <v>490650930</v>
      </c>
      <c r="I858" s="17" t="s">
        <v>260</v>
      </c>
    </row>
    <row r="859" spans="1:9" ht="15.75" customHeight="1" x14ac:dyDescent="0.3">
      <c r="A859" s="17" t="s">
        <v>1096</v>
      </c>
      <c r="B859" s="17" t="s">
        <v>187</v>
      </c>
      <c r="C859" s="50" t="str">
        <f>VLOOKUP(B859,'Patner Store'!A$2:A$51,1,0)</f>
        <v>PS0036</v>
      </c>
      <c r="D859" s="29" t="s">
        <v>231</v>
      </c>
      <c r="E859" s="50" t="str">
        <f>VLOOKUP(D859,'Sales Team'!A$2:B$6,1,0)</f>
        <v>ST0005</v>
      </c>
      <c r="F859" s="28">
        <v>44741</v>
      </c>
      <c r="G859" s="29" t="s">
        <v>237</v>
      </c>
      <c r="H859" s="31">
        <v>519221070</v>
      </c>
      <c r="I859" s="17" t="s">
        <v>253</v>
      </c>
    </row>
    <row r="860" spans="1:9" ht="15.75" customHeight="1" x14ac:dyDescent="0.3">
      <c r="A860" s="17" t="s">
        <v>1097</v>
      </c>
      <c r="B860" s="17" t="s">
        <v>205</v>
      </c>
      <c r="C860" s="50" t="str">
        <f>VLOOKUP(B860,'Patner Store'!A$2:A$51,1,0)</f>
        <v>PS0045</v>
      </c>
      <c r="D860" s="29" t="s">
        <v>231</v>
      </c>
      <c r="E860" s="50" t="str">
        <f>VLOOKUP(D860,'Sales Team'!A$2:B$6,1,0)</f>
        <v>ST0005</v>
      </c>
      <c r="F860" s="28">
        <v>44741</v>
      </c>
      <c r="G860" s="17" t="s">
        <v>234</v>
      </c>
      <c r="H860" s="31">
        <v>18814690</v>
      </c>
      <c r="I860" s="17"/>
    </row>
    <row r="861" spans="1:9" ht="15.75" customHeight="1" x14ac:dyDescent="0.3">
      <c r="A861" s="17" t="s">
        <v>1098</v>
      </c>
      <c r="B861" s="17" t="s">
        <v>191</v>
      </c>
      <c r="C861" s="50" t="str">
        <f>VLOOKUP(B861,'Patner Store'!A$2:A$51,1,0)</f>
        <v>PS0038</v>
      </c>
      <c r="D861" s="29" t="s">
        <v>229</v>
      </c>
      <c r="E861" s="50" t="str">
        <f>VLOOKUP(D861,'Sales Team'!A$2:B$6,1,0)</f>
        <v>ST0004</v>
      </c>
      <c r="F861" s="28">
        <v>44742</v>
      </c>
      <c r="G861" s="17" t="s">
        <v>234</v>
      </c>
      <c r="H861" s="31">
        <v>38280400</v>
      </c>
      <c r="I861" s="17"/>
    </row>
    <row r="862" spans="1:9" ht="15.75" customHeight="1" x14ac:dyDescent="0.3">
      <c r="A862" s="17" t="s">
        <v>1099</v>
      </c>
      <c r="B862" s="17" t="s">
        <v>193</v>
      </c>
      <c r="C862" s="50" t="str">
        <f>VLOOKUP(B862,'Patner Store'!A$2:A$51,1,0)</f>
        <v>PS0039</v>
      </c>
      <c r="D862" s="29" t="s">
        <v>227</v>
      </c>
      <c r="E862" s="50" t="str">
        <f>VLOOKUP(D862,'Sales Team'!A$2:B$6,1,0)</f>
        <v>ST0003</v>
      </c>
      <c r="F862" s="28">
        <v>44744</v>
      </c>
      <c r="G862" s="17" t="s">
        <v>234</v>
      </c>
      <c r="H862" s="31">
        <v>77747840</v>
      </c>
      <c r="I862" s="17" t="s">
        <v>260</v>
      </c>
    </row>
    <row r="863" spans="1:9" ht="15.75" customHeight="1" x14ac:dyDescent="0.3">
      <c r="A863" s="17" t="s">
        <v>1100</v>
      </c>
      <c r="B863" s="17" t="s">
        <v>193</v>
      </c>
      <c r="C863" s="50" t="str">
        <f>VLOOKUP(B863,'Patner Store'!A$2:A$51,1,0)</f>
        <v>PS0039</v>
      </c>
      <c r="D863" s="29" t="s">
        <v>227</v>
      </c>
      <c r="E863" s="50" t="str">
        <f>VLOOKUP(D863,'Sales Team'!A$2:B$6,1,0)</f>
        <v>ST0003</v>
      </c>
      <c r="F863" s="28">
        <v>44744</v>
      </c>
      <c r="G863" s="17" t="s">
        <v>234</v>
      </c>
      <c r="H863" s="31">
        <v>132311500</v>
      </c>
      <c r="I863" s="17"/>
    </row>
    <row r="864" spans="1:9" ht="15.75" customHeight="1" x14ac:dyDescent="0.3">
      <c r="A864" s="17" t="s">
        <v>1101</v>
      </c>
      <c r="B864" s="17" t="s">
        <v>113</v>
      </c>
      <c r="C864" s="50" t="str">
        <f>VLOOKUP(B864,'Patner Store'!A$2:A$51,1,0)</f>
        <v>PS0003</v>
      </c>
      <c r="D864" s="29" t="s">
        <v>227</v>
      </c>
      <c r="E864" s="50" t="str">
        <f>VLOOKUP(D864,'Sales Team'!A$2:B$6,1,0)</f>
        <v>ST0003</v>
      </c>
      <c r="F864" s="28">
        <v>44747</v>
      </c>
      <c r="G864" s="17" t="s">
        <v>234</v>
      </c>
      <c r="H864" s="31">
        <v>36029700</v>
      </c>
      <c r="I864" s="17"/>
    </row>
    <row r="865" spans="1:9" ht="15.75" customHeight="1" x14ac:dyDescent="0.3">
      <c r="A865" s="17" t="s">
        <v>1102</v>
      </c>
      <c r="B865" s="17" t="s">
        <v>154</v>
      </c>
      <c r="C865" s="50" t="str">
        <f>VLOOKUP(B865,'Patner Store'!A$2:A$51,1,0)</f>
        <v>PS0020</v>
      </c>
      <c r="D865" s="29" t="s">
        <v>229</v>
      </c>
      <c r="E865" s="50" t="str">
        <f>VLOOKUP(D865,'Sales Team'!A$2:B$6,1,0)</f>
        <v>ST0004</v>
      </c>
      <c r="F865" s="28">
        <v>44748</v>
      </c>
      <c r="G865" s="17" t="s">
        <v>234</v>
      </c>
      <c r="H865" s="31">
        <v>113856440</v>
      </c>
      <c r="I865" s="17"/>
    </row>
    <row r="866" spans="1:9" ht="15.75" customHeight="1" x14ac:dyDescent="0.3">
      <c r="A866" s="17" t="s">
        <v>1103</v>
      </c>
      <c r="B866" s="17" t="s">
        <v>181</v>
      </c>
      <c r="C866" s="50" t="str">
        <f>VLOOKUP(B866,'Patner Store'!A$2:A$51,1,0)</f>
        <v>PS0033</v>
      </c>
      <c r="D866" s="29" t="s">
        <v>231</v>
      </c>
      <c r="E866" s="50" t="str">
        <f>VLOOKUP(D866,'Sales Team'!A$2:B$6,1,0)</f>
        <v>ST0005</v>
      </c>
      <c r="F866" s="28">
        <v>44749</v>
      </c>
      <c r="G866" s="17" t="s">
        <v>234</v>
      </c>
      <c r="H866" s="31">
        <v>74779980</v>
      </c>
      <c r="I866" s="17"/>
    </row>
    <row r="867" spans="1:9" ht="15.75" customHeight="1" x14ac:dyDescent="0.3">
      <c r="A867" s="17" t="s">
        <v>1104</v>
      </c>
      <c r="B867" s="17" t="s">
        <v>162</v>
      </c>
      <c r="C867" s="50" t="str">
        <f>VLOOKUP(B867,'Patner Store'!A$2:A$51,1,0)</f>
        <v>PS0024</v>
      </c>
      <c r="D867" s="29" t="s">
        <v>222</v>
      </c>
      <c r="E867" s="50" t="str">
        <f>VLOOKUP(D867,'Sales Team'!A$2:B$6,1,0)</f>
        <v>ST0001</v>
      </c>
      <c r="F867" s="28">
        <v>44750</v>
      </c>
      <c r="G867" s="29" t="s">
        <v>237</v>
      </c>
      <c r="H867" s="31">
        <v>320608120</v>
      </c>
      <c r="I867" s="17" t="s">
        <v>247</v>
      </c>
    </row>
    <row r="868" spans="1:9" ht="15.75" customHeight="1" x14ac:dyDescent="0.3">
      <c r="A868" s="17" t="s">
        <v>1105</v>
      </c>
      <c r="B868" s="17" t="s">
        <v>135</v>
      </c>
      <c r="C868" s="50" t="str">
        <f>VLOOKUP(B868,'Patner Store'!A$2:A$51,1,0)</f>
        <v>PS0012</v>
      </c>
      <c r="D868" s="29" t="s">
        <v>227</v>
      </c>
      <c r="E868" s="50" t="str">
        <f>VLOOKUP(D868,'Sales Team'!A$2:B$6,1,0)</f>
        <v>ST0003</v>
      </c>
      <c r="F868" s="28">
        <v>44751</v>
      </c>
      <c r="G868" s="29" t="s">
        <v>237</v>
      </c>
      <c r="H868" s="31">
        <v>252363690</v>
      </c>
      <c r="I868" s="17" t="s">
        <v>260</v>
      </c>
    </row>
    <row r="869" spans="1:9" ht="15.75" customHeight="1" x14ac:dyDescent="0.3">
      <c r="A869" s="17" t="s">
        <v>1106</v>
      </c>
      <c r="B869" s="17" t="s">
        <v>139</v>
      </c>
      <c r="C869" s="50" t="str">
        <f>VLOOKUP(B869,'Patner Store'!A$2:A$51,1,0)</f>
        <v>PS0014</v>
      </c>
      <c r="D869" s="29" t="s">
        <v>227</v>
      </c>
      <c r="E869" s="50" t="str">
        <f>VLOOKUP(D869,'Sales Team'!A$2:B$6,1,0)</f>
        <v>ST0003</v>
      </c>
      <c r="F869" s="28">
        <v>44752</v>
      </c>
      <c r="G869" s="17" t="s">
        <v>234</v>
      </c>
      <c r="H869" s="31">
        <v>202485340</v>
      </c>
      <c r="I869" s="17" t="s">
        <v>247</v>
      </c>
    </row>
    <row r="870" spans="1:9" ht="15.75" customHeight="1" x14ac:dyDescent="0.3">
      <c r="A870" s="17" t="s">
        <v>1107</v>
      </c>
      <c r="B870" s="17" t="s">
        <v>160</v>
      </c>
      <c r="C870" s="50" t="str">
        <f>VLOOKUP(B870,'Patner Store'!A$2:A$51,1,0)</f>
        <v>PS0023</v>
      </c>
      <c r="D870" s="29" t="s">
        <v>227</v>
      </c>
      <c r="E870" s="50" t="str">
        <f>VLOOKUP(D870,'Sales Team'!A$2:B$6,1,0)</f>
        <v>ST0003</v>
      </c>
      <c r="F870" s="28">
        <v>44753</v>
      </c>
      <c r="G870" s="17" t="s">
        <v>234</v>
      </c>
      <c r="H870" s="31">
        <v>58475500</v>
      </c>
      <c r="I870" s="17"/>
    </row>
    <row r="871" spans="1:9" ht="15.75" customHeight="1" x14ac:dyDescent="0.3">
      <c r="A871" s="17" t="s">
        <v>1108</v>
      </c>
      <c r="B871" s="17" t="s">
        <v>177</v>
      </c>
      <c r="C871" s="50" t="str">
        <f>VLOOKUP(B871,'Patner Store'!A$2:A$51,1,0)</f>
        <v>PS0031</v>
      </c>
      <c r="D871" s="29" t="s">
        <v>225</v>
      </c>
      <c r="E871" s="50" t="str">
        <f>VLOOKUP(D871,'Sales Team'!A$2:B$6,1,0)</f>
        <v>ST0002</v>
      </c>
      <c r="F871" s="28">
        <v>44756</v>
      </c>
      <c r="G871" s="17" t="s">
        <v>234</v>
      </c>
      <c r="H871" s="31">
        <v>49439820</v>
      </c>
      <c r="I871" s="17"/>
    </row>
    <row r="872" spans="1:9" ht="15.75" customHeight="1" x14ac:dyDescent="0.3">
      <c r="A872" s="17" t="s">
        <v>1109</v>
      </c>
      <c r="B872" s="17" t="s">
        <v>193</v>
      </c>
      <c r="C872" s="50" t="str">
        <f>VLOOKUP(B872,'Patner Store'!A$2:A$51,1,0)</f>
        <v>PS0039</v>
      </c>
      <c r="D872" s="29" t="s">
        <v>227</v>
      </c>
      <c r="E872" s="50" t="str">
        <f>VLOOKUP(D872,'Sales Team'!A$2:B$6,1,0)</f>
        <v>ST0003</v>
      </c>
      <c r="F872" s="28">
        <v>44757</v>
      </c>
      <c r="G872" s="29" t="s">
        <v>237</v>
      </c>
      <c r="H872" s="31">
        <v>393197760</v>
      </c>
      <c r="I872" s="17"/>
    </row>
    <row r="873" spans="1:9" ht="15.75" customHeight="1" x14ac:dyDescent="0.3">
      <c r="A873" s="17" t="s">
        <v>1110</v>
      </c>
      <c r="B873" s="17" t="s">
        <v>201</v>
      </c>
      <c r="C873" s="50" t="str">
        <f>VLOOKUP(B873,'Patner Store'!A$2:A$51,1,0)</f>
        <v>PS0043</v>
      </c>
      <c r="D873" s="29" t="s">
        <v>229</v>
      </c>
      <c r="E873" s="50" t="str">
        <f>VLOOKUP(D873,'Sales Team'!A$2:B$6,1,0)</f>
        <v>ST0004</v>
      </c>
      <c r="F873" s="28">
        <v>44759</v>
      </c>
      <c r="G873" s="29" t="s">
        <v>237</v>
      </c>
      <c r="H873" s="31">
        <v>390571270</v>
      </c>
      <c r="I873" s="17" t="s">
        <v>260</v>
      </c>
    </row>
    <row r="874" spans="1:9" ht="15.75" customHeight="1" x14ac:dyDescent="0.3">
      <c r="A874" s="17" t="s">
        <v>1111</v>
      </c>
      <c r="B874" s="17" t="s">
        <v>122</v>
      </c>
      <c r="C874" s="50" t="str">
        <f>VLOOKUP(B874,'Patner Store'!A$2:A$51,1,0)</f>
        <v>PS0006</v>
      </c>
      <c r="D874" s="29" t="s">
        <v>227</v>
      </c>
      <c r="E874" s="50" t="str">
        <f>VLOOKUP(D874,'Sales Team'!A$2:B$6,1,0)</f>
        <v>ST0003</v>
      </c>
      <c r="F874" s="28">
        <v>44759</v>
      </c>
      <c r="G874" s="29" t="s">
        <v>237</v>
      </c>
      <c r="H874" s="31">
        <v>939279100</v>
      </c>
      <c r="I874" s="17" t="s">
        <v>238</v>
      </c>
    </row>
    <row r="875" spans="1:9" ht="15.75" customHeight="1" x14ac:dyDescent="0.3">
      <c r="A875" s="17" t="s">
        <v>1112</v>
      </c>
      <c r="B875" s="17" t="s">
        <v>151</v>
      </c>
      <c r="C875" s="50" t="str">
        <f>VLOOKUP(B875,'Patner Store'!A$2:A$51,1,0)</f>
        <v>PS0019</v>
      </c>
      <c r="D875" s="29" t="s">
        <v>231</v>
      </c>
      <c r="E875" s="50" t="str">
        <f>VLOOKUP(D875,'Sales Team'!A$2:B$6,1,0)</f>
        <v>ST0005</v>
      </c>
      <c r="F875" s="28">
        <v>44759</v>
      </c>
      <c r="G875" s="17" t="s">
        <v>234</v>
      </c>
      <c r="H875" s="31">
        <v>67063160</v>
      </c>
      <c r="I875" s="17"/>
    </row>
    <row r="876" spans="1:9" ht="15.75" customHeight="1" x14ac:dyDescent="0.3">
      <c r="A876" s="17" t="s">
        <v>1113</v>
      </c>
      <c r="B876" s="17" t="s">
        <v>191</v>
      </c>
      <c r="C876" s="50" t="str">
        <f>VLOOKUP(B876,'Patner Store'!A$2:A$51,1,0)</f>
        <v>PS0038</v>
      </c>
      <c r="D876" s="29" t="s">
        <v>229</v>
      </c>
      <c r="E876" s="50" t="str">
        <f>VLOOKUP(D876,'Sales Team'!A$2:B$6,1,0)</f>
        <v>ST0004</v>
      </c>
      <c r="F876" s="28">
        <v>44761</v>
      </c>
      <c r="G876" s="17" t="s">
        <v>234</v>
      </c>
      <c r="H876" s="31">
        <v>86968284</v>
      </c>
      <c r="I876" s="17" t="s">
        <v>247</v>
      </c>
    </row>
    <row r="877" spans="1:9" ht="15.75" customHeight="1" x14ac:dyDescent="0.3">
      <c r="A877" s="17" t="s">
        <v>1114</v>
      </c>
      <c r="B877" s="17" t="s">
        <v>193</v>
      </c>
      <c r="C877" s="50" t="str">
        <f>VLOOKUP(B877,'Patner Store'!A$2:A$51,1,0)</f>
        <v>PS0039</v>
      </c>
      <c r="D877" s="29" t="s">
        <v>227</v>
      </c>
      <c r="E877" s="50" t="str">
        <f>VLOOKUP(D877,'Sales Team'!A$2:B$6,1,0)</f>
        <v>ST0003</v>
      </c>
      <c r="F877" s="28">
        <v>44761</v>
      </c>
      <c r="G877" s="17" t="s">
        <v>234</v>
      </c>
      <c r="H877" s="31">
        <v>101496120</v>
      </c>
      <c r="I877" s="17" t="s">
        <v>260</v>
      </c>
    </row>
    <row r="878" spans="1:9" ht="15.75" customHeight="1" x14ac:dyDescent="0.3">
      <c r="A878" s="17" t="s">
        <v>1115</v>
      </c>
      <c r="B878" s="17" t="s">
        <v>191</v>
      </c>
      <c r="C878" s="50" t="str">
        <f>VLOOKUP(B878,'Patner Store'!A$2:A$51,1,0)</f>
        <v>PS0038</v>
      </c>
      <c r="D878" s="29" t="s">
        <v>229</v>
      </c>
      <c r="E878" s="50" t="str">
        <f>VLOOKUP(D878,'Sales Team'!A$2:B$6,1,0)</f>
        <v>ST0004</v>
      </c>
      <c r="F878" s="28">
        <v>44763</v>
      </c>
      <c r="G878" s="17" t="s">
        <v>234</v>
      </c>
      <c r="H878" s="31">
        <v>214186340</v>
      </c>
      <c r="I878" s="17"/>
    </row>
    <row r="879" spans="1:9" ht="15.75" customHeight="1" x14ac:dyDescent="0.3">
      <c r="A879" s="17" t="s">
        <v>1116</v>
      </c>
      <c r="B879" s="17" t="s">
        <v>164</v>
      </c>
      <c r="C879" s="50" t="str">
        <f>VLOOKUP(B879,'Patner Store'!A$2:A$51,1,0)</f>
        <v>PS0025</v>
      </c>
      <c r="D879" s="29" t="s">
        <v>227</v>
      </c>
      <c r="E879" s="50" t="str">
        <f>VLOOKUP(D879,'Sales Team'!A$2:B$6,1,0)</f>
        <v>ST0003</v>
      </c>
      <c r="F879" s="28">
        <v>44763</v>
      </c>
      <c r="G879" s="17" t="s">
        <v>234</v>
      </c>
      <c r="H879" s="31">
        <v>14355120</v>
      </c>
      <c r="I879" s="17"/>
    </row>
    <row r="880" spans="1:9" ht="15.75" customHeight="1" x14ac:dyDescent="0.3">
      <c r="A880" s="17" t="s">
        <v>1117</v>
      </c>
      <c r="B880" s="17" t="s">
        <v>146</v>
      </c>
      <c r="C880" s="50" t="str">
        <f>VLOOKUP(B880,'Patner Store'!A$2:A$51,1,0)</f>
        <v>PS0017</v>
      </c>
      <c r="D880" s="29" t="s">
        <v>222</v>
      </c>
      <c r="E880" s="50" t="str">
        <f>VLOOKUP(D880,'Sales Team'!A$2:B$6,1,0)</f>
        <v>ST0001</v>
      </c>
      <c r="F880" s="28">
        <v>44765</v>
      </c>
      <c r="G880" s="29" t="s">
        <v>237</v>
      </c>
      <c r="H880" s="31">
        <v>347867150</v>
      </c>
      <c r="I880" s="17"/>
    </row>
    <row r="881" spans="1:9" ht="15.75" customHeight="1" x14ac:dyDescent="0.3">
      <c r="A881" s="17" t="s">
        <v>1118</v>
      </c>
      <c r="B881" s="17" t="s">
        <v>141</v>
      </c>
      <c r="C881" s="50" t="str">
        <f>VLOOKUP(B881,'Patner Store'!A$2:A$51,1,0)</f>
        <v>PS0015</v>
      </c>
      <c r="D881" s="29" t="s">
        <v>229</v>
      </c>
      <c r="E881" s="50" t="str">
        <f>VLOOKUP(D881,'Sales Team'!A$2:B$6,1,0)</f>
        <v>ST0004</v>
      </c>
      <c r="F881" s="28">
        <v>44766</v>
      </c>
      <c r="G881" s="17" t="s">
        <v>234</v>
      </c>
      <c r="H881" s="31">
        <v>42697580</v>
      </c>
      <c r="I881" s="17"/>
    </row>
    <row r="882" spans="1:9" ht="15.75" customHeight="1" x14ac:dyDescent="0.3">
      <c r="A882" s="17" t="s">
        <v>1119</v>
      </c>
      <c r="B882" s="17" t="s">
        <v>171</v>
      </c>
      <c r="C882" s="50" t="str">
        <f>VLOOKUP(B882,'Patner Store'!A$2:A$51,1,0)</f>
        <v>PS0028</v>
      </c>
      <c r="D882" s="29" t="s">
        <v>231</v>
      </c>
      <c r="E882" s="50" t="str">
        <f>VLOOKUP(D882,'Sales Team'!A$2:B$6,1,0)</f>
        <v>ST0005</v>
      </c>
      <c r="F882" s="28">
        <v>44766</v>
      </c>
      <c r="G882" s="29" t="s">
        <v>237</v>
      </c>
      <c r="H882" s="31">
        <v>317473980</v>
      </c>
      <c r="I882" s="17"/>
    </row>
    <row r="883" spans="1:9" ht="15.75" customHeight="1" x14ac:dyDescent="0.3">
      <c r="A883" s="17" t="s">
        <v>1120</v>
      </c>
      <c r="B883" s="17" t="s">
        <v>187</v>
      </c>
      <c r="C883" s="50" t="str">
        <f>VLOOKUP(B883,'Patner Store'!A$2:A$51,1,0)</f>
        <v>PS0036</v>
      </c>
      <c r="D883" s="29" t="s">
        <v>231</v>
      </c>
      <c r="E883" s="50" t="str">
        <f>VLOOKUP(D883,'Sales Team'!A$2:B$6,1,0)</f>
        <v>ST0005</v>
      </c>
      <c r="F883" s="28">
        <v>44767</v>
      </c>
      <c r="G883" s="17" t="s">
        <v>234</v>
      </c>
      <c r="H883" s="31">
        <v>220487740</v>
      </c>
      <c r="I883" s="17"/>
    </row>
    <row r="884" spans="1:9" ht="15.75" customHeight="1" x14ac:dyDescent="0.3">
      <c r="A884" s="17" t="s">
        <v>1121</v>
      </c>
      <c r="B884" s="17" t="s">
        <v>154</v>
      </c>
      <c r="C884" s="50" t="str">
        <f>VLOOKUP(B884,'Patner Store'!A$2:A$51,1,0)</f>
        <v>PS0020</v>
      </c>
      <c r="D884" s="29" t="s">
        <v>229</v>
      </c>
      <c r="E884" s="50" t="str">
        <f>VLOOKUP(D884,'Sales Team'!A$2:B$6,1,0)</f>
        <v>ST0004</v>
      </c>
      <c r="F884" s="28">
        <v>44768</v>
      </c>
      <c r="G884" s="17" t="s">
        <v>234</v>
      </c>
      <c r="H884" s="31">
        <v>218815590</v>
      </c>
      <c r="I884" s="17"/>
    </row>
    <row r="885" spans="1:9" ht="15.75" customHeight="1" x14ac:dyDescent="0.3">
      <c r="A885" s="17" t="s">
        <v>1122</v>
      </c>
      <c r="B885" s="17" t="s">
        <v>193</v>
      </c>
      <c r="C885" s="50" t="str">
        <f>VLOOKUP(B885,'Patner Store'!A$2:A$51,1,0)</f>
        <v>PS0039</v>
      </c>
      <c r="D885" s="29" t="s">
        <v>227</v>
      </c>
      <c r="E885" s="50" t="str">
        <f>VLOOKUP(D885,'Sales Team'!A$2:B$6,1,0)</f>
        <v>ST0003</v>
      </c>
      <c r="F885" s="28">
        <v>44768</v>
      </c>
      <c r="G885" s="17" t="s">
        <v>234</v>
      </c>
      <c r="H885" s="31">
        <v>53249270</v>
      </c>
      <c r="I885" s="17"/>
    </row>
    <row r="886" spans="1:9" ht="15.75" customHeight="1" x14ac:dyDescent="0.3">
      <c r="A886" s="17" t="s">
        <v>1123</v>
      </c>
      <c r="B886" s="17" t="s">
        <v>191</v>
      </c>
      <c r="C886" s="50" t="str">
        <f>VLOOKUP(B886,'Patner Store'!A$2:A$51,1,0)</f>
        <v>PS0038</v>
      </c>
      <c r="D886" s="29" t="s">
        <v>229</v>
      </c>
      <c r="E886" s="50" t="str">
        <f>VLOOKUP(D886,'Sales Team'!A$2:B$6,1,0)</f>
        <v>ST0004</v>
      </c>
      <c r="F886" s="28">
        <v>44772</v>
      </c>
      <c r="G886" s="17" t="s">
        <v>234</v>
      </c>
      <c r="H886" s="31">
        <v>41408250</v>
      </c>
      <c r="I886" s="17"/>
    </row>
    <row r="887" spans="1:9" ht="15.75" customHeight="1" x14ac:dyDescent="0.3">
      <c r="A887" s="17" t="s">
        <v>1124</v>
      </c>
      <c r="B887" s="17" t="s">
        <v>144</v>
      </c>
      <c r="C887" s="50" t="str">
        <f>VLOOKUP(B887,'Patner Store'!A$2:A$51,1,0)</f>
        <v>PS0016</v>
      </c>
      <c r="D887" s="29" t="s">
        <v>227</v>
      </c>
      <c r="E887" s="50" t="str">
        <f>VLOOKUP(D887,'Sales Team'!A$2:B$6,1,0)</f>
        <v>ST0003</v>
      </c>
      <c r="F887" s="28">
        <v>44773</v>
      </c>
      <c r="G887" s="17" t="s">
        <v>234</v>
      </c>
      <c r="H887" s="31">
        <v>136046120</v>
      </c>
      <c r="I887" s="17"/>
    </row>
    <row r="888" spans="1:9" ht="15.75" customHeight="1" x14ac:dyDescent="0.3">
      <c r="A888" s="17" t="s">
        <v>1125</v>
      </c>
      <c r="B888" s="17" t="s">
        <v>128</v>
      </c>
      <c r="C888" s="50" t="str">
        <f>VLOOKUP(B888,'Patner Store'!A$2:A$51,1,0)</f>
        <v>PS0009</v>
      </c>
      <c r="D888" s="29" t="s">
        <v>227</v>
      </c>
      <c r="E888" s="50" t="str">
        <f>VLOOKUP(D888,'Sales Team'!A$2:B$6,1,0)</f>
        <v>ST0003</v>
      </c>
      <c r="F888" s="28">
        <v>44776</v>
      </c>
      <c r="G888" s="17" t="s">
        <v>234</v>
      </c>
      <c r="H888" s="31">
        <v>39712690</v>
      </c>
      <c r="I888" s="17"/>
    </row>
    <row r="889" spans="1:9" ht="15.75" customHeight="1" x14ac:dyDescent="0.3">
      <c r="A889" s="17" t="s">
        <v>1126</v>
      </c>
      <c r="B889" s="17" t="s">
        <v>128</v>
      </c>
      <c r="C889" s="50" t="str">
        <f>VLOOKUP(B889,'Patner Store'!A$2:A$51,1,0)</f>
        <v>PS0009</v>
      </c>
      <c r="D889" s="29" t="s">
        <v>227</v>
      </c>
      <c r="E889" s="50" t="str">
        <f>VLOOKUP(D889,'Sales Team'!A$2:B$6,1,0)</f>
        <v>ST0003</v>
      </c>
      <c r="F889" s="28">
        <v>44778</v>
      </c>
      <c r="G889" s="17" t="s">
        <v>234</v>
      </c>
      <c r="H889" s="31">
        <v>19698250</v>
      </c>
      <c r="I889" s="17"/>
    </row>
    <row r="890" spans="1:9" ht="15.75" customHeight="1" x14ac:dyDescent="0.3">
      <c r="A890" s="17" t="s">
        <v>1127</v>
      </c>
      <c r="B890" s="17" t="s">
        <v>146</v>
      </c>
      <c r="C890" s="50" t="str">
        <f>VLOOKUP(B890,'Patner Store'!A$2:A$51,1,0)</f>
        <v>PS0017</v>
      </c>
      <c r="D890" s="29" t="s">
        <v>222</v>
      </c>
      <c r="E890" s="50" t="str">
        <f>VLOOKUP(D890,'Sales Team'!A$2:B$6,1,0)</f>
        <v>ST0001</v>
      </c>
      <c r="F890" s="28">
        <v>44778</v>
      </c>
      <c r="G890" s="29" t="s">
        <v>237</v>
      </c>
      <c r="H890" s="31">
        <v>637280700</v>
      </c>
      <c r="I890" s="17" t="s">
        <v>253</v>
      </c>
    </row>
    <row r="891" spans="1:9" ht="15.75" customHeight="1" x14ac:dyDescent="0.3">
      <c r="A891" s="17" t="s">
        <v>1128</v>
      </c>
      <c r="B891" s="17" t="s">
        <v>164</v>
      </c>
      <c r="C891" s="50" t="str">
        <f>VLOOKUP(B891,'Patner Store'!A$2:A$51,1,0)</f>
        <v>PS0025</v>
      </c>
      <c r="D891" s="29" t="s">
        <v>227</v>
      </c>
      <c r="E891" s="50" t="str">
        <f>VLOOKUP(D891,'Sales Team'!A$2:B$6,1,0)</f>
        <v>ST0003</v>
      </c>
      <c r="F891" s="28">
        <v>44782</v>
      </c>
      <c r="G891" s="29" t="s">
        <v>237</v>
      </c>
      <c r="H891" s="31">
        <v>783664230</v>
      </c>
      <c r="I891" s="17" t="s">
        <v>247</v>
      </c>
    </row>
    <row r="892" spans="1:9" ht="15.75" customHeight="1" x14ac:dyDescent="0.3">
      <c r="A892" s="17" t="s">
        <v>1129</v>
      </c>
      <c r="B892" s="17" t="s">
        <v>179</v>
      </c>
      <c r="C892" s="50" t="str">
        <f>VLOOKUP(B892,'Patner Store'!A$2:A$51,1,0)</f>
        <v>PS0032</v>
      </c>
      <c r="D892" s="29" t="s">
        <v>229</v>
      </c>
      <c r="E892" s="50" t="str">
        <f>VLOOKUP(D892,'Sales Team'!A$2:B$6,1,0)</f>
        <v>ST0004</v>
      </c>
      <c r="F892" s="28">
        <v>44785</v>
      </c>
      <c r="G892" s="17" t="s">
        <v>234</v>
      </c>
      <c r="H892" s="31">
        <v>134127470</v>
      </c>
      <c r="I892" s="17" t="s">
        <v>260</v>
      </c>
    </row>
    <row r="893" spans="1:9" ht="15.75" customHeight="1" x14ac:dyDescent="0.3">
      <c r="A893" s="17" t="s">
        <v>1130</v>
      </c>
      <c r="B893" s="17" t="s">
        <v>168</v>
      </c>
      <c r="C893" s="50" t="str">
        <f>VLOOKUP(B893,'Patner Store'!A$2:A$51,1,0)</f>
        <v>PS0027</v>
      </c>
      <c r="D893" s="29" t="s">
        <v>229</v>
      </c>
      <c r="E893" s="50" t="str">
        <f>VLOOKUP(D893,'Sales Team'!A$2:B$6,1,0)</f>
        <v>ST0004</v>
      </c>
      <c r="F893" s="28">
        <v>44786</v>
      </c>
      <c r="G893" s="17" t="s">
        <v>234</v>
      </c>
      <c r="H893" s="31">
        <v>189755520</v>
      </c>
      <c r="I893" s="17"/>
    </row>
    <row r="894" spans="1:9" ht="15.75" customHeight="1" x14ac:dyDescent="0.3">
      <c r="A894" s="17" t="s">
        <v>1131</v>
      </c>
      <c r="B894" s="17" t="s">
        <v>154</v>
      </c>
      <c r="C894" s="50" t="str">
        <f>VLOOKUP(B894,'Patner Store'!A$2:A$51,1,0)</f>
        <v>PS0020</v>
      </c>
      <c r="D894" s="29" t="s">
        <v>229</v>
      </c>
      <c r="E894" s="50" t="str">
        <f>VLOOKUP(D894,'Sales Team'!A$2:B$6,1,0)</f>
        <v>ST0004</v>
      </c>
      <c r="F894" s="28">
        <v>44788</v>
      </c>
      <c r="G894" s="29" t="s">
        <v>237</v>
      </c>
      <c r="H894" s="31">
        <v>314978190</v>
      </c>
      <c r="I894" s="17"/>
    </row>
    <row r="895" spans="1:9" ht="15.75" customHeight="1" x14ac:dyDescent="0.3">
      <c r="A895" s="17" t="s">
        <v>1132</v>
      </c>
      <c r="B895" s="17" t="s">
        <v>185</v>
      </c>
      <c r="C895" s="50" t="str">
        <f>VLOOKUP(B895,'Patner Store'!A$2:A$51,1,0)</f>
        <v>PS0035</v>
      </c>
      <c r="D895" s="29" t="s">
        <v>229</v>
      </c>
      <c r="E895" s="50" t="str">
        <f>VLOOKUP(D895,'Sales Team'!A$2:B$6,1,0)</f>
        <v>ST0004</v>
      </c>
      <c r="F895" s="28">
        <v>44790</v>
      </c>
      <c r="G895" s="17" t="s">
        <v>234</v>
      </c>
      <c r="H895" s="31">
        <v>140645000</v>
      </c>
      <c r="I895" s="17"/>
    </row>
    <row r="896" spans="1:9" ht="15.75" customHeight="1" x14ac:dyDescent="0.3">
      <c r="A896" s="17" t="s">
        <v>1133</v>
      </c>
      <c r="B896" s="17" t="s">
        <v>128</v>
      </c>
      <c r="C896" s="50" t="str">
        <f>VLOOKUP(B896,'Patner Store'!A$2:A$51,1,0)</f>
        <v>PS0009</v>
      </c>
      <c r="D896" s="29" t="s">
        <v>227</v>
      </c>
      <c r="E896" s="50" t="str">
        <f>VLOOKUP(D896,'Sales Team'!A$2:B$6,1,0)</f>
        <v>ST0003</v>
      </c>
      <c r="F896" s="28">
        <v>44790</v>
      </c>
      <c r="G896" s="29" t="s">
        <v>237</v>
      </c>
      <c r="H896" s="31">
        <v>269834270</v>
      </c>
      <c r="I896" s="17"/>
    </row>
    <row r="897" spans="1:9" ht="15.75" customHeight="1" x14ac:dyDescent="0.3">
      <c r="A897" s="17" t="s">
        <v>1134</v>
      </c>
      <c r="B897" s="17" t="s">
        <v>128</v>
      </c>
      <c r="C897" s="50" t="str">
        <f>VLOOKUP(B897,'Patner Store'!A$2:A$51,1,0)</f>
        <v>PS0009</v>
      </c>
      <c r="D897" s="29" t="s">
        <v>227</v>
      </c>
      <c r="E897" s="50" t="str">
        <f>VLOOKUP(D897,'Sales Team'!A$2:B$6,1,0)</f>
        <v>ST0003</v>
      </c>
      <c r="F897" s="28">
        <v>44790</v>
      </c>
      <c r="G897" s="17" t="s">
        <v>234</v>
      </c>
      <c r="H897" s="31">
        <v>234221930</v>
      </c>
      <c r="I897" s="17" t="s">
        <v>260</v>
      </c>
    </row>
    <row r="898" spans="1:9" ht="15.75" customHeight="1" x14ac:dyDescent="0.3">
      <c r="A898" s="17" t="s">
        <v>1135</v>
      </c>
      <c r="B898" s="17" t="s">
        <v>199</v>
      </c>
      <c r="C898" s="50" t="str">
        <f>VLOOKUP(B898,'Patner Store'!A$2:A$51,1,0)</f>
        <v>PS0042</v>
      </c>
      <c r="D898" s="29" t="s">
        <v>225</v>
      </c>
      <c r="E898" s="50" t="str">
        <f>VLOOKUP(D898,'Sales Team'!A$2:B$6,1,0)</f>
        <v>ST0002</v>
      </c>
      <c r="F898" s="28">
        <v>44790</v>
      </c>
      <c r="G898" s="29" t="s">
        <v>237</v>
      </c>
      <c r="H898" s="31">
        <v>535672102</v>
      </c>
      <c r="I898" s="17"/>
    </row>
    <row r="899" spans="1:9" ht="15.75" customHeight="1" x14ac:dyDescent="0.3">
      <c r="A899" s="17" t="s">
        <v>1136</v>
      </c>
      <c r="B899" s="17" t="s">
        <v>168</v>
      </c>
      <c r="C899" s="50" t="str">
        <f>VLOOKUP(B899,'Patner Store'!A$2:A$51,1,0)</f>
        <v>PS0027</v>
      </c>
      <c r="D899" s="29" t="s">
        <v>229</v>
      </c>
      <c r="E899" s="50" t="str">
        <f>VLOOKUP(D899,'Sales Team'!A$2:B$6,1,0)</f>
        <v>ST0004</v>
      </c>
      <c r="F899" s="28">
        <v>44793</v>
      </c>
      <c r="G899" s="29" t="s">
        <v>237</v>
      </c>
      <c r="H899" s="31">
        <v>374576520</v>
      </c>
      <c r="I899" s="17"/>
    </row>
    <row r="900" spans="1:9" ht="15.75" customHeight="1" x14ac:dyDescent="0.3">
      <c r="A900" s="17" t="s">
        <v>1137</v>
      </c>
      <c r="B900" s="17" t="s">
        <v>126</v>
      </c>
      <c r="C900" s="50" t="str">
        <f>VLOOKUP(B900,'Patner Store'!A$2:A$51,1,0)</f>
        <v>PS0008</v>
      </c>
      <c r="D900" s="29" t="s">
        <v>229</v>
      </c>
      <c r="E900" s="50" t="str">
        <f>VLOOKUP(D900,'Sales Team'!A$2:B$6,1,0)</f>
        <v>ST0004</v>
      </c>
      <c r="F900" s="28">
        <v>44798</v>
      </c>
      <c r="G900" s="17" t="s">
        <v>234</v>
      </c>
      <c r="H900" s="31">
        <v>225228245</v>
      </c>
      <c r="I900" s="17"/>
    </row>
    <row r="901" spans="1:9" ht="15.75" customHeight="1" x14ac:dyDescent="0.3">
      <c r="A901" s="17" t="s">
        <v>1138</v>
      </c>
      <c r="B901" s="17" t="s">
        <v>131</v>
      </c>
      <c r="C901" s="50" t="str">
        <f>VLOOKUP(B901,'Patner Store'!A$2:A$51,1,0)</f>
        <v>PS0010</v>
      </c>
      <c r="D901" s="29" t="s">
        <v>222</v>
      </c>
      <c r="E901" s="50" t="str">
        <f>VLOOKUP(D901,'Sales Team'!A$2:B$6,1,0)</f>
        <v>ST0001</v>
      </c>
      <c r="F901" s="28">
        <v>44799</v>
      </c>
      <c r="G901" s="17" t="s">
        <v>234</v>
      </c>
      <c r="H901" s="31">
        <v>96313178</v>
      </c>
      <c r="I901" s="17" t="s">
        <v>260</v>
      </c>
    </row>
    <row r="902" spans="1:9" ht="15.75" customHeight="1" x14ac:dyDescent="0.3">
      <c r="A902" s="17" t="s">
        <v>1139</v>
      </c>
      <c r="B902" s="17" t="s">
        <v>113</v>
      </c>
      <c r="C902" s="50" t="str">
        <f>VLOOKUP(B902,'Patner Store'!A$2:A$51,1,0)</f>
        <v>PS0003</v>
      </c>
      <c r="D902" s="29" t="s">
        <v>227</v>
      </c>
      <c r="E902" s="50" t="str">
        <f>VLOOKUP(D902,'Sales Team'!A$2:B$6,1,0)</f>
        <v>ST0003</v>
      </c>
      <c r="F902" s="28">
        <v>44799</v>
      </c>
      <c r="G902" s="29" t="s">
        <v>237</v>
      </c>
      <c r="H902" s="31">
        <v>482346240</v>
      </c>
      <c r="I902" s="17"/>
    </row>
    <row r="903" spans="1:9" ht="15.75" customHeight="1" x14ac:dyDescent="0.3">
      <c r="A903" s="17" t="s">
        <v>1140</v>
      </c>
      <c r="B903" s="17" t="s">
        <v>116</v>
      </c>
      <c r="C903" s="50" t="str">
        <f>VLOOKUP(B903,'Patner Store'!A$2:A$51,1,0)</f>
        <v>PS0004</v>
      </c>
      <c r="D903" s="29" t="s">
        <v>222</v>
      </c>
      <c r="E903" s="50" t="str">
        <f>VLOOKUP(D903,'Sales Team'!A$2:B$6,1,0)</f>
        <v>ST0001</v>
      </c>
      <c r="F903" s="28">
        <v>44799</v>
      </c>
      <c r="G903" s="17" t="s">
        <v>234</v>
      </c>
      <c r="H903" s="31">
        <v>31413840</v>
      </c>
      <c r="I903" s="17"/>
    </row>
    <row r="904" spans="1:9" ht="15.75" customHeight="1" x14ac:dyDescent="0.3">
      <c r="A904" s="17" t="s">
        <v>1141</v>
      </c>
      <c r="B904" s="17" t="s">
        <v>158</v>
      </c>
      <c r="C904" s="50" t="str">
        <f>VLOOKUP(B904,'Patner Store'!A$2:A$51,1,0)</f>
        <v>PS0022</v>
      </c>
      <c r="D904" s="29" t="s">
        <v>229</v>
      </c>
      <c r="E904" s="50" t="str">
        <f>VLOOKUP(D904,'Sales Team'!A$2:B$6,1,0)</f>
        <v>ST0004</v>
      </c>
      <c r="F904" s="28">
        <v>44800</v>
      </c>
      <c r="G904" s="29" t="s">
        <v>237</v>
      </c>
      <c r="H904" s="31">
        <v>311219658</v>
      </c>
      <c r="I904" s="17"/>
    </row>
    <row r="905" spans="1:9" ht="15.75" customHeight="1" x14ac:dyDescent="0.3">
      <c r="A905" s="17" t="s">
        <v>1142</v>
      </c>
      <c r="B905" s="17" t="s">
        <v>133</v>
      </c>
      <c r="C905" s="50" t="str">
        <f>VLOOKUP(B905,'Patner Store'!A$2:A$51,1,0)</f>
        <v>PS0011</v>
      </c>
      <c r="D905" s="29" t="s">
        <v>225</v>
      </c>
      <c r="E905" s="50" t="str">
        <f>VLOOKUP(D905,'Sales Team'!A$2:B$6,1,0)</f>
        <v>ST0002</v>
      </c>
      <c r="F905" s="28">
        <v>44801</v>
      </c>
      <c r="G905" s="17" t="s">
        <v>234</v>
      </c>
      <c r="H905" s="31">
        <v>135198960</v>
      </c>
      <c r="I905" s="17"/>
    </row>
    <row r="906" spans="1:9" ht="15.75" customHeight="1" x14ac:dyDescent="0.3">
      <c r="A906" s="17" t="s">
        <v>1143</v>
      </c>
      <c r="B906" s="17" t="s">
        <v>205</v>
      </c>
      <c r="C906" s="50" t="str">
        <f>VLOOKUP(B906,'Patner Store'!A$2:A$51,1,0)</f>
        <v>PS0045</v>
      </c>
      <c r="D906" s="29" t="s">
        <v>231</v>
      </c>
      <c r="E906" s="50" t="str">
        <f>VLOOKUP(D906,'Sales Team'!A$2:B$6,1,0)</f>
        <v>ST0005</v>
      </c>
      <c r="F906" s="28">
        <v>44801</v>
      </c>
      <c r="G906" s="17" t="s">
        <v>234</v>
      </c>
      <c r="H906" s="31">
        <v>56431200</v>
      </c>
      <c r="I906" s="17" t="s">
        <v>253</v>
      </c>
    </row>
    <row r="907" spans="1:9" ht="15.75" customHeight="1" x14ac:dyDescent="0.3">
      <c r="A907" s="17" t="s">
        <v>1144</v>
      </c>
      <c r="B907" s="17" t="s">
        <v>148</v>
      </c>
      <c r="C907" s="50" t="str">
        <f>VLOOKUP(B907,'Patner Store'!A$2:A$51,1,0)</f>
        <v>PS0018</v>
      </c>
      <c r="D907" s="29" t="s">
        <v>225</v>
      </c>
      <c r="E907" s="50" t="str">
        <f>VLOOKUP(D907,'Sales Team'!A$2:B$6,1,0)</f>
        <v>ST0002</v>
      </c>
      <c r="F907" s="28">
        <v>44801</v>
      </c>
      <c r="G907" s="29" t="s">
        <v>237</v>
      </c>
      <c r="H907" s="31">
        <v>557426240</v>
      </c>
      <c r="I907" s="17"/>
    </row>
    <row r="908" spans="1:9" ht="15.75" customHeight="1" x14ac:dyDescent="0.3">
      <c r="A908" s="17" t="s">
        <v>1145</v>
      </c>
      <c r="B908" s="17" t="s">
        <v>211</v>
      </c>
      <c r="C908" s="50" t="str">
        <f>VLOOKUP(B908,'Patner Store'!A$2:A$51,1,0)</f>
        <v>PS0048</v>
      </c>
      <c r="D908" s="29" t="s">
        <v>227</v>
      </c>
      <c r="E908" s="50" t="str">
        <f>VLOOKUP(D908,'Sales Team'!A$2:B$6,1,0)</f>
        <v>ST0003</v>
      </c>
      <c r="F908" s="28">
        <v>44802</v>
      </c>
      <c r="G908" s="29" t="s">
        <v>237</v>
      </c>
      <c r="H908" s="31">
        <v>525080790</v>
      </c>
      <c r="I908" s="17"/>
    </row>
    <row r="909" spans="1:9" ht="15.75" customHeight="1" x14ac:dyDescent="0.3">
      <c r="A909" s="17" t="s">
        <v>1146</v>
      </c>
      <c r="B909" s="17" t="s">
        <v>185</v>
      </c>
      <c r="C909" s="50" t="str">
        <f>VLOOKUP(B909,'Patner Store'!A$2:A$51,1,0)</f>
        <v>PS0035</v>
      </c>
      <c r="D909" s="29" t="s">
        <v>229</v>
      </c>
      <c r="E909" s="50" t="str">
        <f>VLOOKUP(D909,'Sales Team'!A$2:B$6,1,0)</f>
        <v>ST0004</v>
      </c>
      <c r="F909" s="28">
        <v>44803</v>
      </c>
      <c r="G909" s="29" t="s">
        <v>237</v>
      </c>
      <c r="H909" s="31">
        <v>392682160</v>
      </c>
      <c r="I909" s="17" t="s">
        <v>253</v>
      </c>
    </row>
    <row r="910" spans="1:9" ht="15.75" customHeight="1" x14ac:dyDescent="0.3">
      <c r="A910" s="17" t="s">
        <v>1147</v>
      </c>
      <c r="B910" s="17" t="s">
        <v>168</v>
      </c>
      <c r="C910" s="50" t="str">
        <f>VLOOKUP(B910,'Patner Store'!A$2:A$51,1,0)</f>
        <v>PS0027</v>
      </c>
      <c r="D910" s="29" t="s">
        <v>229</v>
      </c>
      <c r="E910" s="50" t="str">
        <f>VLOOKUP(D910,'Sales Team'!A$2:B$6,1,0)</f>
        <v>ST0004</v>
      </c>
      <c r="F910" s="28">
        <v>44805</v>
      </c>
      <c r="G910" s="29" t="s">
        <v>237</v>
      </c>
      <c r="H910" s="31">
        <v>736874190</v>
      </c>
      <c r="I910" s="17"/>
    </row>
    <row r="911" spans="1:9" ht="15.75" customHeight="1" x14ac:dyDescent="0.3">
      <c r="A911" s="17" t="s">
        <v>1148</v>
      </c>
      <c r="B911" s="17" t="s">
        <v>164</v>
      </c>
      <c r="C911" s="50" t="str">
        <f>VLOOKUP(B911,'Patner Store'!A$2:A$51,1,0)</f>
        <v>PS0025</v>
      </c>
      <c r="D911" s="29" t="s">
        <v>227</v>
      </c>
      <c r="E911" s="50" t="str">
        <f>VLOOKUP(D911,'Sales Team'!A$2:B$6,1,0)</f>
        <v>ST0003</v>
      </c>
      <c r="F911" s="28">
        <v>44805</v>
      </c>
      <c r="G911" s="17" t="s">
        <v>234</v>
      </c>
      <c r="H911" s="31">
        <v>5680620</v>
      </c>
      <c r="I911" s="17" t="s">
        <v>247</v>
      </c>
    </row>
    <row r="912" spans="1:9" ht="15.75" customHeight="1" x14ac:dyDescent="0.3">
      <c r="A912" s="17" t="s">
        <v>1149</v>
      </c>
      <c r="B912" s="17" t="s">
        <v>166</v>
      </c>
      <c r="C912" s="50" t="str">
        <f>VLOOKUP(B912,'Patner Store'!A$2:A$51,1,0)</f>
        <v>PS0026</v>
      </c>
      <c r="D912" s="29" t="s">
        <v>229</v>
      </c>
      <c r="E912" s="50" t="str">
        <f>VLOOKUP(D912,'Sales Team'!A$2:B$6,1,0)</f>
        <v>ST0004</v>
      </c>
      <c r="F912" s="28">
        <v>44806</v>
      </c>
      <c r="G912" s="29" t="s">
        <v>237</v>
      </c>
      <c r="H912" s="31">
        <v>1309915710</v>
      </c>
      <c r="I912" s="17" t="s">
        <v>238</v>
      </c>
    </row>
    <row r="913" spans="1:9" ht="15.75" customHeight="1" x14ac:dyDescent="0.3">
      <c r="A913" s="17" t="s">
        <v>1150</v>
      </c>
      <c r="B913" s="17" t="s">
        <v>119</v>
      </c>
      <c r="C913" s="50" t="str">
        <f>VLOOKUP(B913,'Patner Store'!A$2:A$51,1,0)</f>
        <v>PS0005</v>
      </c>
      <c r="D913" s="29" t="s">
        <v>229</v>
      </c>
      <c r="E913" s="50" t="str">
        <f>VLOOKUP(D913,'Sales Team'!A$2:B$6,1,0)</f>
        <v>ST0004</v>
      </c>
      <c r="F913" s="28">
        <v>44808</v>
      </c>
      <c r="G913" s="17" t="s">
        <v>234</v>
      </c>
      <c r="H913" s="31">
        <v>32676700</v>
      </c>
      <c r="I913" s="17" t="s">
        <v>253</v>
      </c>
    </row>
    <row r="914" spans="1:9" ht="15.75" customHeight="1" x14ac:dyDescent="0.3">
      <c r="A914" s="17" t="s">
        <v>1151</v>
      </c>
      <c r="B914" s="17" t="s">
        <v>131</v>
      </c>
      <c r="C914" s="50" t="str">
        <f>VLOOKUP(B914,'Patner Store'!A$2:A$51,1,0)</f>
        <v>PS0010</v>
      </c>
      <c r="D914" s="29" t="s">
        <v>222</v>
      </c>
      <c r="E914" s="50" t="str">
        <f>VLOOKUP(D914,'Sales Team'!A$2:B$6,1,0)</f>
        <v>ST0001</v>
      </c>
      <c r="F914" s="28">
        <v>44810</v>
      </c>
      <c r="G914" s="29" t="s">
        <v>237</v>
      </c>
      <c r="H914" s="31">
        <v>824934230</v>
      </c>
      <c r="I914" s="17"/>
    </row>
    <row r="915" spans="1:9" ht="15.75" customHeight="1" x14ac:dyDescent="0.3">
      <c r="A915" s="17" t="s">
        <v>1152</v>
      </c>
      <c r="B915" s="17" t="s">
        <v>193</v>
      </c>
      <c r="C915" s="50" t="str">
        <f>VLOOKUP(B915,'Patner Store'!A$2:A$51,1,0)</f>
        <v>PS0039</v>
      </c>
      <c r="D915" s="29" t="s">
        <v>227</v>
      </c>
      <c r="E915" s="50" t="str">
        <f>VLOOKUP(D915,'Sales Team'!A$2:B$6,1,0)</f>
        <v>ST0003</v>
      </c>
      <c r="F915" s="28">
        <v>44811</v>
      </c>
      <c r="G915" s="29" t="s">
        <v>237</v>
      </c>
      <c r="H915" s="31">
        <v>295134200</v>
      </c>
      <c r="I915" s="17"/>
    </row>
    <row r="916" spans="1:9" ht="15.75" customHeight="1" x14ac:dyDescent="0.3">
      <c r="A916" s="17" t="s">
        <v>1153</v>
      </c>
      <c r="B916" s="17" t="s">
        <v>128</v>
      </c>
      <c r="C916" s="50" t="str">
        <f>VLOOKUP(B916,'Patner Store'!A$2:A$51,1,0)</f>
        <v>PS0009</v>
      </c>
      <c r="D916" s="29" t="s">
        <v>227</v>
      </c>
      <c r="E916" s="50" t="str">
        <f>VLOOKUP(D916,'Sales Team'!A$2:B$6,1,0)</f>
        <v>ST0003</v>
      </c>
      <c r="F916" s="28">
        <v>44813</v>
      </c>
      <c r="G916" s="17" t="s">
        <v>234</v>
      </c>
      <c r="H916" s="31">
        <v>13257440</v>
      </c>
      <c r="I916" s="17" t="s">
        <v>260</v>
      </c>
    </row>
    <row r="917" spans="1:9" ht="15.75" customHeight="1" x14ac:dyDescent="0.3">
      <c r="A917" s="17" t="s">
        <v>1154</v>
      </c>
      <c r="B917" s="17" t="s">
        <v>177</v>
      </c>
      <c r="C917" s="50" t="str">
        <f>VLOOKUP(B917,'Patner Store'!A$2:A$51,1,0)</f>
        <v>PS0031</v>
      </c>
      <c r="D917" s="29" t="s">
        <v>225</v>
      </c>
      <c r="E917" s="50" t="str">
        <f>VLOOKUP(D917,'Sales Team'!A$2:B$6,1,0)</f>
        <v>ST0002</v>
      </c>
      <c r="F917" s="28">
        <v>44813</v>
      </c>
      <c r="G917" s="29" t="s">
        <v>237</v>
      </c>
      <c r="H917" s="31">
        <v>254408400</v>
      </c>
      <c r="I917" s="17" t="s">
        <v>260</v>
      </c>
    </row>
    <row r="918" spans="1:9" ht="15.75" customHeight="1" x14ac:dyDescent="0.3">
      <c r="A918" s="17" t="s">
        <v>1155</v>
      </c>
      <c r="B918" s="17" t="s">
        <v>177</v>
      </c>
      <c r="C918" s="50" t="str">
        <f>VLOOKUP(B918,'Patner Store'!A$2:A$51,1,0)</f>
        <v>PS0031</v>
      </c>
      <c r="D918" s="29" t="s">
        <v>225</v>
      </c>
      <c r="E918" s="50" t="str">
        <f>VLOOKUP(D918,'Sales Team'!A$2:B$6,1,0)</f>
        <v>ST0002</v>
      </c>
      <c r="F918" s="28">
        <v>44815</v>
      </c>
      <c r="G918" s="29" t="s">
        <v>237</v>
      </c>
      <c r="H918" s="31">
        <v>408897700</v>
      </c>
      <c r="I918" s="17"/>
    </row>
    <row r="919" spans="1:9" ht="15.75" customHeight="1" x14ac:dyDescent="0.3">
      <c r="A919" s="17" t="s">
        <v>1156</v>
      </c>
      <c r="B919" s="17" t="s">
        <v>113</v>
      </c>
      <c r="C919" s="50" t="str">
        <f>VLOOKUP(B919,'Patner Store'!A$2:A$51,1,0)</f>
        <v>PS0003</v>
      </c>
      <c r="D919" s="29" t="s">
        <v>227</v>
      </c>
      <c r="E919" s="50" t="str">
        <f>VLOOKUP(D919,'Sales Team'!A$2:B$6,1,0)</f>
        <v>ST0003</v>
      </c>
      <c r="F919" s="28">
        <v>44815</v>
      </c>
      <c r="G919" s="17" t="s">
        <v>234</v>
      </c>
      <c r="H919" s="31">
        <v>17138730</v>
      </c>
      <c r="I919" s="17" t="s">
        <v>247</v>
      </c>
    </row>
    <row r="920" spans="1:9" ht="15.75" customHeight="1" x14ac:dyDescent="0.3">
      <c r="A920" s="17" t="s">
        <v>1157</v>
      </c>
      <c r="B920" s="17" t="s">
        <v>191</v>
      </c>
      <c r="C920" s="50" t="str">
        <f>VLOOKUP(B920,'Patner Store'!A$2:A$51,1,0)</f>
        <v>PS0038</v>
      </c>
      <c r="D920" s="29" t="s">
        <v>229</v>
      </c>
      <c r="E920" s="50" t="str">
        <f>VLOOKUP(D920,'Sales Team'!A$2:B$6,1,0)</f>
        <v>ST0004</v>
      </c>
      <c r="F920" s="28">
        <v>44817</v>
      </c>
      <c r="G920" s="29" t="s">
        <v>237</v>
      </c>
      <c r="H920" s="31">
        <v>447245890</v>
      </c>
      <c r="I920" s="17"/>
    </row>
    <row r="921" spans="1:9" ht="15.75" customHeight="1" x14ac:dyDescent="0.3">
      <c r="A921" s="17" t="s">
        <v>1158</v>
      </c>
      <c r="B921" s="17" t="s">
        <v>201</v>
      </c>
      <c r="C921" s="50" t="str">
        <f>VLOOKUP(B921,'Patner Store'!A$2:A$51,1,0)</f>
        <v>PS0043</v>
      </c>
      <c r="D921" s="29" t="s">
        <v>229</v>
      </c>
      <c r="E921" s="50" t="str">
        <f>VLOOKUP(D921,'Sales Team'!A$2:B$6,1,0)</f>
        <v>ST0004</v>
      </c>
      <c r="F921" s="28">
        <v>44817</v>
      </c>
      <c r="G921" s="29" t="s">
        <v>237</v>
      </c>
      <c r="H921" s="31">
        <v>1231841330</v>
      </c>
      <c r="I921" s="17" t="s">
        <v>238</v>
      </c>
    </row>
    <row r="922" spans="1:9" ht="15.75" customHeight="1" x14ac:dyDescent="0.3">
      <c r="A922" s="17" t="s">
        <v>1159</v>
      </c>
      <c r="B922" s="17" t="s">
        <v>179</v>
      </c>
      <c r="C922" s="50" t="str">
        <f>VLOOKUP(B922,'Patner Store'!A$2:A$51,1,0)</f>
        <v>PS0032</v>
      </c>
      <c r="D922" s="29" t="s">
        <v>229</v>
      </c>
      <c r="E922" s="50" t="str">
        <f>VLOOKUP(D922,'Sales Team'!A$2:B$6,1,0)</f>
        <v>ST0004</v>
      </c>
      <c r="F922" s="28">
        <v>44818</v>
      </c>
      <c r="G922" s="17" t="s">
        <v>234</v>
      </c>
      <c r="H922" s="31">
        <v>177678000</v>
      </c>
      <c r="I922" s="17"/>
    </row>
    <row r="923" spans="1:9" ht="15.75" customHeight="1" x14ac:dyDescent="0.3">
      <c r="A923" s="17" t="s">
        <v>1160</v>
      </c>
      <c r="B923" s="17" t="s">
        <v>211</v>
      </c>
      <c r="C923" s="50" t="str">
        <f>VLOOKUP(B923,'Patner Store'!A$2:A$51,1,0)</f>
        <v>PS0048</v>
      </c>
      <c r="D923" s="29" t="s">
        <v>227</v>
      </c>
      <c r="E923" s="50" t="str">
        <f>VLOOKUP(D923,'Sales Team'!A$2:B$6,1,0)</f>
        <v>ST0003</v>
      </c>
      <c r="F923" s="28">
        <v>44818</v>
      </c>
      <c r="G923" s="17" t="s">
        <v>234</v>
      </c>
      <c r="H923" s="31">
        <v>246048140</v>
      </c>
      <c r="I923" s="17" t="s">
        <v>260</v>
      </c>
    </row>
    <row r="924" spans="1:9" ht="15.75" customHeight="1" x14ac:dyDescent="0.3">
      <c r="A924" s="17" t="s">
        <v>1161</v>
      </c>
      <c r="B924" s="17" t="s">
        <v>191</v>
      </c>
      <c r="C924" s="50" t="str">
        <f>VLOOKUP(B924,'Patner Store'!A$2:A$51,1,0)</f>
        <v>PS0038</v>
      </c>
      <c r="D924" s="29" t="s">
        <v>229</v>
      </c>
      <c r="E924" s="50" t="str">
        <f>VLOOKUP(D924,'Sales Team'!A$2:B$6,1,0)</f>
        <v>ST0004</v>
      </c>
      <c r="F924" s="28">
        <v>44819</v>
      </c>
      <c r="G924" s="17" t="s">
        <v>234</v>
      </c>
      <c r="H924" s="31">
        <v>56616620.000000007</v>
      </c>
      <c r="I924" s="17"/>
    </row>
    <row r="925" spans="1:9" ht="15.75" customHeight="1" x14ac:dyDescent="0.3">
      <c r="A925" s="17" t="s">
        <v>1162</v>
      </c>
      <c r="B925" s="17" t="s">
        <v>168</v>
      </c>
      <c r="C925" s="50" t="str">
        <f>VLOOKUP(B925,'Patner Store'!A$2:A$51,1,0)</f>
        <v>PS0027</v>
      </c>
      <c r="D925" s="29" t="s">
        <v>229</v>
      </c>
      <c r="E925" s="50" t="str">
        <f>VLOOKUP(D925,'Sales Team'!A$2:B$6,1,0)</f>
        <v>ST0004</v>
      </c>
      <c r="F925" s="28">
        <v>44821</v>
      </c>
      <c r="G925" s="17" t="s">
        <v>234</v>
      </c>
      <c r="H925" s="31">
        <v>26196280</v>
      </c>
      <c r="I925" s="17"/>
    </row>
    <row r="926" spans="1:9" ht="15.75" customHeight="1" x14ac:dyDescent="0.3">
      <c r="A926" s="17" t="s">
        <v>1163</v>
      </c>
      <c r="B926" s="17" t="s">
        <v>113</v>
      </c>
      <c r="C926" s="50" t="str">
        <f>VLOOKUP(B926,'Patner Store'!A$2:A$51,1,0)</f>
        <v>PS0003</v>
      </c>
      <c r="D926" s="29" t="s">
        <v>227</v>
      </c>
      <c r="E926" s="50" t="str">
        <f>VLOOKUP(D926,'Sales Team'!A$2:B$6,1,0)</f>
        <v>ST0003</v>
      </c>
      <c r="F926" s="28">
        <v>44822</v>
      </c>
      <c r="G926" s="29" t="s">
        <v>237</v>
      </c>
      <c r="H926" s="31">
        <v>272866550</v>
      </c>
      <c r="I926" s="17"/>
    </row>
    <row r="927" spans="1:9" ht="15.75" customHeight="1" x14ac:dyDescent="0.3">
      <c r="A927" s="17" t="s">
        <v>1164</v>
      </c>
      <c r="B927" s="17" t="s">
        <v>148</v>
      </c>
      <c r="C927" s="50" t="str">
        <f>VLOOKUP(B927,'Patner Store'!A$2:A$51,1,0)</f>
        <v>PS0018</v>
      </c>
      <c r="D927" s="29" t="s">
        <v>225</v>
      </c>
      <c r="E927" s="50" t="str">
        <f>VLOOKUP(D927,'Sales Team'!A$2:B$6,1,0)</f>
        <v>ST0002</v>
      </c>
      <c r="F927" s="28">
        <v>44822</v>
      </c>
      <c r="G927" s="17" t="s">
        <v>234</v>
      </c>
      <c r="H927" s="31">
        <v>18974400</v>
      </c>
      <c r="I927" s="17"/>
    </row>
    <row r="928" spans="1:9" ht="15.75" customHeight="1" x14ac:dyDescent="0.3">
      <c r="A928" s="17" t="s">
        <v>1165</v>
      </c>
      <c r="B928" s="17" t="s">
        <v>158</v>
      </c>
      <c r="C928" s="50" t="str">
        <f>VLOOKUP(B928,'Patner Store'!A$2:A$51,1,0)</f>
        <v>PS0022</v>
      </c>
      <c r="D928" s="29" t="s">
        <v>229</v>
      </c>
      <c r="E928" s="50" t="str">
        <f>VLOOKUP(D928,'Sales Team'!A$2:B$6,1,0)</f>
        <v>ST0004</v>
      </c>
      <c r="F928" s="28">
        <v>44824</v>
      </c>
      <c r="G928" s="17" t="s">
        <v>234</v>
      </c>
      <c r="H928" s="31">
        <v>167455070</v>
      </c>
      <c r="I928" s="17"/>
    </row>
    <row r="929" spans="1:9" ht="15.75" customHeight="1" x14ac:dyDescent="0.3">
      <c r="A929" s="17" t="s">
        <v>1166</v>
      </c>
      <c r="B929" s="17" t="s">
        <v>215</v>
      </c>
      <c r="C929" s="50" t="str">
        <f>VLOOKUP(B929,'Patner Store'!A$2:A$51,1,0)</f>
        <v>PS0050</v>
      </c>
      <c r="D929" s="29" t="s">
        <v>229</v>
      </c>
      <c r="E929" s="50" t="str">
        <f>VLOOKUP(D929,'Sales Team'!A$2:B$6,1,0)</f>
        <v>ST0004</v>
      </c>
      <c r="F929" s="28">
        <v>44825</v>
      </c>
      <c r="G929" s="17" t="s">
        <v>234</v>
      </c>
      <c r="H929" s="31">
        <v>79189580</v>
      </c>
      <c r="I929" s="17" t="s">
        <v>260</v>
      </c>
    </row>
    <row r="930" spans="1:9" ht="15.75" customHeight="1" x14ac:dyDescent="0.3">
      <c r="A930" s="17" t="s">
        <v>1167</v>
      </c>
      <c r="B930" s="17" t="s">
        <v>122</v>
      </c>
      <c r="C930" s="50" t="str">
        <f>VLOOKUP(B930,'Patner Store'!A$2:A$51,1,0)</f>
        <v>PS0006</v>
      </c>
      <c r="D930" s="29" t="s">
        <v>227</v>
      </c>
      <c r="E930" s="50" t="str">
        <f>VLOOKUP(D930,'Sales Team'!A$2:B$6,1,0)</f>
        <v>ST0003</v>
      </c>
      <c r="F930" s="28">
        <v>44826</v>
      </c>
      <c r="G930" s="29" t="s">
        <v>237</v>
      </c>
      <c r="H930" s="31">
        <v>633480060</v>
      </c>
      <c r="I930" s="17" t="s">
        <v>260</v>
      </c>
    </row>
    <row r="931" spans="1:9" ht="15.75" customHeight="1" x14ac:dyDescent="0.3">
      <c r="A931" s="17" t="s">
        <v>1168</v>
      </c>
      <c r="B931" s="17" t="s">
        <v>203</v>
      </c>
      <c r="C931" s="50" t="str">
        <f>VLOOKUP(B931,'Patner Store'!A$2:A$51,1,0)</f>
        <v>PS0044</v>
      </c>
      <c r="D931" s="29" t="s">
        <v>229</v>
      </c>
      <c r="E931" s="50" t="str">
        <f>VLOOKUP(D931,'Sales Team'!A$2:B$6,1,0)</f>
        <v>ST0004</v>
      </c>
      <c r="F931" s="28">
        <v>44828</v>
      </c>
      <c r="G931" s="29" t="s">
        <v>237</v>
      </c>
      <c r="H931" s="31">
        <v>381296340</v>
      </c>
      <c r="I931" s="17"/>
    </row>
    <row r="932" spans="1:9" ht="15.75" customHeight="1" x14ac:dyDescent="0.3">
      <c r="A932" s="17" t="s">
        <v>1169</v>
      </c>
      <c r="B932" s="17" t="s">
        <v>166</v>
      </c>
      <c r="C932" s="50" t="str">
        <f>VLOOKUP(B932,'Patner Store'!A$2:A$51,1,0)</f>
        <v>PS0026</v>
      </c>
      <c r="D932" s="29" t="s">
        <v>229</v>
      </c>
      <c r="E932" s="50" t="str">
        <f>VLOOKUP(D932,'Sales Team'!A$2:B$6,1,0)</f>
        <v>ST0004</v>
      </c>
      <c r="F932" s="28">
        <v>44828</v>
      </c>
      <c r="G932" s="17" t="s">
        <v>234</v>
      </c>
      <c r="H932" s="31">
        <v>147352350</v>
      </c>
      <c r="I932" s="17"/>
    </row>
    <row r="933" spans="1:9" ht="15.75" customHeight="1" x14ac:dyDescent="0.3">
      <c r="A933" s="17" t="s">
        <v>1170</v>
      </c>
      <c r="B933" s="17" t="s">
        <v>177</v>
      </c>
      <c r="C933" s="50" t="str">
        <f>VLOOKUP(B933,'Patner Store'!A$2:A$51,1,0)</f>
        <v>PS0031</v>
      </c>
      <c r="D933" s="29" t="s">
        <v>225</v>
      </c>
      <c r="E933" s="50" t="str">
        <f>VLOOKUP(D933,'Sales Team'!A$2:B$6,1,0)</f>
        <v>ST0002</v>
      </c>
      <c r="F933" s="28">
        <v>44829</v>
      </c>
      <c r="G933" s="17" t="s">
        <v>234</v>
      </c>
      <c r="H933" s="31">
        <v>108421460</v>
      </c>
      <c r="I933" s="17"/>
    </row>
    <row r="934" spans="1:9" ht="15.75" customHeight="1" x14ac:dyDescent="0.3">
      <c r="A934" s="17" t="s">
        <v>1171</v>
      </c>
      <c r="B934" s="17" t="s">
        <v>148</v>
      </c>
      <c r="C934" s="50" t="str">
        <f>VLOOKUP(B934,'Patner Store'!A$2:A$51,1,0)</f>
        <v>PS0018</v>
      </c>
      <c r="D934" s="29" t="s">
        <v>225</v>
      </c>
      <c r="E934" s="50" t="str">
        <f>VLOOKUP(D934,'Sales Team'!A$2:B$6,1,0)</f>
        <v>ST0002</v>
      </c>
      <c r="F934" s="28">
        <v>44829</v>
      </c>
      <c r="G934" s="29" t="s">
        <v>237</v>
      </c>
      <c r="H934" s="31">
        <v>463957934</v>
      </c>
      <c r="I934" s="17"/>
    </row>
    <row r="935" spans="1:9" ht="15.75" customHeight="1" x14ac:dyDescent="0.3">
      <c r="A935" s="17" t="s">
        <v>1172</v>
      </c>
      <c r="B935" s="17" t="s">
        <v>156</v>
      </c>
      <c r="C935" s="50" t="str">
        <f>VLOOKUP(B935,'Patner Store'!A$2:A$51,1,0)</f>
        <v>PS0021</v>
      </c>
      <c r="D935" s="29" t="s">
        <v>222</v>
      </c>
      <c r="E935" s="50" t="str">
        <f>VLOOKUP(D935,'Sales Team'!A$2:B$6,1,0)</f>
        <v>ST0001</v>
      </c>
      <c r="F935" s="28">
        <v>44832</v>
      </c>
      <c r="G935" s="17" t="s">
        <v>234</v>
      </c>
      <c r="H935" s="31">
        <v>120465330</v>
      </c>
      <c r="I935" s="17" t="s">
        <v>247</v>
      </c>
    </row>
    <row r="936" spans="1:9" ht="15.75" customHeight="1" x14ac:dyDescent="0.3">
      <c r="A936" s="17" t="s">
        <v>1173</v>
      </c>
      <c r="B936" s="17" t="s">
        <v>215</v>
      </c>
      <c r="C936" s="50" t="str">
        <f>VLOOKUP(B936,'Patner Store'!A$2:A$51,1,0)</f>
        <v>PS0050</v>
      </c>
      <c r="D936" s="29" t="s">
        <v>229</v>
      </c>
      <c r="E936" s="50" t="str">
        <f>VLOOKUP(D936,'Sales Team'!A$2:B$6,1,0)</f>
        <v>ST0004</v>
      </c>
      <c r="F936" s="28">
        <v>44833</v>
      </c>
      <c r="G936" s="17" t="s">
        <v>234</v>
      </c>
      <c r="H936" s="31">
        <v>29641060</v>
      </c>
      <c r="I936" s="17"/>
    </row>
    <row r="937" spans="1:9" ht="15.75" customHeight="1" x14ac:dyDescent="0.3">
      <c r="A937" s="17" t="s">
        <v>1174</v>
      </c>
      <c r="B937" s="17" t="s">
        <v>191</v>
      </c>
      <c r="C937" s="50" t="str">
        <f>VLOOKUP(B937,'Patner Store'!A$2:A$51,1,0)</f>
        <v>PS0038</v>
      </c>
      <c r="D937" s="29" t="s">
        <v>229</v>
      </c>
      <c r="E937" s="50" t="str">
        <f>VLOOKUP(D937,'Sales Team'!A$2:B$6,1,0)</f>
        <v>ST0004</v>
      </c>
      <c r="F937" s="28">
        <v>44834</v>
      </c>
      <c r="G937" s="17" t="s">
        <v>234</v>
      </c>
      <c r="H937" s="31">
        <v>9784080</v>
      </c>
      <c r="I937" s="17" t="s">
        <v>247</v>
      </c>
    </row>
    <row r="938" spans="1:9" ht="15.75" customHeight="1" x14ac:dyDescent="0.3">
      <c r="A938" s="17" t="s">
        <v>1175</v>
      </c>
      <c r="B938" s="17" t="s">
        <v>160</v>
      </c>
      <c r="C938" s="50" t="str">
        <f>VLOOKUP(B938,'Patner Store'!A$2:A$51,1,0)</f>
        <v>PS0023</v>
      </c>
      <c r="D938" s="29" t="s">
        <v>227</v>
      </c>
      <c r="E938" s="50" t="str">
        <f>VLOOKUP(D938,'Sales Team'!A$2:B$6,1,0)</f>
        <v>ST0003</v>
      </c>
      <c r="F938" s="28">
        <v>44835</v>
      </c>
      <c r="G938" s="17" t="s">
        <v>234</v>
      </c>
      <c r="H938" s="31">
        <v>29223315</v>
      </c>
      <c r="I938" s="17"/>
    </row>
    <row r="939" spans="1:9" ht="15.75" customHeight="1" x14ac:dyDescent="0.3">
      <c r="A939" s="17" t="s">
        <v>1176</v>
      </c>
      <c r="B939" s="17" t="s">
        <v>215</v>
      </c>
      <c r="C939" s="50" t="str">
        <f>VLOOKUP(B939,'Patner Store'!A$2:A$51,1,0)</f>
        <v>PS0050</v>
      </c>
      <c r="D939" s="29" t="s">
        <v>229</v>
      </c>
      <c r="E939" s="50" t="str">
        <f>VLOOKUP(D939,'Sales Team'!A$2:B$6,1,0)</f>
        <v>ST0004</v>
      </c>
      <c r="F939" s="28">
        <v>44836</v>
      </c>
      <c r="G939" s="17" t="s">
        <v>234</v>
      </c>
      <c r="H939" s="31">
        <v>98496660</v>
      </c>
      <c r="I939" s="17"/>
    </row>
    <row r="940" spans="1:9" ht="15.75" customHeight="1" x14ac:dyDescent="0.3">
      <c r="A940" s="17" t="s">
        <v>1177</v>
      </c>
      <c r="B940" s="17" t="s">
        <v>195</v>
      </c>
      <c r="C940" s="50" t="str">
        <f>VLOOKUP(B940,'Patner Store'!A$2:A$51,1,0)</f>
        <v>PS0040</v>
      </c>
      <c r="D940" s="29" t="s">
        <v>227</v>
      </c>
      <c r="E940" s="50" t="str">
        <f>VLOOKUP(D940,'Sales Team'!A$2:B$6,1,0)</f>
        <v>ST0003</v>
      </c>
      <c r="F940" s="28">
        <v>44838</v>
      </c>
      <c r="G940" s="29" t="s">
        <v>237</v>
      </c>
      <c r="H940" s="31">
        <v>320403000</v>
      </c>
      <c r="I940" s="17" t="s">
        <v>253</v>
      </c>
    </row>
    <row r="941" spans="1:9" ht="15.75" customHeight="1" x14ac:dyDescent="0.3">
      <c r="A941" s="17" t="s">
        <v>1178</v>
      </c>
      <c r="B941" s="17" t="s">
        <v>151</v>
      </c>
      <c r="C941" s="50" t="str">
        <f>VLOOKUP(B941,'Patner Store'!A$2:A$51,1,0)</f>
        <v>PS0019</v>
      </c>
      <c r="D941" s="29" t="s">
        <v>231</v>
      </c>
      <c r="E941" s="50" t="str">
        <f>VLOOKUP(D941,'Sales Team'!A$2:B$6,1,0)</f>
        <v>ST0005</v>
      </c>
      <c r="F941" s="28">
        <v>44838</v>
      </c>
      <c r="G941" s="17" t="s">
        <v>234</v>
      </c>
      <c r="H941" s="31">
        <v>143240160</v>
      </c>
      <c r="I941" s="17" t="s">
        <v>260</v>
      </c>
    </row>
    <row r="942" spans="1:9" ht="15.75" customHeight="1" x14ac:dyDescent="0.3">
      <c r="A942" s="17" t="s">
        <v>1179</v>
      </c>
      <c r="B942" s="17" t="s">
        <v>175</v>
      </c>
      <c r="C942" s="50" t="str">
        <f>VLOOKUP(B942,'Patner Store'!A$2:A$51,1,0)</f>
        <v>PS0030</v>
      </c>
      <c r="D942" s="29" t="s">
        <v>229</v>
      </c>
      <c r="E942" s="50" t="str">
        <f>VLOOKUP(D942,'Sales Team'!A$2:B$6,1,0)</f>
        <v>ST0004</v>
      </c>
      <c r="F942" s="28">
        <v>44839</v>
      </c>
      <c r="G942" s="17" t="s">
        <v>234</v>
      </c>
      <c r="H942" s="31">
        <v>93987240</v>
      </c>
      <c r="I942" s="17"/>
    </row>
    <row r="943" spans="1:9" ht="15.75" customHeight="1" x14ac:dyDescent="0.3">
      <c r="A943" s="17" t="s">
        <v>1180</v>
      </c>
      <c r="B943" s="17" t="s">
        <v>109</v>
      </c>
      <c r="C943" s="50" t="str">
        <f>VLOOKUP(B943,'Patner Store'!A$2:A$51,1,0)</f>
        <v>PS0002</v>
      </c>
      <c r="D943" s="29" t="s">
        <v>225</v>
      </c>
      <c r="E943" s="50" t="str">
        <f>VLOOKUP(D943,'Sales Team'!A$2:B$6,1,0)</f>
        <v>ST0002</v>
      </c>
      <c r="F943" s="28">
        <v>44840</v>
      </c>
      <c r="G943" s="29" t="s">
        <v>237</v>
      </c>
      <c r="H943" s="31">
        <v>422965160</v>
      </c>
      <c r="I943" s="17"/>
    </row>
    <row r="944" spans="1:9" ht="15.75" customHeight="1" x14ac:dyDescent="0.3">
      <c r="A944" s="17" t="s">
        <v>1181</v>
      </c>
      <c r="B944" s="17" t="s">
        <v>154</v>
      </c>
      <c r="C944" s="50" t="str">
        <f>VLOOKUP(B944,'Patner Store'!A$2:A$51,1,0)</f>
        <v>PS0020</v>
      </c>
      <c r="D944" s="29" t="s">
        <v>229</v>
      </c>
      <c r="E944" s="50" t="str">
        <f>VLOOKUP(D944,'Sales Team'!A$2:B$6,1,0)</f>
        <v>ST0004</v>
      </c>
      <c r="F944" s="28">
        <v>44841</v>
      </c>
      <c r="G944" s="29" t="s">
        <v>237</v>
      </c>
      <c r="H944" s="31">
        <v>578886030</v>
      </c>
      <c r="I944" s="17"/>
    </row>
    <row r="945" spans="1:9" ht="15.75" customHeight="1" x14ac:dyDescent="0.3">
      <c r="A945" s="17" t="s">
        <v>1182</v>
      </c>
      <c r="B945" s="17" t="s">
        <v>160</v>
      </c>
      <c r="C945" s="50" t="str">
        <f>VLOOKUP(B945,'Patner Store'!A$2:A$51,1,0)</f>
        <v>PS0023</v>
      </c>
      <c r="D945" s="29" t="s">
        <v>227</v>
      </c>
      <c r="E945" s="50" t="str">
        <f>VLOOKUP(D945,'Sales Team'!A$2:B$6,1,0)</f>
        <v>ST0003</v>
      </c>
      <c r="F945" s="28">
        <v>44842</v>
      </c>
      <c r="G945" s="17" t="s">
        <v>234</v>
      </c>
      <c r="H945" s="31">
        <v>14411279.999999998</v>
      </c>
      <c r="I945" s="17"/>
    </row>
    <row r="946" spans="1:9" ht="15.75" customHeight="1" x14ac:dyDescent="0.3">
      <c r="A946" s="17" t="s">
        <v>1183</v>
      </c>
      <c r="B946" s="17" t="s">
        <v>164</v>
      </c>
      <c r="C946" s="50" t="str">
        <f>VLOOKUP(B946,'Patner Store'!A$2:A$51,1,0)</f>
        <v>PS0025</v>
      </c>
      <c r="D946" s="29" t="s">
        <v>227</v>
      </c>
      <c r="E946" s="50" t="str">
        <f>VLOOKUP(D946,'Sales Team'!A$2:B$6,1,0)</f>
        <v>ST0003</v>
      </c>
      <c r="F946" s="28">
        <v>44842</v>
      </c>
      <c r="G946" s="29" t="s">
        <v>237</v>
      </c>
      <c r="H946" s="31">
        <v>763950070</v>
      </c>
      <c r="I946" s="17"/>
    </row>
    <row r="947" spans="1:9" ht="15.75" customHeight="1" x14ac:dyDescent="0.3">
      <c r="A947" s="17" t="s">
        <v>1184</v>
      </c>
      <c r="B947" s="17" t="s">
        <v>128</v>
      </c>
      <c r="C947" s="50" t="str">
        <f>VLOOKUP(B947,'Patner Store'!A$2:A$51,1,0)</f>
        <v>PS0009</v>
      </c>
      <c r="D947" s="29" t="s">
        <v>227</v>
      </c>
      <c r="E947" s="50" t="str">
        <f>VLOOKUP(D947,'Sales Team'!A$2:B$6,1,0)</f>
        <v>ST0003</v>
      </c>
      <c r="F947" s="28">
        <v>44843</v>
      </c>
      <c r="G947" s="17" t="s">
        <v>234</v>
      </c>
      <c r="H947" s="31">
        <v>37043600</v>
      </c>
      <c r="I947" s="17"/>
    </row>
    <row r="948" spans="1:9" ht="15.75" customHeight="1" x14ac:dyDescent="0.3">
      <c r="A948" s="17" t="s">
        <v>1185</v>
      </c>
      <c r="B948" s="17" t="s">
        <v>105</v>
      </c>
      <c r="C948" s="50" t="str">
        <f>VLOOKUP(B948,'Patner Store'!A$2:A$51,1,0)</f>
        <v>PS0001</v>
      </c>
      <c r="D948" s="29" t="s">
        <v>231</v>
      </c>
      <c r="E948" s="50" t="str">
        <f>VLOOKUP(D948,'Sales Team'!A$2:B$6,1,0)</f>
        <v>ST0005</v>
      </c>
      <c r="F948" s="28">
        <v>44845</v>
      </c>
      <c r="G948" s="17" t="s">
        <v>234</v>
      </c>
      <c r="H948" s="31">
        <v>23610730</v>
      </c>
      <c r="I948" s="17"/>
    </row>
    <row r="949" spans="1:9" ht="15.75" customHeight="1" x14ac:dyDescent="0.3">
      <c r="A949" s="17" t="s">
        <v>1186</v>
      </c>
      <c r="B949" s="17" t="s">
        <v>191</v>
      </c>
      <c r="C949" s="50" t="str">
        <f>VLOOKUP(B949,'Patner Store'!A$2:A$51,1,0)</f>
        <v>PS0038</v>
      </c>
      <c r="D949" s="29" t="s">
        <v>229</v>
      </c>
      <c r="E949" s="50" t="str">
        <f>VLOOKUP(D949,'Sales Team'!A$2:B$6,1,0)</f>
        <v>ST0004</v>
      </c>
      <c r="F949" s="28">
        <v>44845</v>
      </c>
      <c r="G949" s="29" t="s">
        <v>237</v>
      </c>
      <c r="H949" s="31">
        <v>1137224812</v>
      </c>
      <c r="I949" s="17" t="s">
        <v>238</v>
      </c>
    </row>
    <row r="950" spans="1:9" ht="15.75" customHeight="1" x14ac:dyDescent="0.3">
      <c r="A950" s="17" t="s">
        <v>1187</v>
      </c>
      <c r="B950" s="17" t="s">
        <v>141</v>
      </c>
      <c r="C950" s="50" t="str">
        <f>VLOOKUP(B950,'Patner Store'!A$2:A$51,1,0)</f>
        <v>PS0015</v>
      </c>
      <c r="D950" s="29" t="s">
        <v>229</v>
      </c>
      <c r="E950" s="50" t="str">
        <f>VLOOKUP(D950,'Sales Team'!A$2:B$6,1,0)</f>
        <v>ST0004</v>
      </c>
      <c r="F950" s="28">
        <v>44847</v>
      </c>
      <c r="G950" s="17" t="s">
        <v>234</v>
      </c>
      <c r="H950" s="31">
        <v>230615840</v>
      </c>
      <c r="I950" s="17"/>
    </row>
    <row r="951" spans="1:9" ht="15.75" customHeight="1" x14ac:dyDescent="0.3">
      <c r="A951" s="17" t="s">
        <v>1188</v>
      </c>
      <c r="B951" s="17" t="s">
        <v>211</v>
      </c>
      <c r="C951" s="50" t="str">
        <f>VLOOKUP(B951,'Patner Store'!A$2:A$51,1,0)</f>
        <v>PS0048</v>
      </c>
      <c r="D951" s="29" t="s">
        <v>227</v>
      </c>
      <c r="E951" s="50" t="str">
        <f>VLOOKUP(D951,'Sales Team'!A$2:B$6,1,0)</f>
        <v>ST0003</v>
      </c>
      <c r="F951" s="28">
        <v>44847</v>
      </c>
      <c r="G951" s="29" t="s">
        <v>237</v>
      </c>
      <c r="H951" s="31">
        <v>363813400</v>
      </c>
      <c r="I951" s="17"/>
    </row>
    <row r="952" spans="1:9" ht="15.75" customHeight="1" x14ac:dyDescent="0.3">
      <c r="A952" s="17" t="s">
        <v>1189</v>
      </c>
      <c r="B952" s="17" t="s">
        <v>187</v>
      </c>
      <c r="C952" s="50" t="str">
        <f>VLOOKUP(B952,'Patner Store'!A$2:A$51,1,0)</f>
        <v>PS0036</v>
      </c>
      <c r="D952" s="29" t="s">
        <v>231</v>
      </c>
      <c r="E952" s="50" t="str">
        <f>VLOOKUP(D952,'Sales Team'!A$2:B$6,1,0)</f>
        <v>ST0005</v>
      </c>
      <c r="F952" s="28">
        <v>44848</v>
      </c>
      <c r="G952" s="29" t="s">
        <v>237</v>
      </c>
      <c r="H952" s="31">
        <v>934764040</v>
      </c>
      <c r="I952" s="17"/>
    </row>
    <row r="953" spans="1:9" ht="15.75" customHeight="1" x14ac:dyDescent="0.3">
      <c r="A953" s="17" t="s">
        <v>1190</v>
      </c>
      <c r="B953" s="17" t="s">
        <v>158</v>
      </c>
      <c r="C953" s="50" t="str">
        <f>VLOOKUP(B953,'Patner Store'!A$2:A$51,1,0)</f>
        <v>PS0022</v>
      </c>
      <c r="D953" s="29" t="s">
        <v>229</v>
      </c>
      <c r="E953" s="50" t="str">
        <f>VLOOKUP(D953,'Sales Team'!A$2:B$6,1,0)</f>
        <v>ST0004</v>
      </c>
      <c r="F953" s="28">
        <v>44848</v>
      </c>
      <c r="G953" s="17" t="s">
        <v>234</v>
      </c>
      <c r="H953" s="31">
        <v>76974740</v>
      </c>
      <c r="I953" s="17"/>
    </row>
    <row r="954" spans="1:9" ht="15.75" customHeight="1" x14ac:dyDescent="0.3">
      <c r="A954" s="17" t="s">
        <v>1191</v>
      </c>
      <c r="B954" s="17" t="s">
        <v>113</v>
      </c>
      <c r="C954" s="50" t="str">
        <f>VLOOKUP(B954,'Patner Store'!A$2:A$51,1,0)</f>
        <v>PS0003</v>
      </c>
      <c r="D954" s="29" t="s">
        <v>227</v>
      </c>
      <c r="E954" s="50" t="str">
        <f>VLOOKUP(D954,'Sales Team'!A$2:B$6,1,0)</f>
        <v>ST0003</v>
      </c>
      <c r="F954" s="28">
        <v>44849</v>
      </c>
      <c r="G954" s="29" t="s">
        <v>237</v>
      </c>
      <c r="H954" s="31">
        <v>300707000</v>
      </c>
      <c r="I954" s="17"/>
    </row>
    <row r="955" spans="1:9" ht="15.75" customHeight="1" x14ac:dyDescent="0.3">
      <c r="A955" s="17" t="s">
        <v>1192</v>
      </c>
      <c r="B955" s="17" t="s">
        <v>131</v>
      </c>
      <c r="C955" s="50" t="str">
        <f>VLOOKUP(B955,'Patner Store'!A$2:A$51,1,0)</f>
        <v>PS0010</v>
      </c>
      <c r="D955" s="29" t="s">
        <v>222</v>
      </c>
      <c r="E955" s="50" t="str">
        <f>VLOOKUP(D955,'Sales Team'!A$2:B$6,1,0)</f>
        <v>ST0001</v>
      </c>
      <c r="F955" s="28">
        <v>44850</v>
      </c>
      <c r="G955" s="17" t="s">
        <v>234</v>
      </c>
      <c r="H955" s="31">
        <v>9415310</v>
      </c>
      <c r="I955" s="17"/>
    </row>
    <row r="956" spans="1:9" ht="15.75" customHeight="1" x14ac:dyDescent="0.3">
      <c r="A956" s="17" t="s">
        <v>1193</v>
      </c>
      <c r="B956" s="17" t="s">
        <v>199</v>
      </c>
      <c r="C956" s="50" t="str">
        <f>VLOOKUP(B956,'Patner Store'!A$2:A$51,1,0)</f>
        <v>PS0042</v>
      </c>
      <c r="D956" s="29" t="s">
        <v>225</v>
      </c>
      <c r="E956" s="50" t="str">
        <f>VLOOKUP(D956,'Sales Team'!A$2:B$6,1,0)</f>
        <v>ST0002</v>
      </c>
      <c r="F956" s="28">
        <v>44850</v>
      </c>
      <c r="G956" s="17" t="s">
        <v>234</v>
      </c>
      <c r="H956" s="31">
        <v>242601255</v>
      </c>
      <c r="I956" s="17"/>
    </row>
    <row r="957" spans="1:9" ht="15.75" customHeight="1" x14ac:dyDescent="0.3">
      <c r="A957" s="17" t="s">
        <v>1194</v>
      </c>
      <c r="B957" s="17" t="s">
        <v>146</v>
      </c>
      <c r="C957" s="50" t="str">
        <f>VLOOKUP(B957,'Patner Store'!A$2:A$51,1,0)</f>
        <v>PS0017</v>
      </c>
      <c r="D957" s="29" t="s">
        <v>222</v>
      </c>
      <c r="E957" s="50" t="str">
        <f>VLOOKUP(D957,'Sales Team'!A$2:B$6,1,0)</f>
        <v>ST0001</v>
      </c>
      <c r="F957" s="28">
        <v>44850</v>
      </c>
      <c r="G957" s="29" t="s">
        <v>237</v>
      </c>
      <c r="H957" s="31">
        <v>310285940</v>
      </c>
      <c r="I957" s="17"/>
    </row>
    <row r="958" spans="1:9" ht="15.75" customHeight="1" x14ac:dyDescent="0.3">
      <c r="A958" s="17" t="s">
        <v>1195</v>
      </c>
      <c r="B958" s="17" t="s">
        <v>131</v>
      </c>
      <c r="C958" s="50" t="str">
        <f>VLOOKUP(B958,'Patner Store'!A$2:A$51,1,0)</f>
        <v>PS0010</v>
      </c>
      <c r="D958" s="29" t="s">
        <v>222</v>
      </c>
      <c r="E958" s="50" t="str">
        <f>VLOOKUP(D958,'Sales Team'!A$2:B$6,1,0)</f>
        <v>ST0001</v>
      </c>
      <c r="F958" s="28">
        <v>44851</v>
      </c>
      <c r="G958" s="29" t="s">
        <v>237</v>
      </c>
      <c r="H958" s="31">
        <v>327313500</v>
      </c>
      <c r="I958" s="17"/>
    </row>
    <row r="959" spans="1:9" ht="15.75" customHeight="1" x14ac:dyDescent="0.3">
      <c r="A959" s="17" t="s">
        <v>1196</v>
      </c>
      <c r="B959" s="17" t="s">
        <v>189</v>
      </c>
      <c r="C959" s="50" t="str">
        <f>VLOOKUP(B959,'Patner Store'!A$2:A$51,1,0)</f>
        <v>PS0037</v>
      </c>
      <c r="D959" s="29" t="s">
        <v>225</v>
      </c>
      <c r="E959" s="50" t="str">
        <f>VLOOKUP(D959,'Sales Team'!A$2:B$6,1,0)</f>
        <v>ST0002</v>
      </c>
      <c r="F959" s="28">
        <v>44852</v>
      </c>
      <c r="G959" s="29" t="s">
        <v>237</v>
      </c>
      <c r="H959" s="31">
        <v>258688590</v>
      </c>
      <c r="I959" s="17"/>
    </row>
    <row r="960" spans="1:9" ht="15.75" customHeight="1" x14ac:dyDescent="0.3">
      <c r="A960" s="17" t="s">
        <v>1197</v>
      </c>
      <c r="B960" s="17" t="s">
        <v>124</v>
      </c>
      <c r="C960" s="50" t="str">
        <f>VLOOKUP(B960,'Patner Store'!A$2:A$51,1,0)</f>
        <v>PS0007</v>
      </c>
      <c r="D960" s="29" t="s">
        <v>222</v>
      </c>
      <c r="E960" s="50" t="str">
        <f>VLOOKUP(D960,'Sales Team'!A$2:B$6,1,0)</f>
        <v>ST0001</v>
      </c>
      <c r="F960" s="28">
        <v>44853</v>
      </c>
      <c r="G960" s="17" t="s">
        <v>234</v>
      </c>
      <c r="H960" s="31">
        <v>165166786</v>
      </c>
      <c r="I960" s="17"/>
    </row>
    <row r="961" spans="1:9" ht="15.75" customHeight="1" x14ac:dyDescent="0.3">
      <c r="A961" s="17" t="s">
        <v>1198</v>
      </c>
      <c r="B961" s="17" t="s">
        <v>166</v>
      </c>
      <c r="C961" s="50" t="str">
        <f>VLOOKUP(B961,'Patner Store'!A$2:A$51,1,0)</f>
        <v>PS0026</v>
      </c>
      <c r="D961" s="29" t="s">
        <v>229</v>
      </c>
      <c r="E961" s="50" t="str">
        <f>VLOOKUP(D961,'Sales Team'!A$2:B$6,1,0)</f>
        <v>ST0004</v>
      </c>
      <c r="F961" s="28">
        <v>44853</v>
      </c>
      <c r="G961" s="29" t="s">
        <v>237</v>
      </c>
      <c r="H961" s="31">
        <v>396684600</v>
      </c>
      <c r="I961" s="17"/>
    </row>
    <row r="962" spans="1:9" ht="15.75" customHeight="1" x14ac:dyDescent="0.3">
      <c r="A962" s="17" t="s">
        <v>1199</v>
      </c>
      <c r="B962" s="17" t="s">
        <v>139</v>
      </c>
      <c r="C962" s="50" t="str">
        <f>VLOOKUP(B962,'Patner Store'!A$2:A$51,1,0)</f>
        <v>PS0014</v>
      </c>
      <c r="D962" s="29" t="s">
        <v>227</v>
      </c>
      <c r="E962" s="50" t="str">
        <f>VLOOKUP(D962,'Sales Team'!A$2:B$6,1,0)</f>
        <v>ST0003</v>
      </c>
      <c r="F962" s="28">
        <v>44853</v>
      </c>
      <c r="G962" s="29" t="s">
        <v>237</v>
      </c>
      <c r="H962" s="31">
        <v>428538200</v>
      </c>
      <c r="I962" s="17"/>
    </row>
    <row r="963" spans="1:9" ht="15.75" customHeight="1" x14ac:dyDescent="0.3">
      <c r="A963" s="17" t="s">
        <v>1200</v>
      </c>
      <c r="B963" s="17" t="s">
        <v>109</v>
      </c>
      <c r="C963" s="50" t="str">
        <f>VLOOKUP(B963,'Patner Store'!A$2:A$51,1,0)</f>
        <v>PS0002</v>
      </c>
      <c r="D963" s="29" t="s">
        <v>225</v>
      </c>
      <c r="E963" s="50" t="str">
        <f>VLOOKUP(D963,'Sales Team'!A$2:B$6,1,0)</f>
        <v>ST0002</v>
      </c>
      <c r="F963" s="28">
        <v>44853</v>
      </c>
      <c r="G963" s="17" t="s">
        <v>234</v>
      </c>
      <c r="H963" s="31">
        <v>183171230</v>
      </c>
      <c r="I963" s="17"/>
    </row>
    <row r="964" spans="1:9" ht="15.75" customHeight="1" x14ac:dyDescent="0.3">
      <c r="A964" s="17" t="s">
        <v>1201</v>
      </c>
      <c r="B964" s="17" t="s">
        <v>122</v>
      </c>
      <c r="C964" s="50" t="str">
        <f>VLOOKUP(B964,'Patner Store'!A$2:A$51,1,0)</f>
        <v>PS0006</v>
      </c>
      <c r="D964" s="29" t="s">
        <v>227</v>
      </c>
      <c r="E964" s="50" t="str">
        <f>VLOOKUP(D964,'Sales Team'!A$2:B$6,1,0)</f>
        <v>ST0003</v>
      </c>
      <c r="F964" s="28">
        <v>44854</v>
      </c>
      <c r="G964" s="29" t="s">
        <v>237</v>
      </c>
      <c r="H964" s="31">
        <v>367521960</v>
      </c>
      <c r="I964" s="17"/>
    </row>
    <row r="965" spans="1:9" ht="15.75" customHeight="1" x14ac:dyDescent="0.3">
      <c r="A965" s="17" t="s">
        <v>1202</v>
      </c>
      <c r="B965" s="17" t="s">
        <v>215</v>
      </c>
      <c r="C965" s="50" t="str">
        <f>VLOOKUP(B965,'Patner Store'!A$2:A$51,1,0)</f>
        <v>PS0050</v>
      </c>
      <c r="D965" s="29" t="s">
        <v>229</v>
      </c>
      <c r="E965" s="50" t="str">
        <f>VLOOKUP(D965,'Sales Team'!A$2:B$6,1,0)</f>
        <v>ST0004</v>
      </c>
      <c r="F965" s="28">
        <v>44854</v>
      </c>
      <c r="G965" s="29" t="s">
        <v>237</v>
      </c>
      <c r="H965" s="31">
        <v>366003740</v>
      </c>
      <c r="I965" s="17" t="s">
        <v>253</v>
      </c>
    </row>
    <row r="966" spans="1:9" ht="15.75" customHeight="1" x14ac:dyDescent="0.3">
      <c r="A966" s="17" t="s">
        <v>1203</v>
      </c>
      <c r="B966" s="17" t="s">
        <v>203</v>
      </c>
      <c r="C966" s="50" t="str">
        <f>VLOOKUP(B966,'Patner Store'!A$2:A$51,1,0)</f>
        <v>PS0044</v>
      </c>
      <c r="D966" s="29" t="s">
        <v>229</v>
      </c>
      <c r="E966" s="50" t="str">
        <f>VLOOKUP(D966,'Sales Team'!A$2:B$6,1,0)</f>
        <v>ST0004</v>
      </c>
      <c r="F966" s="28">
        <v>44854</v>
      </c>
      <c r="G966" s="17" t="s">
        <v>234</v>
      </c>
      <c r="H966" s="31">
        <v>175068560</v>
      </c>
      <c r="I966" s="17"/>
    </row>
    <row r="967" spans="1:9" ht="15.75" customHeight="1" x14ac:dyDescent="0.3">
      <c r="A967" s="17" t="s">
        <v>1204</v>
      </c>
      <c r="B967" s="17" t="s">
        <v>146</v>
      </c>
      <c r="C967" s="50" t="str">
        <f>VLOOKUP(B967,'Patner Store'!A$2:A$51,1,0)</f>
        <v>PS0017</v>
      </c>
      <c r="D967" s="29" t="s">
        <v>222</v>
      </c>
      <c r="E967" s="50" t="str">
        <f>VLOOKUP(D967,'Sales Team'!A$2:B$6,1,0)</f>
        <v>ST0001</v>
      </c>
      <c r="F967" s="28">
        <v>44855</v>
      </c>
      <c r="G967" s="17" t="s">
        <v>234</v>
      </c>
      <c r="H967" s="31">
        <v>21849750</v>
      </c>
      <c r="I967" s="17"/>
    </row>
    <row r="968" spans="1:9" ht="15.75" customHeight="1" x14ac:dyDescent="0.3">
      <c r="A968" s="17" t="s">
        <v>1205</v>
      </c>
      <c r="B968" s="17" t="s">
        <v>156</v>
      </c>
      <c r="C968" s="50" t="str">
        <f>VLOOKUP(B968,'Patner Store'!A$2:A$51,1,0)</f>
        <v>PS0021</v>
      </c>
      <c r="D968" s="29" t="s">
        <v>222</v>
      </c>
      <c r="E968" s="50" t="str">
        <f>VLOOKUP(D968,'Sales Team'!A$2:B$6,1,0)</f>
        <v>ST0001</v>
      </c>
      <c r="F968" s="28">
        <v>44855</v>
      </c>
      <c r="G968" s="17" t="s">
        <v>234</v>
      </c>
      <c r="H968" s="31">
        <v>133038600</v>
      </c>
      <c r="I968" s="17"/>
    </row>
    <row r="969" spans="1:9" ht="15.75" customHeight="1" x14ac:dyDescent="0.3">
      <c r="A969" s="17" t="s">
        <v>1206</v>
      </c>
      <c r="B969" s="17" t="s">
        <v>173</v>
      </c>
      <c r="C969" s="50" t="str">
        <f>VLOOKUP(B969,'Patner Store'!A$2:A$51,1,0)</f>
        <v>PS0029</v>
      </c>
      <c r="D969" s="29" t="s">
        <v>229</v>
      </c>
      <c r="E969" s="50" t="str">
        <f>VLOOKUP(D969,'Sales Team'!A$2:B$6,1,0)</f>
        <v>ST0004</v>
      </c>
      <c r="F969" s="28">
        <v>44856</v>
      </c>
      <c r="G969" s="29" t="s">
        <v>237</v>
      </c>
      <c r="H969" s="31">
        <v>764390690</v>
      </c>
      <c r="I969" s="17"/>
    </row>
    <row r="970" spans="1:9" ht="15.75" customHeight="1" x14ac:dyDescent="0.3">
      <c r="A970" s="17" t="s">
        <v>1207</v>
      </c>
      <c r="B970" s="17" t="s">
        <v>133</v>
      </c>
      <c r="C970" s="50" t="str">
        <f>VLOOKUP(B970,'Patner Store'!A$2:A$51,1,0)</f>
        <v>PS0011</v>
      </c>
      <c r="D970" s="29" t="s">
        <v>225</v>
      </c>
      <c r="E970" s="50" t="str">
        <f>VLOOKUP(D970,'Sales Team'!A$2:B$6,1,0)</f>
        <v>ST0002</v>
      </c>
      <c r="F970" s="28">
        <v>44857</v>
      </c>
      <c r="G970" s="17" t="s">
        <v>234</v>
      </c>
      <c r="H970" s="31">
        <v>135571260</v>
      </c>
      <c r="I970" s="17"/>
    </row>
    <row r="971" spans="1:9" ht="15.75" customHeight="1" x14ac:dyDescent="0.3">
      <c r="A971" s="17" t="s">
        <v>1208</v>
      </c>
      <c r="B971" s="17" t="s">
        <v>207</v>
      </c>
      <c r="C971" s="50" t="str">
        <f>VLOOKUP(B971,'Patner Store'!A$2:A$51,1,0)</f>
        <v>PS0046</v>
      </c>
      <c r="D971" s="29" t="s">
        <v>227</v>
      </c>
      <c r="E971" s="50" t="str">
        <f>VLOOKUP(D971,'Sales Team'!A$2:B$6,1,0)</f>
        <v>ST0003</v>
      </c>
      <c r="F971" s="28">
        <v>44859</v>
      </c>
      <c r="G971" s="29" t="s">
        <v>237</v>
      </c>
      <c r="H971" s="31">
        <v>316785430</v>
      </c>
      <c r="I971" s="17" t="s">
        <v>247</v>
      </c>
    </row>
    <row r="972" spans="1:9" ht="15.75" customHeight="1" x14ac:dyDescent="0.3">
      <c r="A972" s="17" t="s">
        <v>1209</v>
      </c>
      <c r="B972" s="17" t="s">
        <v>160</v>
      </c>
      <c r="C972" s="50" t="str">
        <f>VLOOKUP(B972,'Patner Store'!A$2:A$51,1,0)</f>
        <v>PS0023</v>
      </c>
      <c r="D972" s="29" t="s">
        <v>227</v>
      </c>
      <c r="E972" s="50" t="str">
        <f>VLOOKUP(D972,'Sales Team'!A$2:B$6,1,0)</f>
        <v>ST0003</v>
      </c>
      <c r="F972" s="28">
        <v>44859</v>
      </c>
      <c r="G972" s="17" t="s">
        <v>234</v>
      </c>
      <c r="H972" s="31">
        <v>194467350</v>
      </c>
      <c r="I972" s="17"/>
    </row>
    <row r="973" spans="1:9" ht="15.75" customHeight="1" x14ac:dyDescent="0.3">
      <c r="A973" s="17" t="s">
        <v>1210</v>
      </c>
      <c r="B973" s="17" t="s">
        <v>195</v>
      </c>
      <c r="C973" s="50" t="str">
        <f>VLOOKUP(B973,'Patner Store'!A$2:A$51,1,0)</f>
        <v>PS0040</v>
      </c>
      <c r="D973" s="29" t="s">
        <v>227</v>
      </c>
      <c r="E973" s="50" t="str">
        <f>VLOOKUP(D973,'Sales Team'!A$2:B$6,1,0)</f>
        <v>ST0003</v>
      </c>
      <c r="F973" s="28">
        <v>44860</v>
      </c>
      <c r="G973" s="29" t="s">
        <v>237</v>
      </c>
      <c r="H973" s="31">
        <v>314035560</v>
      </c>
      <c r="I973" s="17"/>
    </row>
    <row r="974" spans="1:9" ht="15.75" customHeight="1" x14ac:dyDescent="0.3">
      <c r="A974" s="17" t="s">
        <v>1211</v>
      </c>
      <c r="B974" s="17" t="s">
        <v>207</v>
      </c>
      <c r="C974" s="50" t="str">
        <f>VLOOKUP(B974,'Patner Store'!A$2:A$51,1,0)</f>
        <v>PS0046</v>
      </c>
      <c r="D974" s="29" t="s">
        <v>227</v>
      </c>
      <c r="E974" s="50" t="str">
        <f>VLOOKUP(D974,'Sales Team'!A$2:B$6,1,0)</f>
        <v>ST0003</v>
      </c>
      <c r="F974" s="28">
        <v>44861</v>
      </c>
      <c r="G974" s="17" t="s">
        <v>234</v>
      </c>
      <c r="H974" s="31">
        <v>172329150</v>
      </c>
      <c r="I974" s="17"/>
    </row>
    <row r="975" spans="1:9" ht="15.75" customHeight="1" x14ac:dyDescent="0.3">
      <c r="A975" s="17" t="s">
        <v>1212</v>
      </c>
      <c r="B975" s="17" t="s">
        <v>197</v>
      </c>
      <c r="C975" s="50" t="str">
        <f>VLOOKUP(B975,'Patner Store'!A$2:A$51,1,0)</f>
        <v>PS0041</v>
      </c>
      <c r="D975" s="29" t="s">
        <v>222</v>
      </c>
      <c r="E975" s="50" t="str">
        <f>VLOOKUP(D975,'Sales Team'!A$2:B$6,1,0)</f>
        <v>ST0001</v>
      </c>
      <c r="F975" s="28">
        <v>44861</v>
      </c>
      <c r="G975" s="17" t="s">
        <v>234</v>
      </c>
      <c r="H975" s="31">
        <v>191079000</v>
      </c>
      <c r="I975" s="17"/>
    </row>
    <row r="976" spans="1:9" ht="15.75" customHeight="1" x14ac:dyDescent="0.3">
      <c r="A976" s="17" t="s">
        <v>1213</v>
      </c>
      <c r="B976" s="17" t="s">
        <v>187</v>
      </c>
      <c r="C976" s="50" t="str">
        <f>VLOOKUP(B976,'Patner Store'!A$2:A$51,1,0)</f>
        <v>PS0036</v>
      </c>
      <c r="D976" s="29" t="s">
        <v>231</v>
      </c>
      <c r="E976" s="50" t="str">
        <f>VLOOKUP(D976,'Sales Team'!A$2:B$6,1,0)</f>
        <v>ST0005</v>
      </c>
      <c r="F976" s="28">
        <v>44861</v>
      </c>
      <c r="G976" s="17" t="s">
        <v>234</v>
      </c>
      <c r="H976" s="31">
        <v>69933500</v>
      </c>
      <c r="I976" s="17"/>
    </row>
    <row r="977" spans="1:9" ht="15.75" customHeight="1" x14ac:dyDescent="0.3">
      <c r="A977" s="17" t="s">
        <v>1214</v>
      </c>
      <c r="B977" s="17" t="s">
        <v>173</v>
      </c>
      <c r="C977" s="50" t="str">
        <f>VLOOKUP(B977,'Patner Store'!A$2:A$51,1,0)</f>
        <v>PS0029</v>
      </c>
      <c r="D977" s="29" t="s">
        <v>229</v>
      </c>
      <c r="E977" s="50" t="str">
        <f>VLOOKUP(D977,'Sales Team'!A$2:B$6,1,0)</f>
        <v>ST0004</v>
      </c>
      <c r="F977" s="28">
        <v>44862</v>
      </c>
      <c r="G977" s="17" t="s">
        <v>234</v>
      </c>
      <c r="H977" s="31">
        <v>229837770</v>
      </c>
      <c r="I977" s="17"/>
    </row>
    <row r="978" spans="1:9" ht="15.75" customHeight="1" x14ac:dyDescent="0.3">
      <c r="A978" s="17" t="s">
        <v>1215</v>
      </c>
      <c r="B978" s="17" t="s">
        <v>215</v>
      </c>
      <c r="C978" s="50" t="str">
        <f>VLOOKUP(B978,'Patner Store'!A$2:A$51,1,0)</f>
        <v>PS0050</v>
      </c>
      <c r="D978" s="29" t="s">
        <v>229</v>
      </c>
      <c r="E978" s="50" t="str">
        <f>VLOOKUP(D978,'Sales Team'!A$2:B$6,1,0)</f>
        <v>ST0004</v>
      </c>
      <c r="F978" s="28">
        <v>44863</v>
      </c>
      <c r="G978" s="29" t="s">
        <v>237</v>
      </c>
      <c r="H978" s="31">
        <v>1162213850</v>
      </c>
      <c r="I978" s="17" t="s">
        <v>238</v>
      </c>
    </row>
    <row r="979" spans="1:9" ht="15.75" customHeight="1" x14ac:dyDescent="0.3">
      <c r="A979" s="17" t="s">
        <v>1216</v>
      </c>
      <c r="B979" s="17" t="s">
        <v>171</v>
      </c>
      <c r="C979" s="50" t="str">
        <f>VLOOKUP(B979,'Patner Store'!A$2:A$51,1,0)</f>
        <v>PS0028</v>
      </c>
      <c r="D979" s="29" t="s">
        <v>231</v>
      </c>
      <c r="E979" s="50" t="str">
        <f>VLOOKUP(D979,'Sales Team'!A$2:B$6,1,0)</f>
        <v>ST0005</v>
      </c>
      <c r="F979" s="28">
        <v>44863</v>
      </c>
      <c r="G979" s="17" t="s">
        <v>234</v>
      </c>
      <c r="H979" s="31">
        <v>240232250</v>
      </c>
      <c r="I979" s="17"/>
    </row>
    <row r="980" spans="1:9" ht="15.75" customHeight="1" x14ac:dyDescent="0.3">
      <c r="A980" s="17" t="s">
        <v>1217</v>
      </c>
      <c r="B980" s="17" t="s">
        <v>154</v>
      </c>
      <c r="C980" s="50" t="str">
        <f>VLOOKUP(B980,'Patner Store'!A$2:A$51,1,0)</f>
        <v>PS0020</v>
      </c>
      <c r="D980" s="29" t="s">
        <v>229</v>
      </c>
      <c r="E980" s="50" t="str">
        <f>VLOOKUP(D980,'Sales Team'!A$2:B$6,1,0)</f>
        <v>ST0004</v>
      </c>
      <c r="F980" s="28">
        <v>44865</v>
      </c>
      <c r="G980" s="17" t="s">
        <v>234</v>
      </c>
      <c r="H980" s="31">
        <v>69082590</v>
      </c>
      <c r="I980" s="17"/>
    </row>
    <row r="981" spans="1:9" ht="15.75" customHeight="1" x14ac:dyDescent="0.3">
      <c r="A981" s="17" t="s">
        <v>1218</v>
      </c>
      <c r="B981" s="17" t="s">
        <v>116</v>
      </c>
      <c r="C981" s="50" t="str">
        <f>VLOOKUP(B981,'Patner Store'!A$2:A$51,1,0)</f>
        <v>PS0004</v>
      </c>
      <c r="D981" s="29" t="s">
        <v>222</v>
      </c>
      <c r="E981" s="50" t="str">
        <f>VLOOKUP(D981,'Sales Team'!A$2:B$6,1,0)</f>
        <v>ST0001</v>
      </c>
      <c r="F981" s="28">
        <v>44865</v>
      </c>
      <c r="G981" s="29" t="s">
        <v>237</v>
      </c>
      <c r="H981" s="31">
        <v>357539140</v>
      </c>
      <c r="I981" s="17"/>
    </row>
    <row r="982" spans="1:9" ht="15.75" customHeight="1" x14ac:dyDescent="0.3">
      <c r="A982" s="17" t="s">
        <v>1219</v>
      </c>
      <c r="B982" s="17" t="s">
        <v>137</v>
      </c>
      <c r="C982" s="50" t="str">
        <f>VLOOKUP(B982,'Patner Store'!A$2:A$51,1,0)</f>
        <v>PS0013</v>
      </c>
      <c r="D982" s="29" t="s">
        <v>222</v>
      </c>
      <c r="E982" s="50" t="str">
        <f>VLOOKUP(D982,'Sales Team'!A$2:B$6,1,0)</f>
        <v>ST0001</v>
      </c>
      <c r="F982" s="28">
        <v>44866</v>
      </c>
      <c r="G982" s="29" t="s">
        <v>237</v>
      </c>
      <c r="H982" s="31">
        <v>737735770</v>
      </c>
      <c r="I982" s="17"/>
    </row>
    <row r="983" spans="1:9" ht="15.75" customHeight="1" x14ac:dyDescent="0.3">
      <c r="A983" s="17" t="s">
        <v>1220</v>
      </c>
      <c r="B983" s="17" t="s">
        <v>139</v>
      </c>
      <c r="C983" s="50" t="str">
        <f>VLOOKUP(B983,'Patner Store'!A$2:A$51,1,0)</f>
        <v>PS0014</v>
      </c>
      <c r="D983" s="29" t="s">
        <v>227</v>
      </c>
      <c r="E983" s="50" t="str">
        <f>VLOOKUP(D983,'Sales Team'!A$2:B$6,1,0)</f>
        <v>ST0003</v>
      </c>
      <c r="F983" s="28">
        <v>44866</v>
      </c>
      <c r="G983" s="29" t="s">
        <v>237</v>
      </c>
      <c r="H983" s="31">
        <v>461518750</v>
      </c>
      <c r="I983" s="17"/>
    </row>
    <row r="984" spans="1:9" ht="15.75" customHeight="1" x14ac:dyDescent="0.3">
      <c r="A984" s="17" t="s">
        <v>1221</v>
      </c>
      <c r="B984" s="17" t="s">
        <v>211</v>
      </c>
      <c r="C984" s="50" t="str">
        <f>VLOOKUP(B984,'Patner Store'!A$2:A$51,1,0)</f>
        <v>PS0048</v>
      </c>
      <c r="D984" s="29" t="s">
        <v>227</v>
      </c>
      <c r="E984" s="50" t="str">
        <f>VLOOKUP(D984,'Sales Team'!A$2:B$6,1,0)</f>
        <v>ST0003</v>
      </c>
      <c r="F984" s="28">
        <v>44866</v>
      </c>
      <c r="G984" s="29" t="s">
        <v>237</v>
      </c>
      <c r="H984" s="31">
        <v>390520370</v>
      </c>
      <c r="I984" s="17" t="s">
        <v>253</v>
      </c>
    </row>
    <row r="985" spans="1:9" ht="15.75" customHeight="1" x14ac:dyDescent="0.3">
      <c r="A985" s="17" t="s">
        <v>1222</v>
      </c>
      <c r="B985" s="17" t="s">
        <v>126</v>
      </c>
      <c r="C985" s="50" t="str">
        <f>VLOOKUP(B985,'Patner Store'!A$2:A$51,1,0)</f>
        <v>PS0008</v>
      </c>
      <c r="D985" s="29" t="s">
        <v>229</v>
      </c>
      <c r="E985" s="50" t="str">
        <f>VLOOKUP(D985,'Sales Team'!A$2:B$6,1,0)</f>
        <v>ST0004</v>
      </c>
      <c r="F985" s="28">
        <v>44868</v>
      </c>
      <c r="G985" s="29" t="s">
        <v>237</v>
      </c>
      <c r="H985" s="31">
        <v>261344720</v>
      </c>
      <c r="I985" s="17"/>
    </row>
    <row r="986" spans="1:9" ht="15.75" customHeight="1" x14ac:dyDescent="0.3">
      <c r="A986" s="17" t="s">
        <v>1223</v>
      </c>
      <c r="B986" s="17" t="s">
        <v>122</v>
      </c>
      <c r="C986" s="50" t="str">
        <f>VLOOKUP(B986,'Patner Store'!A$2:A$51,1,0)</f>
        <v>PS0006</v>
      </c>
      <c r="D986" s="29" t="s">
        <v>227</v>
      </c>
      <c r="E986" s="50" t="str">
        <f>VLOOKUP(D986,'Sales Team'!A$2:B$6,1,0)</f>
        <v>ST0003</v>
      </c>
      <c r="F986" s="28">
        <v>44868</v>
      </c>
      <c r="G986" s="17" t="s">
        <v>234</v>
      </c>
      <c r="H986" s="31">
        <v>17134140</v>
      </c>
      <c r="I986" s="17"/>
    </row>
    <row r="987" spans="1:9" ht="15.75" customHeight="1" x14ac:dyDescent="0.3">
      <c r="A987" s="17" t="s">
        <v>1224</v>
      </c>
      <c r="B987" s="17" t="s">
        <v>154</v>
      </c>
      <c r="C987" s="50" t="str">
        <f>VLOOKUP(B987,'Patner Store'!A$2:A$51,1,0)</f>
        <v>PS0020</v>
      </c>
      <c r="D987" s="29" t="s">
        <v>229</v>
      </c>
      <c r="E987" s="50" t="str">
        <f>VLOOKUP(D987,'Sales Team'!A$2:B$6,1,0)</f>
        <v>ST0004</v>
      </c>
      <c r="F987" s="28">
        <v>44869</v>
      </c>
      <c r="G987" s="17" t="s">
        <v>234</v>
      </c>
      <c r="H987" s="31">
        <v>153621290</v>
      </c>
      <c r="I987" s="17"/>
    </row>
    <row r="988" spans="1:9" ht="15.75" customHeight="1" x14ac:dyDescent="0.3">
      <c r="A988" s="17" t="s">
        <v>1225</v>
      </c>
      <c r="B988" s="17" t="s">
        <v>160</v>
      </c>
      <c r="C988" s="50" t="str">
        <f>VLOOKUP(B988,'Patner Store'!A$2:A$51,1,0)</f>
        <v>PS0023</v>
      </c>
      <c r="D988" s="29" t="s">
        <v>227</v>
      </c>
      <c r="E988" s="50" t="str">
        <f>VLOOKUP(D988,'Sales Team'!A$2:B$6,1,0)</f>
        <v>ST0003</v>
      </c>
      <c r="F988" s="28">
        <v>44869</v>
      </c>
      <c r="G988" s="17" t="s">
        <v>234</v>
      </c>
      <c r="H988" s="31">
        <v>245369190</v>
      </c>
      <c r="I988" s="17"/>
    </row>
    <row r="989" spans="1:9" ht="15.75" customHeight="1" x14ac:dyDescent="0.3">
      <c r="A989" s="17" t="s">
        <v>1226</v>
      </c>
      <c r="B989" s="17" t="s">
        <v>209</v>
      </c>
      <c r="C989" s="50" t="str">
        <f>VLOOKUP(B989,'Patner Store'!A$2:A$51,1,0)</f>
        <v>PS0047</v>
      </c>
      <c r="D989" s="29" t="s">
        <v>222</v>
      </c>
      <c r="E989" s="50" t="str">
        <f>VLOOKUP(D989,'Sales Team'!A$2:B$6,1,0)</f>
        <v>ST0001</v>
      </c>
      <c r="F989" s="28">
        <v>44870</v>
      </c>
      <c r="G989" s="17" t="s">
        <v>234</v>
      </c>
      <c r="H989" s="31">
        <v>105581440</v>
      </c>
      <c r="I989" s="17"/>
    </row>
    <row r="990" spans="1:9" ht="15.75" customHeight="1" x14ac:dyDescent="0.3">
      <c r="A990" s="17" t="s">
        <v>1227</v>
      </c>
      <c r="B990" s="17" t="s">
        <v>209</v>
      </c>
      <c r="C990" s="50" t="str">
        <f>VLOOKUP(B990,'Patner Store'!A$2:A$51,1,0)</f>
        <v>PS0047</v>
      </c>
      <c r="D990" s="29" t="s">
        <v>222</v>
      </c>
      <c r="E990" s="50" t="str">
        <f>VLOOKUP(D990,'Sales Team'!A$2:B$6,1,0)</f>
        <v>ST0001</v>
      </c>
      <c r="F990" s="28">
        <v>44870</v>
      </c>
      <c r="G990" s="17" t="s">
        <v>234</v>
      </c>
      <c r="H990" s="31">
        <v>5775000</v>
      </c>
      <c r="I990" s="17"/>
    </row>
    <row r="991" spans="1:9" ht="15.75" customHeight="1" x14ac:dyDescent="0.3">
      <c r="A991" s="17" t="s">
        <v>1228</v>
      </c>
      <c r="B991" s="17" t="s">
        <v>173</v>
      </c>
      <c r="C991" s="50" t="str">
        <f>VLOOKUP(B991,'Patner Store'!A$2:A$51,1,0)</f>
        <v>PS0029</v>
      </c>
      <c r="D991" s="29" t="s">
        <v>229</v>
      </c>
      <c r="E991" s="50" t="str">
        <f>VLOOKUP(D991,'Sales Team'!A$2:B$6,1,0)</f>
        <v>ST0004</v>
      </c>
      <c r="F991" s="28">
        <v>44870</v>
      </c>
      <c r="G991" s="17" t="s">
        <v>234</v>
      </c>
      <c r="H991" s="31">
        <v>7634250</v>
      </c>
      <c r="I991" s="17" t="s">
        <v>253</v>
      </c>
    </row>
    <row r="992" spans="1:9" ht="15.75" customHeight="1" x14ac:dyDescent="0.3">
      <c r="A992" s="17" t="s">
        <v>1229</v>
      </c>
      <c r="B992" s="17" t="s">
        <v>201</v>
      </c>
      <c r="C992" s="50" t="str">
        <f>VLOOKUP(B992,'Patner Store'!A$2:A$51,1,0)</f>
        <v>PS0043</v>
      </c>
      <c r="D992" s="29" t="s">
        <v>229</v>
      </c>
      <c r="E992" s="50" t="str">
        <f>VLOOKUP(D992,'Sales Team'!A$2:B$6,1,0)</f>
        <v>ST0004</v>
      </c>
      <c r="F992" s="28">
        <v>44874</v>
      </c>
      <c r="G992" s="17" t="s">
        <v>234</v>
      </c>
      <c r="H992" s="31">
        <v>18427500</v>
      </c>
      <c r="I992" s="17"/>
    </row>
    <row r="993" spans="1:9" ht="15.75" customHeight="1" x14ac:dyDescent="0.3">
      <c r="A993" s="17" t="s">
        <v>1230</v>
      </c>
      <c r="B993" s="17" t="s">
        <v>209</v>
      </c>
      <c r="C993" s="50" t="str">
        <f>VLOOKUP(B993,'Patner Store'!A$2:A$51,1,0)</f>
        <v>PS0047</v>
      </c>
      <c r="D993" s="29" t="s">
        <v>222</v>
      </c>
      <c r="E993" s="50" t="str">
        <f>VLOOKUP(D993,'Sales Team'!A$2:B$6,1,0)</f>
        <v>ST0001</v>
      </c>
      <c r="F993" s="28">
        <v>44875</v>
      </c>
      <c r="G993" s="29" t="s">
        <v>237</v>
      </c>
      <c r="H993" s="31">
        <v>241035960</v>
      </c>
      <c r="I993" s="17"/>
    </row>
    <row r="994" spans="1:9" ht="15.75" customHeight="1" x14ac:dyDescent="0.3">
      <c r="A994" s="17" t="s">
        <v>1231</v>
      </c>
      <c r="B994" s="17" t="s">
        <v>131</v>
      </c>
      <c r="C994" s="50" t="str">
        <f>VLOOKUP(B994,'Patner Store'!A$2:A$51,1,0)</f>
        <v>PS0010</v>
      </c>
      <c r="D994" s="29" t="s">
        <v>222</v>
      </c>
      <c r="E994" s="50" t="str">
        <f>VLOOKUP(D994,'Sales Team'!A$2:B$6,1,0)</f>
        <v>ST0001</v>
      </c>
      <c r="F994" s="28">
        <v>44877</v>
      </c>
      <c r="G994" s="29" t="s">
        <v>237</v>
      </c>
      <c r="H994" s="31">
        <v>441293360</v>
      </c>
      <c r="I994" s="17"/>
    </row>
    <row r="995" spans="1:9" ht="15.75" customHeight="1" x14ac:dyDescent="0.3">
      <c r="A995" s="17" t="s">
        <v>1232</v>
      </c>
      <c r="B995" s="17" t="s">
        <v>213</v>
      </c>
      <c r="C995" s="50" t="str">
        <f>VLOOKUP(B995,'Patner Store'!A$2:A$51,1,0)</f>
        <v>PS0049</v>
      </c>
      <c r="D995" s="29" t="s">
        <v>229</v>
      </c>
      <c r="E995" s="50" t="str">
        <f>VLOOKUP(D995,'Sales Team'!A$2:B$6,1,0)</f>
        <v>ST0004</v>
      </c>
      <c r="F995" s="28">
        <v>44877</v>
      </c>
      <c r="G995" s="17" t="s">
        <v>234</v>
      </c>
      <c r="H995" s="31">
        <v>176644980</v>
      </c>
      <c r="I995" s="17"/>
    </row>
    <row r="996" spans="1:9" ht="15.75" customHeight="1" x14ac:dyDescent="0.3">
      <c r="A996" s="17" t="s">
        <v>1233</v>
      </c>
      <c r="B996" s="17" t="s">
        <v>205</v>
      </c>
      <c r="C996" s="50" t="str">
        <f>VLOOKUP(B996,'Patner Store'!A$2:A$51,1,0)</f>
        <v>PS0045</v>
      </c>
      <c r="D996" s="29" t="s">
        <v>231</v>
      </c>
      <c r="E996" s="50" t="str">
        <f>VLOOKUP(D996,'Sales Team'!A$2:B$6,1,0)</f>
        <v>ST0005</v>
      </c>
      <c r="F996" s="28">
        <v>44877</v>
      </c>
      <c r="G996" s="17" t="s">
        <v>234</v>
      </c>
      <c r="H996" s="31">
        <v>18281252</v>
      </c>
      <c r="I996" s="17"/>
    </row>
    <row r="997" spans="1:9" ht="15.75" customHeight="1" x14ac:dyDescent="0.3">
      <c r="A997" s="17" t="s">
        <v>1234</v>
      </c>
      <c r="B997" s="17" t="s">
        <v>164</v>
      </c>
      <c r="C997" s="50" t="str">
        <f>VLOOKUP(B997,'Patner Store'!A$2:A$51,1,0)</f>
        <v>PS0025</v>
      </c>
      <c r="D997" s="29" t="s">
        <v>227</v>
      </c>
      <c r="E997" s="50" t="str">
        <f>VLOOKUP(D997,'Sales Team'!A$2:B$6,1,0)</f>
        <v>ST0003</v>
      </c>
      <c r="F997" s="28">
        <v>44880</v>
      </c>
      <c r="G997" s="29" t="s">
        <v>237</v>
      </c>
      <c r="H997" s="31">
        <v>396607500</v>
      </c>
      <c r="I997" s="17"/>
    </row>
    <row r="998" spans="1:9" ht="15.75" customHeight="1" x14ac:dyDescent="0.3">
      <c r="A998" s="17" t="s">
        <v>1235</v>
      </c>
      <c r="B998" s="17" t="s">
        <v>171</v>
      </c>
      <c r="C998" s="50" t="str">
        <f>VLOOKUP(B998,'Patner Store'!A$2:A$51,1,0)</f>
        <v>PS0028</v>
      </c>
      <c r="D998" s="29" t="s">
        <v>231</v>
      </c>
      <c r="E998" s="50" t="str">
        <f>VLOOKUP(D998,'Sales Team'!A$2:B$6,1,0)</f>
        <v>ST0005</v>
      </c>
      <c r="F998" s="28">
        <v>44880</v>
      </c>
      <c r="G998" s="17" t="s">
        <v>234</v>
      </c>
      <c r="H998" s="31">
        <v>228088630</v>
      </c>
      <c r="I998" s="17"/>
    </row>
    <row r="999" spans="1:9" ht="15.75" customHeight="1" x14ac:dyDescent="0.3">
      <c r="A999" s="17" t="s">
        <v>1236</v>
      </c>
      <c r="B999" s="17" t="s">
        <v>181</v>
      </c>
      <c r="C999" s="50" t="str">
        <f>VLOOKUP(B999,'Patner Store'!A$2:A$51,1,0)</f>
        <v>PS0033</v>
      </c>
      <c r="D999" s="29" t="s">
        <v>231</v>
      </c>
      <c r="E999" s="50" t="str">
        <f>VLOOKUP(D999,'Sales Team'!A$2:B$6,1,0)</f>
        <v>ST0005</v>
      </c>
      <c r="F999" s="28">
        <v>44881</v>
      </c>
      <c r="G999" s="29" t="s">
        <v>237</v>
      </c>
      <c r="H999" s="31">
        <v>587114991</v>
      </c>
      <c r="I999" s="17" t="s">
        <v>260</v>
      </c>
    </row>
    <row r="1000" spans="1:9" ht="15.75" customHeight="1" x14ac:dyDescent="0.3">
      <c r="A1000" s="17" t="s">
        <v>1237</v>
      </c>
      <c r="B1000" s="17" t="s">
        <v>191</v>
      </c>
      <c r="C1000" s="50" t="str">
        <f>VLOOKUP(B1000,'Patner Store'!A$2:A$51,1,0)</f>
        <v>PS0038</v>
      </c>
      <c r="D1000" s="29" t="s">
        <v>229</v>
      </c>
      <c r="E1000" s="50" t="str">
        <f>VLOOKUP(D1000,'Sales Team'!A$2:B$6,1,0)</f>
        <v>ST0004</v>
      </c>
      <c r="F1000" s="28">
        <v>44881</v>
      </c>
      <c r="G1000" s="29" t="s">
        <v>237</v>
      </c>
      <c r="H1000" s="31">
        <v>848790920</v>
      </c>
      <c r="I1000" s="17" t="s">
        <v>238</v>
      </c>
    </row>
    <row r="1001" spans="1:9" ht="15.75" customHeight="1" x14ac:dyDescent="0.3">
      <c r="A1001" s="17" t="s">
        <v>1238</v>
      </c>
      <c r="B1001" s="17" t="s">
        <v>146</v>
      </c>
      <c r="C1001" s="50" t="str">
        <f>VLOOKUP(B1001,'Patner Store'!A$2:A$51,1,0)</f>
        <v>PS0017</v>
      </c>
      <c r="D1001" s="29" t="s">
        <v>222</v>
      </c>
      <c r="E1001" s="50" t="str">
        <f>VLOOKUP(D1001,'Sales Team'!A$2:B$6,1,0)</f>
        <v>ST0001</v>
      </c>
      <c r="F1001" s="28">
        <v>44883</v>
      </c>
      <c r="G1001" s="17" t="s">
        <v>234</v>
      </c>
      <c r="H1001" s="31">
        <v>25770840</v>
      </c>
      <c r="I1001" s="17"/>
    </row>
    <row r="1002" spans="1:9" ht="15.75" customHeight="1" x14ac:dyDescent="0.3">
      <c r="A1002" s="17" t="s">
        <v>1239</v>
      </c>
      <c r="B1002" s="17" t="s">
        <v>141</v>
      </c>
      <c r="C1002" s="50" t="str">
        <f>VLOOKUP(B1002,'Patner Store'!A$2:A$51,1,0)</f>
        <v>PS0015</v>
      </c>
      <c r="D1002" s="29" t="s">
        <v>229</v>
      </c>
      <c r="E1002" s="50" t="str">
        <f>VLOOKUP(D1002,'Sales Team'!A$2:B$6,1,0)</f>
        <v>ST0004</v>
      </c>
      <c r="F1002" s="28">
        <v>44886</v>
      </c>
      <c r="G1002" s="17" t="s">
        <v>234</v>
      </c>
      <c r="H1002" s="31">
        <v>57115520</v>
      </c>
      <c r="I1002" s="17"/>
    </row>
    <row r="1003" spans="1:9" ht="15.75" customHeight="1" x14ac:dyDescent="0.3">
      <c r="A1003" s="17" t="s">
        <v>1240</v>
      </c>
      <c r="B1003" s="17" t="s">
        <v>213</v>
      </c>
      <c r="C1003" s="50" t="str">
        <f>VLOOKUP(B1003,'Patner Store'!A$2:A$51,1,0)</f>
        <v>PS0049</v>
      </c>
      <c r="D1003" s="29" t="s">
        <v>229</v>
      </c>
      <c r="E1003" s="50" t="str">
        <f>VLOOKUP(D1003,'Sales Team'!A$2:B$6,1,0)</f>
        <v>ST0004</v>
      </c>
      <c r="F1003" s="28">
        <v>44886</v>
      </c>
      <c r="G1003" s="29" t="s">
        <v>237</v>
      </c>
      <c r="H1003" s="31">
        <v>417355830</v>
      </c>
      <c r="I1003" s="17"/>
    </row>
    <row r="1004" spans="1:9" ht="15.75" customHeight="1" x14ac:dyDescent="0.3">
      <c r="A1004" s="17" t="s">
        <v>1241</v>
      </c>
      <c r="B1004" s="17" t="s">
        <v>187</v>
      </c>
      <c r="C1004" s="50" t="str">
        <f>VLOOKUP(B1004,'Patner Store'!A$2:A$51,1,0)</f>
        <v>PS0036</v>
      </c>
      <c r="D1004" s="29" t="s">
        <v>231</v>
      </c>
      <c r="E1004" s="50" t="str">
        <f>VLOOKUP(D1004,'Sales Team'!A$2:B$6,1,0)</f>
        <v>ST0005</v>
      </c>
      <c r="F1004" s="28">
        <v>44887</v>
      </c>
      <c r="G1004" s="17" t="s">
        <v>234</v>
      </c>
      <c r="H1004" s="31">
        <v>114707711</v>
      </c>
      <c r="I1004" s="17"/>
    </row>
    <row r="1005" spans="1:9" ht="15.75" customHeight="1" x14ac:dyDescent="0.3">
      <c r="A1005" s="17" t="s">
        <v>1242</v>
      </c>
      <c r="B1005" s="17" t="s">
        <v>175</v>
      </c>
      <c r="C1005" s="50" t="str">
        <f>VLOOKUP(B1005,'Patner Store'!A$2:A$51,1,0)</f>
        <v>PS0030</v>
      </c>
      <c r="D1005" s="29" t="s">
        <v>229</v>
      </c>
      <c r="E1005" s="50" t="str">
        <f>VLOOKUP(D1005,'Sales Team'!A$2:B$6,1,0)</f>
        <v>ST0004</v>
      </c>
      <c r="F1005" s="28">
        <v>44888</v>
      </c>
      <c r="G1005" s="29" t="s">
        <v>237</v>
      </c>
      <c r="H1005" s="31">
        <v>739640230</v>
      </c>
      <c r="I1005" s="17"/>
    </row>
    <row r="1006" spans="1:9" ht="15.75" customHeight="1" x14ac:dyDescent="0.3">
      <c r="A1006" s="17" t="s">
        <v>1243</v>
      </c>
      <c r="B1006" s="17" t="s">
        <v>109</v>
      </c>
      <c r="C1006" s="50" t="str">
        <f>VLOOKUP(B1006,'Patner Store'!A$2:A$51,1,0)</f>
        <v>PS0002</v>
      </c>
      <c r="D1006" s="29" t="s">
        <v>225</v>
      </c>
      <c r="E1006" s="50" t="str">
        <f>VLOOKUP(D1006,'Sales Team'!A$2:B$6,1,0)</f>
        <v>ST0002</v>
      </c>
      <c r="F1006" s="28">
        <v>44890</v>
      </c>
      <c r="G1006" s="17" t="s">
        <v>234</v>
      </c>
      <c r="H1006" s="31">
        <v>76368600</v>
      </c>
      <c r="I1006" s="17"/>
    </row>
    <row r="1007" spans="1:9" ht="15.75" customHeight="1" x14ac:dyDescent="0.3">
      <c r="A1007" s="17" t="s">
        <v>1244</v>
      </c>
      <c r="B1007" s="17" t="s">
        <v>124</v>
      </c>
      <c r="C1007" s="50" t="str">
        <f>VLOOKUP(B1007,'Patner Store'!A$2:A$51,1,0)</f>
        <v>PS0007</v>
      </c>
      <c r="D1007" s="29" t="s">
        <v>222</v>
      </c>
      <c r="E1007" s="50" t="str">
        <f>VLOOKUP(D1007,'Sales Team'!A$2:B$6,1,0)</f>
        <v>ST0001</v>
      </c>
      <c r="F1007" s="28">
        <v>44890</v>
      </c>
      <c r="G1007" s="17" t="s">
        <v>234</v>
      </c>
      <c r="H1007" s="31">
        <v>24352350</v>
      </c>
      <c r="I1007" s="17"/>
    </row>
    <row r="1008" spans="1:9" ht="15.75" customHeight="1" x14ac:dyDescent="0.3">
      <c r="A1008" s="17" t="s">
        <v>1245</v>
      </c>
      <c r="B1008" s="17" t="s">
        <v>215</v>
      </c>
      <c r="C1008" s="50" t="str">
        <f>VLOOKUP(B1008,'Patner Store'!A$2:A$51,1,0)</f>
        <v>PS0050</v>
      </c>
      <c r="D1008" s="29" t="s">
        <v>229</v>
      </c>
      <c r="E1008" s="50" t="str">
        <f>VLOOKUP(D1008,'Sales Team'!A$2:B$6,1,0)</f>
        <v>ST0004</v>
      </c>
      <c r="F1008" s="28">
        <v>44891</v>
      </c>
      <c r="G1008" s="29" t="s">
        <v>237</v>
      </c>
      <c r="H1008" s="31">
        <v>256748290</v>
      </c>
      <c r="I1008" s="17"/>
    </row>
    <row r="1009" spans="1:9" ht="15.75" customHeight="1" x14ac:dyDescent="0.3">
      <c r="A1009" s="17" t="s">
        <v>1246</v>
      </c>
      <c r="B1009" s="17" t="s">
        <v>135</v>
      </c>
      <c r="C1009" s="50" t="str">
        <f>VLOOKUP(B1009,'Patner Store'!A$2:A$51,1,0)</f>
        <v>PS0012</v>
      </c>
      <c r="D1009" s="29" t="s">
        <v>227</v>
      </c>
      <c r="E1009" s="50" t="str">
        <f>VLOOKUP(D1009,'Sales Team'!A$2:B$6,1,0)</f>
        <v>ST0003</v>
      </c>
      <c r="F1009" s="28">
        <v>44891</v>
      </c>
      <c r="G1009" s="29" t="s">
        <v>237</v>
      </c>
      <c r="H1009" s="31">
        <v>413536410</v>
      </c>
      <c r="I1009" s="17"/>
    </row>
    <row r="1010" spans="1:9" ht="15.75" customHeight="1" x14ac:dyDescent="0.3">
      <c r="A1010" s="17" t="s">
        <v>1247</v>
      </c>
      <c r="B1010" s="17" t="s">
        <v>175</v>
      </c>
      <c r="C1010" s="50" t="str">
        <f>VLOOKUP(B1010,'Patner Store'!A$2:A$51,1,0)</f>
        <v>PS0030</v>
      </c>
      <c r="D1010" s="29" t="s">
        <v>229</v>
      </c>
      <c r="E1010" s="50" t="str">
        <f>VLOOKUP(D1010,'Sales Team'!A$2:B$6,1,0)</f>
        <v>ST0004</v>
      </c>
      <c r="F1010" s="28">
        <v>44892</v>
      </c>
      <c r="G1010" s="17" t="s">
        <v>234</v>
      </c>
      <c r="H1010" s="31">
        <v>26180440</v>
      </c>
      <c r="I1010" s="17"/>
    </row>
    <row r="1011" spans="1:9" ht="15.75" customHeight="1" x14ac:dyDescent="0.3">
      <c r="A1011" s="17" t="s">
        <v>1248</v>
      </c>
      <c r="B1011" s="17" t="s">
        <v>156</v>
      </c>
      <c r="C1011" s="50" t="str">
        <f>VLOOKUP(B1011,'Patner Store'!A$2:A$51,1,0)</f>
        <v>PS0021</v>
      </c>
      <c r="D1011" s="29" t="s">
        <v>222</v>
      </c>
      <c r="E1011" s="50" t="str">
        <f>VLOOKUP(D1011,'Sales Team'!A$2:B$6,1,0)</f>
        <v>ST0001</v>
      </c>
      <c r="F1011" s="28">
        <v>44894</v>
      </c>
      <c r="G1011" s="17" t="s">
        <v>234</v>
      </c>
      <c r="H1011" s="31">
        <v>33999420</v>
      </c>
      <c r="I1011" s="17"/>
    </row>
    <row r="1012" spans="1:9" ht="15.75" customHeight="1" x14ac:dyDescent="0.3">
      <c r="A1012" s="17" t="s">
        <v>1249</v>
      </c>
      <c r="B1012" s="17" t="s">
        <v>177</v>
      </c>
      <c r="C1012" s="50" t="str">
        <f>VLOOKUP(B1012,'Patner Store'!A$2:A$51,1,0)</f>
        <v>PS0031</v>
      </c>
      <c r="D1012" s="29" t="s">
        <v>225</v>
      </c>
      <c r="E1012" s="50" t="str">
        <f>VLOOKUP(D1012,'Sales Team'!A$2:B$6,1,0)</f>
        <v>ST0002</v>
      </c>
      <c r="F1012" s="28">
        <v>44895</v>
      </c>
      <c r="G1012" s="29" t="s">
        <v>237</v>
      </c>
      <c r="H1012" s="31">
        <v>363292820</v>
      </c>
      <c r="I1012" s="17"/>
    </row>
    <row r="1013" spans="1:9" ht="15.75" customHeight="1" x14ac:dyDescent="0.3">
      <c r="A1013" s="17" t="s">
        <v>1250</v>
      </c>
      <c r="B1013" s="17" t="s">
        <v>177</v>
      </c>
      <c r="C1013" s="50" t="str">
        <f>VLOOKUP(B1013,'Patner Store'!A$2:A$51,1,0)</f>
        <v>PS0031</v>
      </c>
      <c r="D1013" s="29" t="s">
        <v>225</v>
      </c>
      <c r="E1013" s="50" t="str">
        <f>VLOOKUP(D1013,'Sales Team'!A$2:B$6,1,0)</f>
        <v>ST0002</v>
      </c>
      <c r="F1013" s="28">
        <v>44896</v>
      </c>
      <c r="G1013" s="29" t="s">
        <v>237</v>
      </c>
      <c r="H1013" s="31">
        <v>509240650</v>
      </c>
      <c r="I1013" s="17"/>
    </row>
    <row r="1014" spans="1:9" ht="15.75" customHeight="1" x14ac:dyDescent="0.3">
      <c r="A1014" s="17" t="s">
        <v>1251</v>
      </c>
      <c r="B1014" s="17" t="s">
        <v>173</v>
      </c>
      <c r="C1014" s="50" t="str">
        <f>VLOOKUP(B1014,'Patner Store'!A$2:A$51,1,0)</f>
        <v>PS0029</v>
      </c>
      <c r="D1014" s="29" t="s">
        <v>229</v>
      </c>
      <c r="E1014" s="50" t="str">
        <f>VLOOKUP(D1014,'Sales Team'!A$2:B$6,1,0)</f>
        <v>ST0004</v>
      </c>
      <c r="F1014" s="28">
        <v>44897</v>
      </c>
      <c r="G1014" s="29" t="s">
        <v>237</v>
      </c>
      <c r="H1014" s="31">
        <v>467132688</v>
      </c>
      <c r="I1014" s="17"/>
    </row>
    <row r="1015" spans="1:9" ht="15.75" customHeight="1" x14ac:dyDescent="0.3">
      <c r="A1015" s="17" t="s">
        <v>1252</v>
      </c>
      <c r="B1015" s="17" t="s">
        <v>116</v>
      </c>
      <c r="C1015" s="50" t="str">
        <f>VLOOKUP(B1015,'Patner Store'!A$2:A$51,1,0)</f>
        <v>PS0004</v>
      </c>
      <c r="D1015" s="29" t="s">
        <v>222</v>
      </c>
      <c r="E1015" s="50" t="str">
        <f>VLOOKUP(D1015,'Sales Team'!A$2:B$6,1,0)</f>
        <v>ST0001</v>
      </c>
      <c r="F1015" s="28">
        <v>44898</v>
      </c>
      <c r="G1015" s="29" t="s">
        <v>237</v>
      </c>
      <c r="H1015" s="31">
        <v>295516340</v>
      </c>
      <c r="I1015" s="17" t="s">
        <v>260</v>
      </c>
    </row>
    <row r="1016" spans="1:9" ht="15.75" customHeight="1" x14ac:dyDescent="0.3">
      <c r="A1016" s="17" t="s">
        <v>1253</v>
      </c>
      <c r="B1016" s="17" t="s">
        <v>154</v>
      </c>
      <c r="C1016" s="50" t="str">
        <f>VLOOKUP(B1016,'Patner Store'!A$2:A$51,1,0)</f>
        <v>PS0020</v>
      </c>
      <c r="D1016" s="29" t="s">
        <v>229</v>
      </c>
      <c r="E1016" s="50" t="str">
        <f>VLOOKUP(D1016,'Sales Team'!A$2:B$6,1,0)</f>
        <v>ST0004</v>
      </c>
      <c r="F1016" s="28">
        <v>44902</v>
      </c>
      <c r="G1016" s="17" t="s">
        <v>234</v>
      </c>
      <c r="H1016" s="31">
        <v>242647004</v>
      </c>
      <c r="I1016" s="17"/>
    </row>
    <row r="1017" spans="1:9" ht="15.75" customHeight="1" x14ac:dyDescent="0.3">
      <c r="A1017" s="17" t="s">
        <v>1254</v>
      </c>
      <c r="B1017" s="17" t="s">
        <v>137</v>
      </c>
      <c r="C1017" s="50" t="str">
        <f>VLOOKUP(B1017,'Patner Store'!A$2:A$51,1,0)</f>
        <v>PS0013</v>
      </c>
      <c r="D1017" s="29" t="s">
        <v>222</v>
      </c>
      <c r="E1017" s="50" t="str">
        <f>VLOOKUP(D1017,'Sales Team'!A$2:B$6,1,0)</f>
        <v>ST0001</v>
      </c>
      <c r="F1017" s="28">
        <v>44903</v>
      </c>
      <c r="G1017" s="17" t="s">
        <v>234</v>
      </c>
      <c r="H1017" s="31">
        <v>25899000</v>
      </c>
      <c r="I1017" s="17"/>
    </row>
    <row r="1018" spans="1:9" ht="15.75" customHeight="1" x14ac:dyDescent="0.3">
      <c r="A1018" s="17" t="s">
        <v>1255</v>
      </c>
      <c r="B1018" s="17" t="s">
        <v>203</v>
      </c>
      <c r="C1018" s="50" t="str">
        <f>VLOOKUP(B1018,'Patner Store'!A$2:A$51,1,0)</f>
        <v>PS0044</v>
      </c>
      <c r="D1018" s="29" t="s">
        <v>229</v>
      </c>
      <c r="E1018" s="50" t="str">
        <f>VLOOKUP(D1018,'Sales Team'!A$2:B$6,1,0)</f>
        <v>ST0004</v>
      </c>
      <c r="F1018" s="28">
        <v>44903</v>
      </c>
      <c r="G1018" s="17" t="s">
        <v>234</v>
      </c>
      <c r="H1018" s="31">
        <v>29038430</v>
      </c>
      <c r="I1018" s="17"/>
    </row>
    <row r="1019" spans="1:9" ht="15.75" customHeight="1" x14ac:dyDescent="0.3">
      <c r="A1019" s="17" t="s">
        <v>1256</v>
      </c>
      <c r="B1019" s="17" t="s">
        <v>119</v>
      </c>
      <c r="C1019" s="50" t="str">
        <f>VLOOKUP(B1019,'Patner Store'!A$2:A$51,1,0)</f>
        <v>PS0005</v>
      </c>
      <c r="D1019" s="29" t="s">
        <v>229</v>
      </c>
      <c r="E1019" s="50" t="str">
        <f>VLOOKUP(D1019,'Sales Team'!A$2:B$6,1,0)</f>
        <v>ST0004</v>
      </c>
      <c r="F1019" s="28">
        <v>44905</v>
      </c>
      <c r="G1019" s="17" t="s">
        <v>234</v>
      </c>
      <c r="H1019" s="31">
        <v>111211330</v>
      </c>
      <c r="I1019" s="17" t="s">
        <v>260</v>
      </c>
    </row>
    <row r="1020" spans="1:9" ht="15.75" customHeight="1" x14ac:dyDescent="0.3">
      <c r="A1020" s="17" t="s">
        <v>1257</v>
      </c>
      <c r="B1020" s="17" t="s">
        <v>116</v>
      </c>
      <c r="C1020" s="50" t="str">
        <f>VLOOKUP(B1020,'Patner Store'!A$2:A$51,1,0)</f>
        <v>PS0004</v>
      </c>
      <c r="D1020" s="29" t="s">
        <v>222</v>
      </c>
      <c r="E1020" s="50" t="str">
        <f>VLOOKUP(D1020,'Sales Team'!A$2:B$6,1,0)</f>
        <v>ST0001</v>
      </c>
      <c r="F1020" s="28">
        <v>44905</v>
      </c>
      <c r="G1020" s="17" t="s">
        <v>234</v>
      </c>
      <c r="H1020" s="31">
        <v>23861490</v>
      </c>
      <c r="I1020" s="17"/>
    </row>
    <row r="1021" spans="1:9" ht="15.75" customHeight="1" x14ac:dyDescent="0.3">
      <c r="A1021" s="17" t="s">
        <v>1258</v>
      </c>
      <c r="B1021" s="17" t="s">
        <v>109</v>
      </c>
      <c r="C1021" s="50" t="str">
        <f>VLOOKUP(B1021,'Patner Store'!A$2:A$51,1,0)</f>
        <v>PS0002</v>
      </c>
      <c r="D1021" s="29" t="s">
        <v>225</v>
      </c>
      <c r="E1021" s="50" t="str">
        <f>VLOOKUP(D1021,'Sales Team'!A$2:B$6,1,0)</f>
        <v>ST0002</v>
      </c>
      <c r="F1021" s="28">
        <v>44905</v>
      </c>
      <c r="G1021" s="29" t="s">
        <v>237</v>
      </c>
      <c r="H1021" s="31">
        <v>479156570</v>
      </c>
      <c r="I1021" s="17"/>
    </row>
    <row r="1022" spans="1:9" ht="15.75" customHeight="1" x14ac:dyDescent="0.3">
      <c r="A1022" s="17" t="s">
        <v>1259</v>
      </c>
      <c r="B1022" s="17" t="s">
        <v>146</v>
      </c>
      <c r="C1022" s="50" t="str">
        <f>VLOOKUP(B1022,'Patner Store'!A$2:A$51,1,0)</f>
        <v>PS0017</v>
      </c>
      <c r="D1022" s="29" t="s">
        <v>222</v>
      </c>
      <c r="E1022" s="50" t="str">
        <f>VLOOKUP(D1022,'Sales Team'!A$2:B$6,1,0)</f>
        <v>ST0001</v>
      </c>
      <c r="F1022" s="28">
        <v>44905</v>
      </c>
      <c r="G1022" s="17" t="s">
        <v>234</v>
      </c>
      <c r="H1022" s="31">
        <v>102921900</v>
      </c>
      <c r="I1022" s="17" t="s">
        <v>253</v>
      </c>
    </row>
    <row r="1023" spans="1:9" ht="15.75" customHeight="1" x14ac:dyDescent="0.3">
      <c r="A1023" s="17" t="s">
        <v>1260</v>
      </c>
      <c r="B1023" s="17" t="s">
        <v>173</v>
      </c>
      <c r="C1023" s="50" t="str">
        <f>VLOOKUP(B1023,'Patner Store'!A$2:A$51,1,0)</f>
        <v>PS0029</v>
      </c>
      <c r="D1023" s="29" t="s">
        <v>229</v>
      </c>
      <c r="E1023" s="50" t="str">
        <f>VLOOKUP(D1023,'Sales Team'!A$2:B$6,1,0)</f>
        <v>ST0004</v>
      </c>
      <c r="F1023" s="28">
        <v>44907</v>
      </c>
      <c r="G1023" s="17" t="s">
        <v>234</v>
      </c>
      <c r="H1023" s="31">
        <v>54724400</v>
      </c>
      <c r="I1023" s="17"/>
    </row>
    <row r="1024" spans="1:9" ht="15.75" customHeight="1" x14ac:dyDescent="0.3">
      <c r="A1024" s="17" t="s">
        <v>1261</v>
      </c>
      <c r="B1024" s="17" t="s">
        <v>124</v>
      </c>
      <c r="C1024" s="50" t="str">
        <f>VLOOKUP(B1024,'Patner Store'!A$2:A$51,1,0)</f>
        <v>PS0007</v>
      </c>
      <c r="D1024" s="29" t="s">
        <v>222</v>
      </c>
      <c r="E1024" s="50" t="str">
        <f>VLOOKUP(D1024,'Sales Team'!A$2:B$6,1,0)</f>
        <v>ST0001</v>
      </c>
      <c r="F1024" s="28">
        <v>44908</v>
      </c>
      <c r="G1024" s="29" t="s">
        <v>237</v>
      </c>
      <c r="H1024" s="31">
        <v>261747380</v>
      </c>
      <c r="I1024" s="17"/>
    </row>
    <row r="1025" spans="1:9" ht="15.75" customHeight="1" x14ac:dyDescent="0.3">
      <c r="A1025" s="17" t="s">
        <v>1262</v>
      </c>
      <c r="B1025" s="17" t="s">
        <v>135</v>
      </c>
      <c r="C1025" s="50" t="str">
        <f>VLOOKUP(B1025,'Patner Store'!A$2:A$51,1,0)</f>
        <v>PS0012</v>
      </c>
      <c r="D1025" s="29" t="s">
        <v>227</v>
      </c>
      <c r="E1025" s="50" t="str">
        <f>VLOOKUP(D1025,'Sales Team'!A$2:B$6,1,0)</f>
        <v>ST0003</v>
      </c>
      <c r="F1025" s="28">
        <v>44908</v>
      </c>
      <c r="G1025" s="29" t="s">
        <v>237</v>
      </c>
      <c r="H1025" s="31">
        <v>351291960</v>
      </c>
      <c r="I1025" s="17"/>
    </row>
    <row r="1026" spans="1:9" ht="15.75" customHeight="1" x14ac:dyDescent="0.3">
      <c r="A1026" s="17" t="s">
        <v>1263</v>
      </c>
      <c r="B1026" s="17" t="s">
        <v>133</v>
      </c>
      <c r="C1026" s="50" t="str">
        <f>VLOOKUP(B1026,'Patner Store'!A$2:A$51,1,0)</f>
        <v>PS0011</v>
      </c>
      <c r="D1026" s="29" t="s">
        <v>225</v>
      </c>
      <c r="E1026" s="50" t="str">
        <f>VLOOKUP(D1026,'Sales Team'!A$2:B$6,1,0)</f>
        <v>ST0002</v>
      </c>
      <c r="F1026" s="28">
        <v>44911</v>
      </c>
      <c r="G1026" s="17" t="s">
        <v>234</v>
      </c>
      <c r="H1026" s="31">
        <v>78509200</v>
      </c>
      <c r="I1026" s="17"/>
    </row>
    <row r="1027" spans="1:9" ht="15.75" customHeight="1" x14ac:dyDescent="0.3">
      <c r="A1027" s="17" t="s">
        <v>1264</v>
      </c>
      <c r="B1027" s="17" t="s">
        <v>195</v>
      </c>
      <c r="C1027" s="50" t="str">
        <f>VLOOKUP(B1027,'Patner Store'!A$2:A$51,1,0)</f>
        <v>PS0040</v>
      </c>
      <c r="D1027" s="29" t="s">
        <v>227</v>
      </c>
      <c r="E1027" s="50" t="str">
        <f>VLOOKUP(D1027,'Sales Team'!A$2:B$6,1,0)</f>
        <v>ST0003</v>
      </c>
      <c r="F1027" s="28">
        <v>44911</v>
      </c>
      <c r="G1027" s="29" t="s">
        <v>237</v>
      </c>
      <c r="H1027" s="31">
        <v>759074380</v>
      </c>
      <c r="I1027" s="17" t="s">
        <v>238</v>
      </c>
    </row>
    <row r="1028" spans="1:9" ht="15.75" customHeight="1" x14ac:dyDescent="0.3">
      <c r="A1028" s="17" t="s">
        <v>1265</v>
      </c>
      <c r="B1028" s="17" t="s">
        <v>187</v>
      </c>
      <c r="C1028" s="50" t="str">
        <f>VLOOKUP(B1028,'Patner Store'!A$2:A$51,1,0)</f>
        <v>PS0036</v>
      </c>
      <c r="D1028" s="29" t="s">
        <v>231</v>
      </c>
      <c r="E1028" s="50" t="str">
        <f>VLOOKUP(D1028,'Sales Team'!A$2:B$6,1,0)</f>
        <v>ST0005</v>
      </c>
      <c r="F1028" s="28">
        <v>44914</v>
      </c>
      <c r="G1028" s="29" t="s">
        <v>237</v>
      </c>
      <c r="H1028" s="31">
        <v>543527800</v>
      </c>
      <c r="I1028" s="17" t="s">
        <v>247</v>
      </c>
    </row>
    <row r="1029" spans="1:9" ht="15.75" customHeight="1" x14ac:dyDescent="0.3">
      <c r="A1029" s="17" t="s">
        <v>1266</v>
      </c>
      <c r="B1029" s="17" t="s">
        <v>109</v>
      </c>
      <c r="C1029" s="50" t="str">
        <f>VLOOKUP(B1029,'Patner Store'!A$2:A$51,1,0)</f>
        <v>PS0002</v>
      </c>
      <c r="D1029" s="29" t="s">
        <v>225</v>
      </c>
      <c r="E1029" s="50" t="str">
        <f>VLOOKUP(D1029,'Sales Team'!A$2:B$6,1,0)</f>
        <v>ST0002</v>
      </c>
      <c r="F1029" s="28">
        <v>44915</v>
      </c>
      <c r="G1029" s="29" t="s">
        <v>237</v>
      </c>
      <c r="H1029" s="31">
        <v>480510700</v>
      </c>
      <c r="I1029" s="30"/>
    </row>
    <row r="1031" spans="1:9" ht="15" customHeight="1" x14ac:dyDescent="0.3">
      <c r="H1031" s="41">
        <f>SUM(H2:H1029)</f>
        <v>296769900803</v>
      </c>
    </row>
    <row r="1032" spans="1:9" ht="15" customHeight="1" x14ac:dyDescent="0.3">
      <c r="H1032" s="16"/>
    </row>
    <row r="1033" spans="1:9" ht="15" customHeight="1" x14ac:dyDescent="0.3">
      <c r="H1033" s="16"/>
    </row>
    <row r="1034" spans="1:9" ht="15" customHeight="1" x14ac:dyDescent="0.3">
      <c r="H1034" s="16"/>
    </row>
    <row r="1035" spans="1:9" ht="15" customHeight="1" x14ac:dyDescent="0.3">
      <c r="H1035" s="16"/>
    </row>
    <row r="1036" spans="1:9" ht="15" customHeight="1" x14ac:dyDescent="0.3">
      <c r="H1036" s="16"/>
    </row>
    <row r="1037" spans="1:9" ht="15" customHeight="1" x14ac:dyDescent="0.3">
      <c r="H1037" s="16"/>
    </row>
    <row r="1038" spans="1:9" ht="15" customHeight="1" x14ac:dyDescent="0.3">
      <c r="H1038" s="16"/>
    </row>
    <row r="1039" spans="1:9" ht="15" customHeight="1" x14ac:dyDescent="0.3">
      <c r="H1039" s="16"/>
    </row>
    <row r="1040" spans="1:9" ht="15" customHeight="1" x14ac:dyDescent="0.3">
      <c r="H1040" s="16"/>
    </row>
    <row r="1041" spans="8:8" ht="15" customHeight="1" x14ac:dyDescent="0.3">
      <c r="H1041" s="16"/>
    </row>
    <row r="1042" spans="8:8" ht="15" customHeight="1" x14ac:dyDescent="0.3">
      <c r="H1042" s="16"/>
    </row>
    <row r="1043" spans="8:8" ht="15" customHeight="1" x14ac:dyDescent="0.3">
      <c r="H1043" s="16"/>
    </row>
    <row r="1044" spans="8:8" ht="15" customHeight="1" x14ac:dyDescent="0.3">
      <c r="H1044" s="16"/>
    </row>
  </sheetData>
  <autoFilter ref="A1:J1029" xr:uid="{00000000-0009-0000-0000-000005000000}">
    <sortState xmlns:xlrd2="http://schemas.microsoft.com/office/spreadsheetml/2017/richdata2" ref="A2:J1029">
      <sortCondition ref="A1:A1029"/>
    </sortState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00"/>
  <sheetViews>
    <sheetView tabSelected="1" topLeftCell="B1" workbookViewId="0">
      <selection activeCell="J9" sqref="J9"/>
    </sheetView>
  </sheetViews>
  <sheetFormatPr defaultColWidth="14.44140625" defaultRowHeight="15" customHeight="1" x14ac:dyDescent="0.3"/>
  <cols>
    <col min="1" max="2" width="18.44140625" customWidth="1"/>
    <col min="3" max="3" width="12.6640625" customWidth="1"/>
    <col min="4" max="4" width="17.33203125" bestFit="1" customWidth="1"/>
    <col min="5" max="5" width="16.6640625" customWidth="1"/>
    <col min="6" max="6" width="19.44140625" bestFit="1" customWidth="1"/>
    <col min="7" max="8" width="15" customWidth="1"/>
    <col min="9" max="9" width="11.5546875" bestFit="1" customWidth="1"/>
    <col min="10" max="10" width="10.6640625" customWidth="1"/>
    <col min="11" max="27" width="8.6640625" customWidth="1"/>
  </cols>
  <sheetData>
    <row r="1" spans="1:12" ht="14.4" x14ac:dyDescent="0.3">
      <c r="A1" s="2" t="s">
        <v>1</v>
      </c>
      <c r="B1" s="2" t="s">
        <v>5777</v>
      </c>
      <c r="C1" s="2" t="s">
        <v>0</v>
      </c>
      <c r="D1" s="2" t="s">
        <v>5778</v>
      </c>
      <c r="E1" s="2" t="s">
        <v>9</v>
      </c>
      <c r="F1" s="33" t="s">
        <v>1267</v>
      </c>
      <c r="G1" s="34" t="s">
        <v>2374</v>
      </c>
    </row>
    <row r="2" spans="1:12" ht="14.4" x14ac:dyDescent="0.3">
      <c r="A2" s="17" t="s">
        <v>233</v>
      </c>
      <c r="B2" s="50" t="str">
        <f>VLOOKUP(A2,'Sales Order'!A$2:B$1029,1,0)</f>
        <v>SO0001</v>
      </c>
      <c r="C2" s="17" t="s">
        <v>25</v>
      </c>
      <c r="D2" s="50" t="str">
        <f>VLOOKUP(C2,Product!A$2:B$21,1,0)</f>
        <v>PD0002</v>
      </c>
      <c r="E2" s="19">
        <v>99</v>
      </c>
      <c r="F2" s="37">
        <v>1841399.9999999998</v>
      </c>
      <c r="G2" s="39" t="s">
        <v>2376</v>
      </c>
      <c r="H2" s="12"/>
      <c r="I2" s="12"/>
      <c r="J2" s="35"/>
      <c r="L2" s="12"/>
    </row>
    <row r="3" spans="1:12" ht="14.4" x14ac:dyDescent="0.3">
      <c r="A3" s="29" t="s">
        <v>233</v>
      </c>
      <c r="B3" s="50" t="str">
        <f>VLOOKUP(A3,'Sales Order'!A$2:B$1029,1,0)</f>
        <v>SO0001</v>
      </c>
      <c r="C3" s="29" t="s">
        <v>69</v>
      </c>
      <c r="D3" s="50" t="str">
        <f>VLOOKUP(C3,Product!A$2:B$21,1,0)</f>
        <v>PD0015</v>
      </c>
      <c r="E3" s="36">
        <v>89</v>
      </c>
      <c r="F3" s="38">
        <v>9192276</v>
      </c>
      <c r="G3" s="39" t="s">
        <v>2377</v>
      </c>
      <c r="H3" s="12"/>
      <c r="I3" s="12"/>
      <c r="L3" s="12"/>
    </row>
    <row r="4" spans="1:12" ht="14.4" x14ac:dyDescent="0.3">
      <c r="A4" s="29" t="s">
        <v>233</v>
      </c>
      <c r="B4" s="50" t="str">
        <f>VLOOKUP(A4,'Sales Order'!A$2:B$1029,1,0)</f>
        <v>SO0001</v>
      </c>
      <c r="C4" s="29" t="s">
        <v>55</v>
      </c>
      <c r="D4" s="50" t="str">
        <f>VLOOKUP(C4,Product!A$2:B$21,1,0)</f>
        <v>PD0011</v>
      </c>
      <c r="E4" s="36">
        <v>45</v>
      </c>
      <c r="F4" s="38">
        <v>93416400</v>
      </c>
      <c r="G4" s="39" t="s">
        <v>2378</v>
      </c>
      <c r="H4" s="12"/>
      <c r="I4" s="12"/>
      <c r="L4" s="12"/>
    </row>
    <row r="5" spans="1:12" ht="14.4" x14ac:dyDescent="0.3">
      <c r="A5" s="29" t="s">
        <v>233</v>
      </c>
      <c r="B5" s="50" t="str">
        <f>VLOOKUP(A5,'Sales Order'!A$2:B$1029,1,0)</f>
        <v>SO0001</v>
      </c>
      <c r="C5" s="29" t="s">
        <v>45</v>
      </c>
      <c r="D5" s="50" t="str">
        <f>VLOOKUP(C5,Product!A$2:B$21,1,0)</f>
        <v>PD0008</v>
      </c>
      <c r="E5" s="36">
        <v>72</v>
      </c>
      <c r="F5" s="38">
        <v>10191600</v>
      </c>
      <c r="G5" s="39" t="s">
        <v>2379</v>
      </c>
      <c r="H5" s="12"/>
      <c r="I5" s="12"/>
      <c r="L5" s="12"/>
    </row>
    <row r="6" spans="1:12" ht="14.4" x14ac:dyDescent="0.3">
      <c r="A6" s="17" t="s">
        <v>235</v>
      </c>
      <c r="B6" s="50" t="str">
        <f>VLOOKUP(A6,'Sales Order'!A$2:B$1029,1,0)</f>
        <v>SO0002</v>
      </c>
      <c r="C6" s="17" t="s">
        <v>65</v>
      </c>
      <c r="D6" s="50" t="str">
        <f>VLOOKUP(C6,Product!A$2:B$21,1,0)</f>
        <v>PD0014</v>
      </c>
      <c r="E6" s="19">
        <v>77</v>
      </c>
      <c r="F6" s="37">
        <v>17063970</v>
      </c>
      <c r="G6" s="39" t="s">
        <v>2380</v>
      </c>
      <c r="H6" s="12"/>
      <c r="I6" s="12"/>
      <c r="L6" s="12"/>
    </row>
    <row r="7" spans="1:12" ht="14.4" x14ac:dyDescent="0.3">
      <c r="A7" s="29" t="s">
        <v>235</v>
      </c>
      <c r="B7" s="50" t="str">
        <f>VLOOKUP(A7,'Sales Order'!A$2:B$1029,1,0)</f>
        <v>SO0002</v>
      </c>
      <c r="C7" s="29" t="s">
        <v>52</v>
      </c>
      <c r="D7" s="50" t="str">
        <f>VLOOKUP(C7,Product!A$2:B$21,1,0)</f>
        <v>PD0010</v>
      </c>
      <c r="E7" s="36">
        <v>92</v>
      </c>
      <c r="F7" s="38">
        <v>27807000</v>
      </c>
      <c r="G7" s="39" t="s">
        <v>2381</v>
      </c>
      <c r="H7" s="12"/>
      <c r="I7" s="12"/>
      <c r="L7" s="12"/>
    </row>
    <row r="8" spans="1:12" ht="14.4" x14ac:dyDescent="0.3">
      <c r="A8" s="17" t="s">
        <v>236</v>
      </c>
      <c r="B8" s="50" t="str">
        <f>VLOOKUP(A8,'Sales Order'!A$2:B$1029,1,0)</f>
        <v>SO0003</v>
      </c>
      <c r="C8" s="17" t="s">
        <v>55</v>
      </c>
      <c r="D8" s="50" t="str">
        <f>VLOOKUP(C8,Product!A$2:B$21,1,0)</f>
        <v>PD0011</v>
      </c>
      <c r="E8" s="19">
        <v>142</v>
      </c>
      <c r="F8" s="37">
        <v>291430860</v>
      </c>
      <c r="G8" s="39" t="s">
        <v>2382</v>
      </c>
      <c r="H8" s="12"/>
      <c r="I8" s="12"/>
      <c r="L8" s="12"/>
    </row>
    <row r="9" spans="1:12" ht="14.4" x14ac:dyDescent="0.3">
      <c r="A9" s="29" t="s">
        <v>236</v>
      </c>
      <c r="B9" s="50" t="str">
        <f>VLOOKUP(A9,'Sales Order'!A$2:B$1029,1,0)</f>
        <v>SO0003</v>
      </c>
      <c r="C9" s="29" t="s">
        <v>78</v>
      </c>
      <c r="D9" s="50" t="str">
        <f>VLOOKUP(C9,Product!A$2:B$21,1,0)</f>
        <v>PD0018</v>
      </c>
      <c r="E9" s="36">
        <v>125</v>
      </c>
      <c r="F9" s="38">
        <v>51870000</v>
      </c>
      <c r="G9" s="39" t="s">
        <v>2383</v>
      </c>
      <c r="H9" s="12"/>
      <c r="I9" s="12"/>
      <c r="L9" s="12"/>
    </row>
    <row r="10" spans="1:12" ht="14.4" x14ac:dyDescent="0.3">
      <c r="A10" s="29" t="s">
        <v>236</v>
      </c>
      <c r="B10" s="50" t="str">
        <f>VLOOKUP(A10,'Sales Order'!A$2:B$1029,1,0)</f>
        <v>SO0003</v>
      </c>
      <c r="C10" s="29" t="s">
        <v>52</v>
      </c>
      <c r="D10" s="50" t="str">
        <f>VLOOKUP(C10,Product!A$2:B$21,1,0)</f>
        <v>PD0010</v>
      </c>
      <c r="E10" s="36">
        <v>150</v>
      </c>
      <c r="F10" s="38">
        <v>44850000</v>
      </c>
      <c r="G10" s="39" t="s">
        <v>2384</v>
      </c>
      <c r="H10" s="12"/>
      <c r="I10" s="12"/>
      <c r="L10" s="12"/>
    </row>
    <row r="11" spans="1:12" ht="14.4" x14ac:dyDescent="0.3">
      <c r="A11" s="29" t="s">
        <v>236</v>
      </c>
      <c r="B11" s="50" t="str">
        <f>VLOOKUP(A11,'Sales Order'!A$2:B$1029,1,0)</f>
        <v>SO0003</v>
      </c>
      <c r="C11" s="29" t="s">
        <v>45</v>
      </c>
      <c r="D11" s="50" t="str">
        <f>VLOOKUP(C11,Product!A$2:B$21,1,0)</f>
        <v>PD0008</v>
      </c>
      <c r="E11" s="36">
        <v>94</v>
      </c>
      <c r="F11" s="38">
        <v>12885520</v>
      </c>
      <c r="G11" s="39" t="s">
        <v>2385</v>
      </c>
      <c r="H11" s="12"/>
      <c r="I11" s="12"/>
      <c r="L11" s="12"/>
    </row>
    <row r="12" spans="1:12" ht="14.4" x14ac:dyDescent="0.3">
      <c r="A12" s="29" t="s">
        <v>236</v>
      </c>
      <c r="B12" s="50" t="str">
        <f>VLOOKUP(A12,'Sales Order'!A$2:B$1029,1,0)</f>
        <v>SO0003</v>
      </c>
      <c r="C12" s="29" t="s">
        <v>58</v>
      </c>
      <c r="D12" s="50" t="str">
        <f>VLOOKUP(C12,Product!A$2:B$21,1,0)</f>
        <v>PD0012</v>
      </c>
      <c r="E12" s="36">
        <v>128</v>
      </c>
      <c r="F12" s="38">
        <v>671266560</v>
      </c>
      <c r="G12" s="39" t="s">
        <v>2386</v>
      </c>
      <c r="H12" s="12"/>
      <c r="I12" s="12"/>
      <c r="L12" s="12"/>
    </row>
    <row r="13" spans="1:12" ht="14.4" x14ac:dyDescent="0.3">
      <c r="A13" s="29" t="s">
        <v>236</v>
      </c>
      <c r="B13" s="50" t="str">
        <f>VLOOKUP(A13,'Sales Order'!A$2:B$1029,1,0)</f>
        <v>SO0003</v>
      </c>
      <c r="C13" s="29" t="s">
        <v>83</v>
      </c>
      <c r="D13" s="50" t="str">
        <f>VLOOKUP(C13,Product!A$2:B$21,1,0)</f>
        <v>PD0020</v>
      </c>
      <c r="E13" s="36">
        <v>101</v>
      </c>
      <c r="F13" s="38">
        <v>29503110</v>
      </c>
      <c r="G13" s="39" t="s">
        <v>2387</v>
      </c>
      <c r="H13" s="12"/>
      <c r="I13" s="12"/>
      <c r="L13" s="12"/>
    </row>
    <row r="14" spans="1:12" ht="14.4" x14ac:dyDescent="0.3">
      <c r="A14" s="17" t="s">
        <v>239</v>
      </c>
      <c r="B14" s="50" t="str">
        <f>VLOOKUP(A14,'Sales Order'!A$2:B$1029,1,0)</f>
        <v>SO0004</v>
      </c>
      <c r="C14" s="17" t="s">
        <v>69</v>
      </c>
      <c r="D14" s="50" t="str">
        <f>VLOOKUP(C14,Product!A$2:B$21,1,0)</f>
        <v>PD0015</v>
      </c>
      <c r="E14" s="19">
        <v>96</v>
      </c>
      <c r="F14" s="37">
        <v>10698048</v>
      </c>
      <c r="G14" s="39" t="s">
        <v>2388</v>
      </c>
      <c r="H14" s="12"/>
      <c r="I14" s="12"/>
      <c r="L14" s="12"/>
    </row>
    <row r="15" spans="1:12" ht="14.4" x14ac:dyDescent="0.3">
      <c r="A15" s="17" t="s">
        <v>240</v>
      </c>
      <c r="B15" s="50" t="str">
        <f>VLOOKUP(A15,'Sales Order'!A$2:B$1029,1,0)</f>
        <v>SO0005</v>
      </c>
      <c r="C15" s="17" t="s">
        <v>43</v>
      </c>
      <c r="D15" s="50" t="str">
        <f>VLOOKUP(C15,Product!A$2:B$21,1,0)</f>
        <v>PD0007</v>
      </c>
      <c r="E15" s="19">
        <v>90</v>
      </c>
      <c r="F15" s="37">
        <v>250560000</v>
      </c>
      <c r="G15" s="39" t="s">
        <v>2389</v>
      </c>
      <c r="H15" s="12"/>
      <c r="I15" s="12"/>
      <c r="L15" s="12"/>
    </row>
    <row r="16" spans="1:12" ht="14.4" x14ac:dyDescent="0.3">
      <c r="A16" s="17" t="s">
        <v>241</v>
      </c>
      <c r="B16" s="50" t="str">
        <f>VLOOKUP(A16,'Sales Order'!A$2:B$1029,1,0)</f>
        <v>SO0006</v>
      </c>
      <c r="C16" s="17" t="s">
        <v>48</v>
      </c>
      <c r="D16" s="50" t="str">
        <f>VLOOKUP(C16,Product!A$2:B$21,1,0)</f>
        <v>PD0009</v>
      </c>
      <c r="E16" s="19">
        <v>104</v>
      </c>
      <c r="F16" s="37">
        <v>11269440</v>
      </c>
      <c r="G16" s="39" t="s">
        <v>2390</v>
      </c>
      <c r="H16" s="12"/>
      <c r="I16" s="12"/>
      <c r="L16" s="12"/>
    </row>
    <row r="17" spans="1:12" ht="14.4" x14ac:dyDescent="0.3">
      <c r="A17" s="17" t="s">
        <v>242</v>
      </c>
      <c r="B17" s="50" t="str">
        <f>VLOOKUP(A17,'Sales Order'!A$2:B$1029,1,0)</f>
        <v>SO0007</v>
      </c>
      <c r="C17" s="17" t="s">
        <v>81</v>
      </c>
      <c r="D17" s="50" t="str">
        <f>VLOOKUP(C17,Product!A$2:B$21,1,0)</f>
        <v>PD0019</v>
      </c>
      <c r="E17" s="19">
        <v>83</v>
      </c>
      <c r="F17" s="37">
        <v>167137930</v>
      </c>
      <c r="G17" s="39" t="s">
        <v>2391</v>
      </c>
      <c r="H17" s="12"/>
      <c r="I17" s="12"/>
      <c r="L17" s="12"/>
    </row>
    <row r="18" spans="1:12" ht="14.4" x14ac:dyDescent="0.3">
      <c r="A18" s="29" t="s">
        <v>242</v>
      </c>
      <c r="B18" s="50" t="str">
        <f>VLOOKUP(A18,'Sales Order'!A$2:B$1029,1,0)</f>
        <v>SO0007</v>
      </c>
      <c r="C18" s="29" t="s">
        <v>65</v>
      </c>
      <c r="D18" s="50" t="str">
        <f>VLOOKUP(C18,Product!A$2:B$21,1,0)</f>
        <v>PD0014</v>
      </c>
      <c r="E18" s="36">
        <v>123</v>
      </c>
      <c r="F18" s="38">
        <v>24630750</v>
      </c>
      <c r="G18" s="39" t="s">
        <v>2392</v>
      </c>
      <c r="H18" s="12"/>
      <c r="I18" s="12"/>
      <c r="L18" s="12"/>
    </row>
    <row r="19" spans="1:12" ht="14.4" x14ac:dyDescent="0.3">
      <c r="A19" s="29" t="s">
        <v>242</v>
      </c>
      <c r="B19" s="50" t="str">
        <f>VLOOKUP(A19,'Sales Order'!A$2:B$1029,1,0)</f>
        <v>SO0007</v>
      </c>
      <c r="C19" s="29" t="s">
        <v>83</v>
      </c>
      <c r="D19" s="50" t="str">
        <f>VLOOKUP(C19,Product!A$2:B$21,1,0)</f>
        <v>PD0020</v>
      </c>
      <c r="E19" s="36">
        <v>62</v>
      </c>
      <c r="F19" s="38">
        <v>14926500</v>
      </c>
      <c r="G19" s="39" t="s">
        <v>2393</v>
      </c>
      <c r="H19" s="12"/>
      <c r="I19" s="12"/>
      <c r="L19" s="12"/>
    </row>
    <row r="20" spans="1:12" ht="14.4" x14ac:dyDescent="0.3">
      <c r="A20" s="29" t="s">
        <v>242</v>
      </c>
      <c r="B20" s="50" t="str">
        <f>VLOOKUP(A20,'Sales Order'!A$2:B$1029,1,0)</f>
        <v>SO0007</v>
      </c>
      <c r="C20" s="29" t="s">
        <v>48</v>
      </c>
      <c r="D20" s="50" t="str">
        <f>VLOOKUP(C20,Product!A$2:B$21,1,0)</f>
        <v>PD0009</v>
      </c>
      <c r="E20" s="36">
        <v>96</v>
      </c>
      <c r="F20" s="38">
        <v>10774080</v>
      </c>
      <c r="G20" s="39" t="s">
        <v>2394</v>
      </c>
      <c r="H20" s="12"/>
      <c r="I20" s="12"/>
      <c r="L20" s="12"/>
    </row>
    <row r="21" spans="1:12" ht="15.75" customHeight="1" x14ac:dyDescent="0.3">
      <c r="A21" s="29" t="s">
        <v>242</v>
      </c>
      <c r="B21" s="50" t="str">
        <f>VLOOKUP(A21,'Sales Order'!A$2:B$1029,1,0)</f>
        <v>SO0007</v>
      </c>
      <c r="C21" s="29" t="s">
        <v>45</v>
      </c>
      <c r="D21" s="50" t="str">
        <f>VLOOKUP(C21,Product!A$2:B$21,1,0)</f>
        <v>PD0008</v>
      </c>
      <c r="E21" s="36">
        <v>92</v>
      </c>
      <c r="F21" s="38">
        <v>12063040</v>
      </c>
      <c r="G21" s="39" t="s">
        <v>2395</v>
      </c>
      <c r="H21" s="12"/>
      <c r="I21" s="12"/>
      <c r="L21" s="12"/>
    </row>
    <row r="22" spans="1:12" ht="15.75" customHeight="1" x14ac:dyDescent="0.3">
      <c r="A22" s="17" t="s">
        <v>242</v>
      </c>
      <c r="B22" s="50" t="str">
        <f>VLOOKUP(A22,'Sales Order'!A$2:B$1029,1,0)</f>
        <v>SO0007</v>
      </c>
      <c r="C22" s="29" t="s">
        <v>55</v>
      </c>
      <c r="D22" s="50" t="str">
        <f>VLOOKUP(C22,Product!A$2:B$21,1,0)</f>
        <v>PD0011</v>
      </c>
      <c r="E22" s="36">
        <v>91</v>
      </c>
      <c r="F22" s="38">
        <v>197495480</v>
      </c>
      <c r="G22" s="39" t="s">
        <v>2396</v>
      </c>
      <c r="H22" s="12"/>
      <c r="L22" s="12"/>
    </row>
    <row r="23" spans="1:12" ht="15.75" customHeight="1" x14ac:dyDescent="0.3">
      <c r="A23" s="17" t="s">
        <v>243</v>
      </c>
      <c r="B23" s="50" t="str">
        <f>VLOOKUP(A23,'Sales Order'!A$2:B$1029,1,0)</f>
        <v>SO0008</v>
      </c>
      <c r="C23" s="17" t="s">
        <v>19</v>
      </c>
      <c r="D23" s="50" t="str">
        <f>VLOOKUP(C23,Product!A$2:B$21,1,0)</f>
        <v>PD0001</v>
      </c>
      <c r="E23" s="19">
        <v>133</v>
      </c>
      <c r="F23" s="37">
        <v>29805300</v>
      </c>
      <c r="G23" s="39" t="s">
        <v>2397</v>
      </c>
      <c r="H23" s="12"/>
      <c r="L23" s="12"/>
    </row>
    <row r="24" spans="1:12" ht="15.75" customHeight="1" x14ac:dyDescent="0.3">
      <c r="A24" s="29" t="s">
        <v>243</v>
      </c>
      <c r="B24" s="50" t="str">
        <f>VLOOKUP(A24,'Sales Order'!A$2:B$1029,1,0)</f>
        <v>SO0008</v>
      </c>
      <c r="C24" s="29" t="s">
        <v>40</v>
      </c>
      <c r="D24" s="50" t="str">
        <f>VLOOKUP(C24,Product!A$2:B$21,1,0)</f>
        <v>PD0006</v>
      </c>
      <c r="E24" s="36">
        <v>82</v>
      </c>
      <c r="F24" s="38">
        <v>13881780</v>
      </c>
      <c r="G24" s="39" t="s">
        <v>2398</v>
      </c>
      <c r="H24" s="12"/>
      <c r="L24" s="12"/>
    </row>
    <row r="25" spans="1:12" ht="15.75" customHeight="1" x14ac:dyDescent="0.3">
      <c r="A25" s="29" t="s">
        <v>243</v>
      </c>
      <c r="B25" s="50" t="str">
        <f>VLOOKUP(A25,'Sales Order'!A$2:B$1029,1,0)</f>
        <v>SO0008</v>
      </c>
      <c r="C25" s="29" t="s">
        <v>58</v>
      </c>
      <c r="D25" s="50" t="str">
        <f>VLOOKUP(C25,Product!A$2:B$21,1,0)</f>
        <v>PD0012</v>
      </c>
      <c r="E25" s="36">
        <v>112</v>
      </c>
      <c r="F25" s="38">
        <v>555779840</v>
      </c>
      <c r="G25" s="39" t="s">
        <v>2399</v>
      </c>
      <c r="H25" s="12"/>
      <c r="L25" s="12"/>
    </row>
    <row r="26" spans="1:12" ht="15.75" customHeight="1" x14ac:dyDescent="0.3">
      <c r="A26" s="17" t="s">
        <v>243</v>
      </c>
      <c r="B26" s="50" t="str">
        <f>VLOOKUP(A26,'Sales Order'!A$2:B$1029,1,0)</f>
        <v>SO0008</v>
      </c>
      <c r="C26" s="29" t="s">
        <v>69</v>
      </c>
      <c r="D26" s="50" t="str">
        <f>VLOOKUP(C26,Product!A$2:B$21,1,0)</f>
        <v>PD0015</v>
      </c>
      <c r="E26" s="36">
        <v>140</v>
      </c>
      <c r="F26" s="38">
        <v>14650020</v>
      </c>
      <c r="G26" s="39" t="s">
        <v>2400</v>
      </c>
      <c r="H26" s="12"/>
      <c r="L26" s="12"/>
    </row>
    <row r="27" spans="1:12" ht="15.75" customHeight="1" x14ac:dyDescent="0.3">
      <c r="A27" s="17" t="s">
        <v>244</v>
      </c>
      <c r="B27" s="50" t="str">
        <f>VLOOKUP(A27,'Sales Order'!A$2:B$1029,1,0)</f>
        <v>SO0009</v>
      </c>
      <c r="C27" s="17" t="s">
        <v>40</v>
      </c>
      <c r="D27" s="50" t="str">
        <f>VLOOKUP(C27,Product!A$2:B$21,1,0)</f>
        <v>PD0006</v>
      </c>
      <c r="E27" s="19">
        <v>111</v>
      </c>
      <c r="F27" s="37">
        <v>22039050</v>
      </c>
      <c r="G27" s="39" t="s">
        <v>2401</v>
      </c>
      <c r="H27" s="12"/>
      <c r="L27" s="12"/>
    </row>
    <row r="28" spans="1:12" ht="15.75" customHeight="1" x14ac:dyDescent="0.3">
      <c r="A28" s="29" t="s">
        <v>244</v>
      </c>
      <c r="B28" s="50" t="str">
        <f>VLOOKUP(A28,'Sales Order'!A$2:B$1029,1,0)</f>
        <v>SO0009</v>
      </c>
      <c r="C28" s="29" t="s">
        <v>58</v>
      </c>
      <c r="D28" s="50" t="str">
        <f>VLOOKUP(C28,Product!A$2:B$21,1,0)</f>
        <v>PD0012</v>
      </c>
      <c r="E28" s="36">
        <v>32</v>
      </c>
      <c r="F28" s="38">
        <v>153380800</v>
      </c>
      <c r="G28" s="39" t="s">
        <v>2402</v>
      </c>
      <c r="H28" s="12"/>
      <c r="L28" s="12"/>
    </row>
    <row r="29" spans="1:12" ht="15.75" customHeight="1" x14ac:dyDescent="0.3">
      <c r="A29" s="29" t="s">
        <v>245</v>
      </c>
      <c r="B29" s="50" t="str">
        <f>VLOOKUP(A29,'Sales Order'!A$2:B$1029,1,0)</f>
        <v>SO0010</v>
      </c>
      <c r="C29" s="29" t="s">
        <v>69</v>
      </c>
      <c r="D29" s="50" t="str">
        <f>VLOOKUP(C29,Product!A$2:B$21,1,0)</f>
        <v>PD0015</v>
      </c>
      <c r="E29" s="36">
        <v>79</v>
      </c>
      <c r="F29" s="38">
        <v>8266797</v>
      </c>
      <c r="G29" s="39" t="s">
        <v>2403</v>
      </c>
      <c r="H29" s="12"/>
      <c r="L29" s="12"/>
    </row>
    <row r="30" spans="1:12" ht="15.75" customHeight="1" x14ac:dyDescent="0.3">
      <c r="A30" s="29" t="s">
        <v>245</v>
      </c>
      <c r="B30" s="50" t="str">
        <f>VLOOKUP(A30,'Sales Order'!A$2:B$1029,1,0)</f>
        <v>SO0010</v>
      </c>
      <c r="C30" s="29" t="s">
        <v>43</v>
      </c>
      <c r="D30" s="50" t="str">
        <f>VLOOKUP(C30,Product!A$2:B$21,1,0)</f>
        <v>PD0007</v>
      </c>
      <c r="E30" s="36">
        <v>82</v>
      </c>
      <c r="F30" s="38">
        <v>236160000</v>
      </c>
      <c r="G30" s="39" t="s">
        <v>2404</v>
      </c>
      <c r="H30" s="12"/>
      <c r="L30" s="12"/>
    </row>
    <row r="31" spans="1:12" ht="15.75" customHeight="1" x14ac:dyDescent="0.3">
      <c r="A31" s="29" t="s">
        <v>245</v>
      </c>
      <c r="B31" s="50" t="str">
        <f>VLOOKUP(A31,'Sales Order'!A$2:B$1029,1,0)</f>
        <v>SO0010</v>
      </c>
      <c r="C31" s="29" t="s">
        <v>28</v>
      </c>
      <c r="D31" s="50" t="str">
        <f>VLOOKUP(C31,Product!A$2:B$21,1,0)</f>
        <v>PD0003</v>
      </c>
      <c r="E31" s="36">
        <v>143</v>
      </c>
      <c r="F31" s="38">
        <v>119819700</v>
      </c>
      <c r="G31" s="39" t="s">
        <v>2405</v>
      </c>
      <c r="H31" s="12"/>
      <c r="L31" s="12"/>
    </row>
    <row r="32" spans="1:12" ht="15.75" customHeight="1" x14ac:dyDescent="0.3">
      <c r="A32" s="29" t="s">
        <v>245</v>
      </c>
      <c r="B32" s="50" t="str">
        <f>VLOOKUP(A32,'Sales Order'!A$2:B$1029,1,0)</f>
        <v>SO0010</v>
      </c>
      <c r="C32" s="29" t="s">
        <v>45</v>
      </c>
      <c r="D32" s="50" t="str">
        <f>VLOOKUP(C32,Product!A$2:B$21,1,0)</f>
        <v>PD0008</v>
      </c>
      <c r="E32" s="36">
        <v>114</v>
      </c>
      <c r="F32" s="38">
        <v>15627120</v>
      </c>
      <c r="G32" s="39" t="s">
        <v>2406</v>
      </c>
      <c r="H32" s="12"/>
      <c r="L32" s="12"/>
    </row>
    <row r="33" spans="1:12" ht="15.75" customHeight="1" x14ac:dyDescent="0.3">
      <c r="A33" s="17" t="s">
        <v>246</v>
      </c>
      <c r="B33" s="50" t="str">
        <f>VLOOKUP(A33,'Sales Order'!A$2:B$1029,1,0)</f>
        <v>SO0011</v>
      </c>
      <c r="C33" s="29" t="s">
        <v>40</v>
      </c>
      <c r="D33" s="50" t="str">
        <f>VLOOKUP(C33,Product!A$2:B$21,1,0)</f>
        <v>PD0006</v>
      </c>
      <c r="E33" s="36">
        <v>80</v>
      </c>
      <c r="F33" s="38">
        <v>14546400</v>
      </c>
      <c r="G33" s="39" t="s">
        <v>2407</v>
      </c>
      <c r="H33" s="12"/>
      <c r="L33" s="12"/>
    </row>
    <row r="34" spans="1:12" ht="15.75" customHeight="1" x14ac:dyDescent="0.3">
      <c r="A34" s="29" t="s">
        <v>246</v>
      </c>
      <c r="B34" s="50" t="str">
        <f>VLOOKUP(A34,'Sales Order'!A$2:B$1029,1,0)</f>
        <v>SO0011</v>
      </c>
      <c r="C34" s="29" t="s">
        <v>33</v>
      </c>
      <c r="D34" s="50" t="str">
        <f>VLOOKUP(C34,Product!A$2:B$21,1,0)</f>
        <v>PD0004</v>
      </c>
      <c r="E34" s="36">
        <v>147</v>
      </c>
      <c r="F34" s="38">
        <v>29106000</v>
      </c>
      <c r="G34" s="39" t="s">
        <v>2408</v>
      </c>
      <c r="H34" s="12"/>
      <c r="L34" s="12"/>
    </row>
    <row r="35" spans="1:12" ht="15.75" customHeight="1" x14ac:dyDescent="0.3">
      <c r="A35" s="29" t="s">
        <v>246</v>
      </c>
      <c r="B35" s="50" t="str">
        <f>VLOOKUP(A35,'Sales Order'!A$2:B$1029,1,0)</f>
        <v>SO0011</v>
      </c>
      <c r="C35" s="29" t="s">
        <v>65</v>
      </c>
      <c r="D35" s="50" t="str">
        <f>VLOOKUP(C35,Product!A$2:B$21,1,0)</f>
        <v>PD0014</v>
      </c>
      <c r="E35" s="36">
        <v>55</v>
      </c>
      <c r="F35" s="38">
        <v>12482250</v>
      </c>
      <c r="G35" s="39" t="s">
        <v>2409</v>
      </c>
      <c r="H35" s="12"/>
      <c r="L35" s="12"/>
    </row>
    <row r="36" spans="1:12" ht="15.75" customHeight="1" x14ac:dyDescent="0.3">
      <c r="A36" s="29" t="s">
        <v>246</v>
      </c>
      <c r="B36" s="50" t="str">
        <f>VLOOKUP(A36,'Sales Order'!A$2:B$1029,1,0)</f>
        <v>SO0011</v>
      </c>
      <c r="C36" s="29" t="s">
        <v>45</v>
      </c>
      <c r="D36" s="50" t="str">
        <f>VLOOKUP(C36,Product!A$2:B$21,1,0)</f>
        <v>PD0008</v>
      </c>
      <c r="E36" s="36">
        <v>106</v>
      </c>
      <c r="F36" s="38">
        <v>14056660</v>
      </c>
      <c r="G36" s="39" t="s">
        <v>2410</v>
      </c>
      <c r="H36" s="12"/>
      <c r="L36" s="12"/>
    </row>
    <row r="37" spans="1:12" ht="15.75" customHeight="1" x14ac:dyDescent="0.3">
      <c r="A37" s="17" t="s">
        <v>248</v>
      </c>
      <c r="B37" s="50" t="str">
        <f>VLOOKUP(A37,'Sales Order'!A$2:B$1029,1,0)</f>
        <v>SO0012</v>
      </c>
      <c r="C37" s="29" t="s">
        <v>61</v>
      </c>
      <c r="D37" s="50" t="str">
        <f>VLOOKUP(C37,Product!A$2:B$21,1,0)</f>
        <v>PD0013</v>
      </c>
      <c r="E37" s="36">
        <v>77</v>
      </c>
      <c r="F37" s="38">
        <v>33194700</v>
      </c>
      <c r="G37" s="39" t="s">
        <v>2411</v>
      </c>
      <c r="H37" s="12"/>
      <c r="L37" s="12"/>
    </row>
    <row r="38" spans="1:12" ht="15.75" customHeight="1" x14ac:dyDescent="0.3">
      <c r="A38" s="29" t="s">
        <v>248</v>
      </c>
      <c r="B38" s="50" t="str">
        <f>VLOOKUP(A38,'Sales Order'!A$2:B$1029,1,0)</f>
        <v>SO0012</v>
      </c>
      <c r="C38" s="29" t="s">
        <v>65</v>
      </c>
      <c r="D38" s="50" t="str">
        <f>VLOOKUP(C38,Product!A$2:B$21,1,0)</f>
        <v>PD0014</v>
      </c>
      <c r="E38" s="36">
        <v>109</v>
      </c>
      <c r="F38" s="38">
        <v>22118280</v>
      </c>
      <c r="G38" s="39" t="s">
        <v>2412</v>
      </c>
      <c r="H38" s="12"/>
      <c r="L38" s="12"/>
    </row>
    <row r="39" spans="1:12" ht="15.75" customHeight="1" x14ac:dyDescent="0.3">
      <c r="A39" s="29" t="s">
        <v>248</v>
      </c>
      <c r="B39" s="50" t="str">
        <f>VLOOKUP(A39,'Sales Order'!A$2:B$1029,1,0)</f>
        <v>SO0012</v>
      </c>
      <c r="C39" s="29" t="s">
        <v>52</v>
      </c>
      <c r="D39" s="50" t="str">
        <f>VLOOKUP(C39,Product!A$2:B$21,1,0)</f>
        <v>PD0010</v>
      </c>
      <c r="E39" s="36">
        <v>82</v>
      </c>
      <c r="F39" s="38">
        <v>23452000</v>
      </c>
      <c r="G39" s="39" t="s">
        <v>2413</v>
      </c>
      <c r="H39" s="12"/>
      <c r="L39" s="12"/>
    </row>
    <row r="40" spans="1:12" ht="15.75" customHeight="1" x14ac:dyDescent="0.3">
      <c r="A40" s="29" t="s">
        <v>248</v>
      </c>
      <c r="B40" s="50" t="str">
        <f>VLOOKUP(A40,'Sales Order'!A$2:B$1029,1,0)</f>
        <v>SO0012</v>
      </c>
      <c r="C40" s="29" t="s">
        <v>40</v>
      </c>
      <c r="D40" s="50" t="str">
        <f>VLOOKUP(C40,Product!A$2:B$21,1,0)</f>
        <v>PD0006</v>
      </c>
      <c r="E40" s="36">
        <v>107</v>
      </c>
      <c r="F40" s="38">
        <v>18784920</v>
      </c>
      <c r="G40" s="39" t="s">
        <v>2414</v>
      </c>
      <c r="H40" s="12"/>
      <c r="L40" s="12"/>
    </row>
    <row r="41" spans="1:12" ht="15.75" customHeight="1" x14ac:dyDescent="0.3">
      <c r="A41" s="17" t="s">
        <v>249</v>
      </c>
      <c r="B41" s="50" t="str">
        <f>VLOOKUP(A41,'Sales Order'!A$2:B$1029,1,0)</f>
        <v>SO0013</v>
      </c>
      <c r="C41" s="29" t="s">
        <v>75</v>
      </c>
      <c r="D41" s="50" t="str">
        <f>VLOOKUP(C41,Product!A$2:B$21,1,0)</f>
        <v>PD0017</v>
      </c>
      <c r="E41" s="36">
        <v>75</v>
      </c>
      <c r="F41" s="38">
        <v>184837500</v>
      </c>
      <c r="G41" s="39" t="s">
        <v>2415</v>
      </c>
      <c r="H41" s="12"/>
      <c r="L41" s="12"/>
    </row>
    <row r="42" spans="1:12" ht="15.75" customHeight="1" x14ac:dyDescent="0.3">
      <c r="A42" s="29" t="s">
        <v>249</v>
      </c>
      <c r="B42" s="50" t="str">
        <f>VLOOKUP(A42,'Sales Order'!A$2:B$1029,1,0)</f>
        <v>SO0013</v>
      </c>
      <c r="C42" s="29" t="s">
        <v>48</v>
      </c>
      <c r="D42" s="50" t="str">
        <f>VLOOKUP(C42,Product!A$2:B$21,1,0)</f>
        <v>PD0009</v>
      </c>
      <c r="E42" s="36">
        <v>90</v>
      </c>
      <c r="F42" s="38">
        <v>8707500</v>
      </c>
      <c r="G42" s="39" t="s">
        <v>2416</v>
      </c>
      <c r="H42" s="12"/>
      <c r="L42" s="12"/>
    </row>
    <row r="43" spans="1:12" ht="15.75" customHeight="1" x14ac:dyDescent="0.3">
      <c r="A43" s="29" t="s">
        <v>249</v>
      </c>
      <c r="B43" s="50" t="str">
        <f>VLOOKUP(A43,'Sales Order'!A$2:B$1029,1,0)</f>
        <v>SO0013</v>
      </c>
      <c r="C43" s="29" t="s">
        <v>61</v>
      </c>
      <c r="D43" s="50" t="str">
        <f>VLOOKUP(C43,Product!A$2:B$21,1,0)</f>
        <v>PD0013</v>
      </c>
      <c r="E43" s="36">
        <v>101</v>
      </c>
      <c r="F43" s="38">
        <v>44508680</v>
      </c>
      <c r="G43" s="39" t="s">
        <v>2417</v>
      </c>
      <c r="H43" s="12"/>
      <c r="L43" s="12"/>
    </row>
    <row r="44" spans="1:12" ht="15.75" customHeight="1" x14ac:dyDescent="0.3">
      <c r="A44" s="29" t="s">
        <v>249</v>
      </c>
      <c r="B44" s="50" t="str">
        <f>VLOOKUP(A44,'Sales Order'!A$2:B$1029,1,0)</f>
        <v>SO0013</v>
      </c>
      <c r="C44" s="29" t="s">
        <v>72</v>
      </c>
      <c r="D44" s="50" t="str">
        <f>VLOOKUP(C44,Product!A$2:B$21,1,0)</f>
        <v>PD0016</v>
      </c>
      <c r="E44" s="36">
        <v>112</v>
      </c>
      <c r="F44" s="38">
        <v>24521280</v>
      </c>
      <c r="G44" s="39" t="s">
        <v>2418</v>
      </c>
      <c r="H44" s="12"/>
      <c r="L44" s="12"/>
    </row>
    <row r="45" spans="1:12" ht="15.75" customHeight="1" x14ac:dyDescent="0.3">
      <c r="A45" s="29" t="s">
        <v>249</v>
      </c>
      <c r="B45" s="50" t="str">
        <f>VLOOKUP(A45,'Sales Order'!A$2:B$1029,1,0)</f>
        <v>SO0013</v>
      </c>
      <c r="C45" s="29" t="s">
        <v>43</v>
      </c>
      <c r="D45" s="50" t="str">
        <f>VLOOKUP(C45,Product!A$2:B$21,1,0)</f>
        <v>PD0007</v>
      </c>
      <c r="E45" s="36">
        <v>133</v>
      </c>
      <c r="F45" s="38">
        <v>374528000</v>
      </c>
      <c r="G45" s="39" t="s">
        <v>2419</v>
      </c>
      <c r="H45" s="12"/>
      <c r="L45" s="12"/>
    </row>
    <row r="46" spans="1:12" ht="15.75" customHeight="1" x14ac:dyDescent="0.3">
      <c r="A46" s="17" t="s">
        <v>250</v>
      </c>
      <c r="B46" s="50" t="str">
        <f>VLOOKUP(A46,'Sales Order'!A$2:B$1029,1,0)</f>
        <v>SO0014</v>
      </c>
      <c r="C46" s="29" t="s">
        <v>58</v>
      </c>
      <c r="D46" s="50" t="str">
        <f>VLOOKUP(C46,Product!A$2:B$21,1,0)</f>
        <v>PD0012</v>
      </c>
      <c r="E46" s="36">
        <v>56</v>
      </c>
      <c r="F46" s="38">
        <v>246311520</v>
      </c>
      <c r="G46" s="39" t="s">
        <v>2420</v>
      </c>
      <c r="H46" s="12"/>
      <c r="L46" s="12"/>
    </row>
    <row r="47" spans="1:12" ht="15.75" customHeight="1" x14ac:dyDescent="0.3">
      <c r="A47" s="29" t="s">
        <v>250</v>
      </c>
      <c r="B47" s="50" t="str">
        <f>VLOOKUP(A47,'Sales Order'!A$2:B$1029,1,0)</f>
        <v>SO0014</v>
      </c>
      <c r="C47" s="29" t="s">
        <v>25</v>
      </c>
      <c r="D47" s="50" t="str">
        <f>VLOOKUP(C47,Product!A$2:B$21,1,0)</f>
        <v>PD0002</v>
      </c>
      <c r="E47" s="36">
        <v>36</v>
      </c>
      <c r="F47" s="38">
        <v>561600</v>
      </c>
      <c r="G47" s="39" t="s">
        <v>2421</v>
      </c>
      <c r="H47" s="12"/>
      <c r="L47" s="12"/>
    </row>
    <row r="48" spans="1:12" ht="15.75" customHeight="1" x14ac:dyDescent="0.3">
      <c r="A48" s="17" t="s">
        <v>251</v>
      </c>
      <c r="B48" s="50" t="str">
        <f>VLOOKUP(A48,'Sales Order'!A$2:B$1029,1,0)</f>
        <v>SO0015</v>
      </c>
      <c r="C48" s="29" t="s">
        <v>58</v>
      </c>
      <c r="D48" s="50" t="str">
        <f>VLOOKUP(C48,Product!A$2:B$21,1,0)</f>
        <v>PD0012</v>
      </c>
      <c r="E48" s="36">
        <v>82</v>
      </c>
      <c r="F48" s="38">
        <v>439278100</v>
      </c>
      <c r="G48" s="39" t="s">
        <v>2422</v>
      </c>
      <c r="H48" s="12"/>
      <c r="L48" s="12"/>
    </row>
    <row r="49" spans="1:12" ht="15.75" customHeight="1" x14ac:dyDescent="0.3">
      <c r="A49" s="29" t="s">
        <v>251</v>
      </c>
      <c r="B49" s="50" t="str">
        <f>VLOOKUP(A49,'Sales Order'!A$2:B$1029,1,0)</f>
        <v>SO0015</v>
      </c>
      <c r="C49" s="29" t="s">
        <v>83</v>
      </c>
      <c r="D49" s="50" t="str">
        <f>VLOOKUP(C49,Product!A$2:B$21,1,0)</f>
        <v>PD0020</v>
      </c>
      <c r="E49" s="36">
        <v>113</v>
      </c>
      <c r="F49" s="38">
        <v>30832050</v>
      </c>
      <c r="G49" s="39" t="s">
        <v>2423</v>
      </c>
      <c r="H49" s="12"/>
      <c r="L49" s="12"/>
    </row>
    <row r="50" spans="1:12" ht="15.75" customHeight="1" x14ac:dyDescent="0.3">
      <c r="A50" s="29" t="s">
        <v>251</v>
      </c>
      <c r="B50" s="50" t="str">
        <f>VLOOKUP(A50,'Sales Order'!A$2:B$1029,1,0)</f>
        <v>SO0015</v>
      </c>
      <c r="C50" s="29" t="s">
        <v>33</v>
      </c>
      <c r="D50" s="50" t="str">
        <f>VLOOKUP(C50,Product!A$2:B$21,1,0)</f>
        <v>PD0004</v>
      </c>
      <c r="E50" s="36">
        <v>95</v>
      </c>
      <c r="F50" s="38">
        <v>15675000</v>
      </c>
      <c r="G50" s="39" t="s">
        <v>2424</v>
      </c>
      <c r="H50" s="12"/>
      <c r="L50" s="12"/>
    </row>
    <row r="51" spans="1:12" ht="15.75" customHeight="1" x14ac:dyDescent="0.3">
      <c r="A51" s="29" t="s">
        <v>251</v>
      </c>
      <c r="B51" s="50" t="str">
        <f>VLOOKUP(A51,'Sales Order'!A$2:B$1029,1,0)</f>
        <v>SO0015</v>
      </c>
      <c r="C51" s="29" t="s">
        <v>48</v>
      </c>
      <c r="D51" s="50" t="str">
        <f>VLOOKUP(C51,Product!A$2:B$21,1,0)</f>
        <v>PD0009</v>
      </c>
      <c r="E51" s="36">
        <v>83</v>
      </c>
      <c r="F51" s="38">
        <v>9100950</v>
      </c>
      <c r="G51" s="39" t="s">
        <v>2425</v>
      </c>
      <c r="H51" s="12"/>
      <c r="L51" s="12"/>
    </row>
    <row r="52" spans="1:12" ht="15.75" customHeight="1" x14ac:dyDescent="0.3">
      <c r="A52" s="29" t="s">
        <v>251</v>
      </c>
      <c r="B52" s="50" t="str">
        <f>VLOOKUP(A52,'Sales Order'!A$2:B$1029,1,0)</f>
        <v>SO0015</v>
      </c>
      <c r="C52" s="29" t="s">
        <v>55</v>
      </c>
      <c r="D52" s="50" t="str">
        <f>VLOOKUP(C52,Product!A$2:B$21,1,0)</f>
        <v>PD0011</v>
      </c>
      <c r="E52" s="36">
        <v>73</v>
      </c>
      <c r="F52" s="38">
        <v>149820090</v>
      </c>
      <c r="G52" s="39" t="s">
        <v>2426</v>
      </c>
      <c r="H52" s="12"/>
      <c r="L52" s="12"/>
    </row>
    <row r="53" spans="1:12" ht="15.75" customHeight="1" x14ac:dyDescent="0.3">
      <c r="A53" s="17" t="s">
        <v>252</v>
      </c>
      <c r="B53" s="50" t="str">
        <f>VLOOKUP(A53,'Sales Order'!A$2:B$1029,1,0)</f>
        <v>SO0016</v>
      </c>
      <c r="C53" s="29" t="s">
        <v>48</v>
      </c>
      <c r="D53" s="50" t="str">
        <f>VLOOKUP(C53,Product!A$2:B$21,1,0)</f>
        <v>PD0009</v>
      </c>
      <c r="E53" s="36">
        <v>97</v>
      </c>
      <c r="F53" s="38">
        <v>9509880</v>
      </c>
      <c r="G53" s="39" t="s">
        <v>2427</v>
      </c>
      <c r="H53" s="12"/>
      <c r="L53" s="12"/>
    </row>
    <row r="54" spans="1:12" ht="15.75" customHeight="1" x14ac:dyDescent="0.3">
      <c r="A54" s="29" t="s">
        <v>252</v>
      </c>
      <c r="B54" s="50" t="str">
        <f>VLOOKUP(A54,'Sales Order'!A$2:B$1029,1,0)</f>
        <v>SO0016</v>
      </c>
      <c r="C54" s="29" t="s">
        <v>69</v>
      </c>
      <c r="D54" s="50" t="str">
        <f>VLOOKUP(C54,Product!A$2:B$21,1,0)</f>
        <v>PD0015</v>
      </c>
      <c r="E54" s="36">
        <v>126</v>
      </c>
      <c r="F54" s="38">
        <v>15411060</v>
      </c>
      <c r="G54" s="39" t="s">
        <v>2428</v>
      </c>
      <c r="H54" s="12"/>
      <c r="L54" s="12"/>
    </row>
    <row r="55" spans="1:12" ht="15.75" customHeight="1" x14ac:dyDescent="0.3">
      <c r="A55" s="29" t="s">
        <v>252</v>
      </c>
      <c r="B55" s="50" t="str">
        <f>VLOOKUP(A55,'Sales Order'!A$2:B$1029,1,0)</f>
        <v>SO0016</v>
      </c>
      <c r="C55" s="29" t="s">
        <v>35</v>
      </c>
      <c r="D55" s="50" t="str">
        <f>VLOOKUP(C55,Product!A$2:B$21,1,0)</f>
        <v>PD0005</v>
      </c>
      <c r="E55" s="36">
        <v>132</v>
      </c>
      <c r="F55" s="38">
        <v>223099800</v>
      </c>
      <c r="G55" s="39" t="s">
        <v>2429</v>
      </c>
      <c r="H55" s="12"/>
      <c r="L55" s="12"/>
    </row>
    <row r="56" spans="1:12" ht="15.75" customHeight="1" x14ac:dyDescent="0.3">
      <c r="A56" s="17" t="s">
        <v>254</v>
      </c>
      <c r="B56" s="50" t="str">
        <f>VLOOKUP(A56,'Sales Order'!A$2:B$1029,1,0)</f>
        <v>SO0017</v>
      </c>
      <c r="C56" s="29" t="s">
        <v>43</v>
      </c>
      <c r="D56" s="50" t="str">
        <f>VLOOKUP(C56,Product!A$2:B$21,1,0)</f>
        <v>PD0007</v>
      </c>
      <c r="E56" s="36">
        <v>124</v>
      </c>
      <c r="F56" s="38">
        <v>313472000</v>
      </c>
      <c r="G56" s="39" t="s">
        <v>2430</v>
      </c>
      <c r="H56" s="12"/>
      <c r="L56" s="12"/>
    </row>
    <row r="57" spans="1:12" ht="15.75" customHeight="1" x14ac:dyDescent="0.3">
      <c r="A57" s="29" t="s">
        <v>254</v>
      </c>
      <c r="B57" s="50" t="str">
        <f>VLOOKUP(A57,'Sales Order'!A$2:B$1029,1,0)</f>
        <v>SO0017</v>
      </c>
      <c r="C57" s="29" t="s">
        <v>55</v>
      </c>
      <c r="D57" s="50" t="str">
        <f>VLOOKUP(C57,Product!A$2:B$21,1,0)</f>
        <v>PD0011</v>
      </c>
      <c r="E57" s="36">
        <v>96</v>
      </c>
      <c r="F57" s="38">
        <v>192494400</v>
      </c>
      <c r="G57" s="39" t="s">
        <v>2431</v>
      </c>
      <c r="H57" s="12"/>
      <c r="L57" s="12"/>
    </row>
    <row r="58" spans="1:12" ht="15.75" customHeight="1" x14ac:dyDescent="0.3">
      <c r="A58" s="29" t="s">
        <v>254</v>
      </c>
      <c r="B58" s="50" t="str">
        <f>VLOOKUP(A58,'Sales Order'!A$2:B$1029,1,0)</f>
        <v>SO0017</v>
      </c>
      <c r="C58" s="29" t="s">
        <v>75</v>
      </c>
      <c r="D58" s="50" t="str">
        <f>VLOOKUP(C58,Product!A$2:B$21,1,0)</f>
        <v>PD0017</v>
      </c>
      <c r="E58" s="36">
        <v>60</v>
      </c>
      <c r="F58" s="38">
        <v>147870000</v>
      </c>
      <c r="G58" s="39" t="s">
        <v>2432</v>
      </c>
      <c r="H58" s="12"/>
      <c r="L58" s="12"/>
    </row>
    <row r="59" spans="1:12" ht="15.75" customHeight="1" x14ac:dyDescent="0.3">
      <c r="A59" s="29" t="s">
        <v>254</v>
      </c>
      <c r="B59" s="50" t="str">
        <f>VLOOKUP(A59,'Sales Order'!A$2:B$1029,1,0)</f>
        <v>SO0017</v>
      </c>
      <c r="C59" s="29" t="s">
        <v>28</v>
      </c>
      <c r="D59" s="50" t="str">
        <f>VLOOKUP(C59,Product!A$2:B$21,1,0)</f>
        <v>PD0003</v>
      </c>
      <c r="E59" s="36">
        <v>33</v>
      </c>
      <c r="F59" s="38">
        <v>23349480</v>
      </c>
      <c r="G59" s="39" t="s">
        <v>2433</v>
      </c>
      <c r="H59" s="12"/>
      <c r="L59" s="12"/>
    </row>
    <row r="60" spans="1:12" ht="15.75" customHeight="1" x14ac:dyDescent="0.3">
      <c r="A60" s="17" t="s">
        <v>255</v>
      </c>
      <c r="B60" s="50" t="str">
        <f>VLOOKUP(A60,'Sales Order'!A$2:B$1029,1,0)</f>
        <v>SO0018</v>
      </c>
      <c r="C60" s="29" t="s">
        <v>33</v>
      </c>
      <c r="D60" s="50" t="str">
        <f>VLOOKUP(C60,Product!A$2:B$21,1,0)</f>
        <v>PD0004</v>
      </c>
      <c r="E60" s="36">
        <v>108</v>
      </c>
      <c r="F60" s="38">
        <v>18770400</v>
      </c>
      <c r="G60" s="39" t="s">
        <v>2434</v>
      </c>
      <c r="H60" s="12"/>
      <c r="L60" s="12"/>
    </row>
    <row r="61" spans="1:12" ht="15.75" customHeight="1" x14ac:dyDescent="0.3">
      <c r="A61" s="29" t="s">
        <v>255</v>
      </c>
      <c r="B61" s="50" t="str">
        <f>VLOOKUP(A61,'Sales Order'!A$2:B$1029,1,0)</f>
        <v>SO0018</v>
      </c>
      <c r="C61" s="29" t="s">
        <v>61</v>
      </c>
      <c r="D61" s="50" t="str">
        <f>VLOOKUP(C61,Product!A$2:B$21,1,0)</f>
        <v>PD0013</v>
      </c>
      <c r="E61" s="36">
        <v>66</v>
      </c>
      <c r="F61" s="38">
        <v>25291200</v>
      </c>
      <c r="G61" s="39" t="s">
        <v>2435</v>
      </c>
      <c r="H61" s="12"/>
      <c r="L61" s="12"/>
    </row>
    <row r="62" spans="1:12" ht="15.75" customHeight="1" x14ac:dyDescent="0.3">
      <c r="A62" s="17" t="s">
        <v>256</v>
      </c>
      <c r="B62" s="50" t="str">
        <f>VLOOKUP(A62,'Sales Order'!A$2:B$1029,1,0)</f>
        <v>SO0019</v>
      </c>
      <c r="C62" s="29" t="s">
        <v>40</v>
      </c>
      <c r="D62" s="50" t="str">
        <f>VLOOKUP(C62,Product!A$2:B$21,1,0)</f>
        <v>PD0006</v>
      </c>
      <c r="E62" s="36">
        <v>137</v>
      </c>
      <c r="F62" s="38">
        <v>24910710</v>
      </c>
      <c r="G62" s="39" t="s">
        <v>2436</v>
      </c>
      <c r="H62" s="12"/>
      <c r="L62" s="12"/>
    </row>
    <row r="63" spans="1:12" ht="15.75" customHeight="1" x14ac:dyDescent="0.3">
      <c r="A63" s="29" t="s">
        <v>256</v>
      </c>
      <c r="B63" s="50" t="str">
        <f>VLOOKUP(A63,'Sales Order'!A$2:B$1029,1,0)</f>
        <v>SO0019</v>
      </c>
      <c r="C63" s="29" t="s">
        <v>55</v>
      </c>
      <c r="D63" s="50" t="str">
        <f>VLOOKUP(C63,Product!A$2:B$21,1,0)</f>
        <v>PD0011</v>
      </c>
      <c r="E63" s="36">
        <v>128</v>
      </c>
      <c r="F63" s="38">
        <v>250620160</v>
      </c>
      <c r="G63" s="39" t="s">
        <v>2437</v>
      </c>
      <c r="H63" s="12"/>
      <c r="L63" s="12"/>
    </row>
    <row r="64" spans="1:12" ht="15.75" customHeight="1" x14ac:dyDescent="0.3">
      <c r="A64" s="29" t="s">
        <v>256</v>
      </c>
      <c r="B64" s="50" t="str">
        <f>VLOOKUP(A64,'Sales Order'!A$2:B$1029,1,0)</f>
        <v>SO0019</v>
      </c>
      <c r="C64" s="29" t="s">
        <v>33</v>
      </c>
      <c r="D64" s="50" t="str">
        <f>VLOOKUP(C64,Product!A$2:B$21,1,0)</f>
        <v>PD0004</v>
      </c>
      <c r="E64" s="36">
        <v>138</v>
      </c>
      <c r="F64" s="38">
        <v>25502400</v>
      </c>
      <c r="G64" s="39" t="s">
        <v>2438</v>
      </c>
      <c r="H64" s="12"/>
      <c r="L64" s="12"/>
    </row>
    <row r="65" spans="1:12" ht="15.75" customHeight="1" x14ac:dyDescent="0.3">
      <c r="A65" s="17" t="s">
        <v>257</v>
      </c>
      <c r="B65" s="50" t="str">
        <f>VLOOKUP(A65,'Sales Order'!A$2:B$1029,1,0)</f>
        <v>SO0020</v>
      </c>
      <c r="C65" s="29" t="s">
        <v>78</v>
      </c>
      <c r="D65" s="50" t="str">
        <f>VLOOKUP(C65,Product!A$2:B$21,1,0)</f>
        <v>PD0018</v>
      </c>
      <c r="E65" s="36">
        <v>34</v>
      </c>
      <c r="F65" s="38">
        <v>14470400</v>
      </c>
      <c r="G65" s="39" t="s">
        <v>2439</v>
      </c>
      <c r="H65" s="12"/>
      <c r="L65" s="12"/>
    </row>
    <row r="66" spans="1:12" ht="15.75" customHeight="1" x14ac:dyDescent="0.3">
      <c r="A66" s="29" t="s">
        <v>257</v>
      </c>
      <c r="B66" s="50" t="str">
        <f>VLOOKUP(A66,'Sales Order'!A$2:B$1029,1,0)</f>
        <v>SO0020</v>
      </c>
      <c r="C66" s="29" t="s">
        <v>48</v>
      </c>
      <c r="D66" s="50" t="str">
        <f>VLOOKUP(C66,Product!A$2:B$21,1,0)</f>
        <v>PD0009</v>
      </c>
      <c r="E66" s="36">
        <v>55</v>
      </c>
      <c r="F66" s="38">
        <v>6101700</v>
      </c>
      <c r="G66" s="39" t="s">
        <v>2440</v>
      </c>
      <c r="H66" s="12"/>
      <c r="L66" s="12"/>
    </row>
    <row r="67" spans="1:12" ht="15.75" customHeight="1" x14ac:dyDescent="0.3">
      <c r="A67" s="29" t="s">
        <v>257</v>
      </c>
      <c r="B67" s="50" t="str">
        <f>VLOOKUP(A67,'Sales Order'!A$2:B$1029,1,0)</f>
        <v>SO0020</v>
      </c>
      <c r="C67" s="29" t="s">
        <v>83</v>
      </c>
      <c r="D67" s="50" t="str">
        <f>VLOOKUP(C67,Product!A$2:B$21,1,0)</f>
        <v>PD0020</v>
      </c>
      <c r="E67" s="36">
        <v>136</v>
      </c>
      <c r="F67" s="38">
        <v>33178560</v>
      </c>
      <c r="G67" s="39" t="s">
        <v>2441</v>
      </c>
      <c r="H67" s="12"/>
      <c r="L67" s="12"/>
    </row>
    <row r="68" spans="1:12" ht="15.75" customHeight="1" x14ac:dyDescent="0.3">
      <c r="A68" s="29" t="s">
        <v>257</v>
      </c>
      <c r="B68" s="50" t="str">
        <f>VLOOKUP(A68,'Sales Order'!A$2:B$1029,1,0)</f>
        <v>SO0020</v>
      </c>
      <c r="C68" s="29" t="s">
        <v>40</v>
      </c>
      <c r="D68" s="50" t="str">
        <f>VLOOKUP(C68,Product!A$2:B$21,1,0)</f>
        <v>PD0006</v>
      </c>
      <c r="E68" s="36">
        <v>104</v>
      </c>
      <c r="F68" s="38">
        <v>16736720</v>
      </c>
      <c r="G68" s="39" t="s">
        <v>2442</v>
      </c>
      <c r="H68" s="12"/>
      <c r="L68" s="12"/>
    </row>
    <row r="69" spans="1:12" ht="15.75" customHeight="1" x14ac:dyDescent="0.3">
      <c r="A69" s="17" t="s">
        <v>258</v>
      </c>
      <c r="B69" s="50" t="str">
        <f>VLOOKUP(A69,'Sales Order'!A$2:B$1029,1,0)</f>
        <v>SO0021</v>
      </c>
      <c r="C69" s="29" t="s">
        <v>28</v>
      </c>
      <c r="D69" s="50" t="str">
        <f>VLOOKUP(C69,Product!A$2:B$21,1,0)</f>
        <v>PD0003</v>
      </c>
      <c r="E69" s="36">
        <v>47</v>
      </c>
      <c r="F69" s="38">
        <v>33255320</v>
      </c>
      <c r="G69" s="39" t="s">
        <v>2443</v>
      </c>
      <c r="H69" s="12"/>
      <c r="L69" s="12"/>
    </row>
    <row r="70" spans="1:12" ht="15.75" customHeight="1" x14ac:dyDescent="0.3">
      <c r="A70" s="29" t="s">
        <v>258</v>
      </c>
      <c r="B70" s="50" t="str">
        <f>VLOOKUP(A70,'Sales Order'!A$2:B$1029,1,0)</f>
        <v>SO0021</v>
      </c>
      <c r="C70" s="29" t="s">
        <v>78</v>
      </c>
      <c r="D70" s="50" t="str">
        <f>VLOOKUP(C70,Product!A$2:B$21,1,0)</f>
        <v>PD0018</v>
      </c>
      <c r="E70" s="36">
        <v>131</v>
      </c>
      <c r="F70" s="38">
        <v>57147440.000000007</v>
      </c>
      <c r="G70" s="39" t="s">
        <v>2444</v>
      </c>
      <c r="H70" s="12"/>
      <c r="L70" s="12"/>
    </row>
    <row r="71" spans="1:12" ht="15.75" customHeight="1" x14ac:dyDescent="0.3">
      <c r="A71" s="29" t="s">
        <v>258</v>
      </c>
      <c r="B71" s="50" t="str">
        <f>VLOOKUP(A71,'Sales Order'!A$2:B$1029,1,0)</f>
        <v>SO0021</v>
      </c>
      <c r="C71" s="29" t="s">
        <v>35</v>
      </c>
      <c r="D71" s="50" t="str">
        <f>VLOOKUP(C71,Product!A$2:B$21,1,0)</f>
        <v>PD0005</v>
      </c>
      <c r="E71" s="36">
        <v>71</v>
      </c>
      <c r="F71" s="38">
        <v>129351350</v>
      </c>
      <c r="G71" s="39" t="s">
        <v>2445</v>
      </c>
      <c r="H71" s="12"/>
      <c r="L71" s="12"/>
    </row>
    <row r="72" spans="1:12" ht="15.75" customHeight="1" x14ac:dyDescent="0.3">
      <c r="A72" s="17" t="s">
        <v>259</v>
      </c>
      <c r="B72" s="50" t="str">
        <f>VLOOKUP(A72,'Sales Order'!A$2:B$1029,1,0)</f>
        <v>SO0022</v>
      </c>
      <c r="C72" s="29" t="s">
        <v>78</v>
      </c>
      <c r="D72" s="50" t="str">
        <f>VLOOKUP(C72,Product!A$2:B$21,1,0)</f>
        <v>PD0018</v>
      </c>
      <c r="E72" s="36">
        <v>69</v>
      </c>
      <c r="F72" s="38">
        <v>29733480.000000004</v>
      </c>
      <c r="G72" s="39" t="s">
        <v>2446</v>
      </c>
      <c r="H72" s="12"/>
      <c r="L72" s="12"/>
    </row>
    <row r="73" spans="1:12" ht="15.75" customHeight="1" x14ac:dyDescent="0.3">
      <c r="A73" s="29" t="s">
        <v>259</v>
      </c>
      <c r="B73" s="50" t="str">
        <f>VLOOKUP(A73,'Sales Order'!A$2:B$1029,1,0)</f>
        <v>SO0022</v>
      </c>
      <c r="C73" s="29" t="s">
        <v>69</v>
      </c>
      <c r="D73" s="50" t="str">
        <f>VLOOKUP(C73,Product!A$2:B$21,1,0)</f>
        <v>PD0015</v>
      </c>
      <c r="E73" s="36">
        <v>74</v>
      </c>
      <c r="F73" s="38">
        <v>7944714</v>
      </c>
      <c r="G73" s="39" t="s">
        <v>2447</v>
      </c>
      <c r="H73" s="12"/>
      <c r="L73" s="12"/>
    </row>
    <row r="74" spans="1:12" ht="15.75" customHeight="1" x14ac:dyDescent="0.3">
      <c r="A74" s="29" t="s">
        <v>259</v>
      </c>
      <c r="B74" s="50" t="str">
        <f>VLOOKUP(A74,'Sales Order'!A$2:B$1029,1,0)</f>
        <v>SO0022</v>
      </c>
      <c r="C74" s="29" t="s">
        <v>43</v>
      </c>
      <c r="D74" s="50" t="str">
        <f>VLOOKUP(C74,Product!A$2:B$21,1,0)</f>
        <v>PD0007</v>
      </c>
      <c r="E74" s="36">
        <v>54</v>
      </c>
      <c r="F74" s="38">
        <v>134784000</v>
      </c>
      <c r="G74" s="39" t="s">
        <v>2448</v>
      </c>
      <c r="H74" s="12"/>
      <c r="L74" s="12"/>
    </row>
    <row r="75" spans="1:12" ht="15.75" customHeight="1" x14ac:dyDescent="0.3">
      <c r="A75" s="29" t="s">
        <v>259</v>
      </c>
      <c r="B75" s="50" t="str">
        <f>VLOOKUP(A75,'Sales Order'!A$2:B$1029,1,0)</f>
        <v>SO0022</v>
      </c>
      <c r="C75" s="29" t="s">
        <v>55</v>
      </c>
      <c r="D75" s="50" t="str">
        <f>VLOOKUP(C75,Product!A$2:B$21,1,0)</f>
        <v>PD0011</v>
      </c>
      <c r="E75" s="36">
        <v>58</v>
      </c>
      <c r="F75" s="38">
        <v>121771580</v>
      </c>
      <c r="G75" s="39" t="s">
        <v>2449</v>
      </c>
      <c r="H75" s="12"/>
      <c r="L75" s="12"/>
    </row>
    <row r="76" spans="1:12" ht="15.75" customHeight="1" x14ac:dyDescent="0.3">
      <c r="A76" s="29" t="s">
        <v>259</v>
      </c>
      <c r="B76" s="50" t="str">
        <f>VLOOKUP(A76,'Sales Order'!A$2:B$1029,1,0)</f>
        <v>SO0022</v>
      </c>
      <c r="C76" s="29" t="s">
        <v>58</v>
      </c>
      <c r="D76" s="50" t="str">
        <f>VLOOKUP(C76,Product!A$2:B$21,1,0)</f>
        <v>PD0012</v>
      </c>
      <c r="E76" s="36">
        <v>35</v>
      </c>
      <c r="F76" s="38">
        <v>179602150</v>
      </c>
      <c r="G76" s="39" t="s">
        <v>2450</v>
      </c>
      <c r="H76" s="12"/>
      <c r="L76" s="12"/>
    </row>
    <row r="77" spans="1:12" ht="15.75" customHeight="1" x14ac:dyDescent="0.3">
      <c r="A77" s="17" t="s">
        <v>261</v>
      </c>
      <c r="B77" s="50" t="str">
        <f>VLOOKUP(A77,'Sales Order'!A$2:B$1029,1,0)</f>
        <v>SO0023</v>
      </c>
      <c r="C77" s="29" t="s">
        <v>40</v>
      </c>
      <c r="D77" s="50" t="str">
        <f>VLOOKUP(C77,Product!A$2:B$21,1,0)</f>
        <v>PD0006</v>
      </c>
      <c r="E77" s="36">
        <v>56</v>
      </c>
      <c r="F77" s="38">
        <v>10650640</v>
      </c>
      <c r="G77" s="39" t="s">
        <v>2451</v>
      </c>
      <c r="H77" s="12"/>
      <c r="L77" s="12"/>
    </row>
    <row r="78" spans="1:12" ht="15.75" customHeight="1" x14ac:dyDescent="0.3">
      <c r="A78" s="29" t="s">
        <v>261</v>
      </c>
      <c r="B78" s="50" t="str">
        <f>VLOOKUP(A78,'Sales Order'!A$2:B$1029,1,0)</f>
        <v>SO0023</v>
      </c>
      <c r="C78" s="29" t="s">
        <v>58</v>
      </c>
      <c r="D78" s="50" t="str">
        <f>VLOOKUP(C78,Product!A$2:B$21,1,0)</f>
        <v>PD0012</v>
      </c>
      <c r="E78" s="36">
        <v>25</v>
      </c>
      <c r="F78" s="38">
        <v>129697000</v>
      </c>
      <c r="G78" s="39" t="s">
        <v>2452</v>
      </c>
      <c r="H78" s="12"/>
      <c r="L78" s="12"/>
    </row>
    <row r="79" spans="1:12" ht="15.75" customHeight="1" x14ac:dyDescent="0.3">
      <c r="A79" s="29" t="s">
        <v>261</v>
      </c>
      <c r="B79" s="50" t="str">
        <f>VLOOKUP(A79,'Sales Order'!A$2:B$1029,1,0)</f>
        <v>SO0023</v>
      </c>
      <c r="C79" s="29" t="s">
        <v>69</v>
      </c>
      <c r="D79" s="50" t="str">
        <f>VLOOKUP(C79,Product!A$2:B$21,1,0)</f>
        <v>PD0015</v>
      </c>
      <c r="E79" s="36">
        <v>62</v>
      </c>
      <c r="F79" s="38">
        <v>6909156.0000000009</v>
      </c>
      <c r="G79" s="39" t="s">
        <v>2453</v>
      </c>
      <c r="H79" s="12"/>
      <c r="L79" s="12"/>
    </row>
    <row r="80" spans="1:12" ht="15.75" customHeight="1" x14ac:dyDescent="0.3">
      <c r="A80" s="29" t="s">
        <v>261</v>
      </c>
      <c r="B80" s="50" t="str">
        <f>VLOOKUP(A80,'Sales Order'!A$2:B$1029,1,0)</f>
        <v>SO0023</v>
      </c>
      <c r="C80" s="29" t="s">
        <v>83</v>
      </c>
      <c r="D80" s="50" t="str">
        <f>VLOOKUP(C80,Product!A$2:B$21,1,0)</f>
        <v>PD0020</v>
      </c>
      <c r="E80" s="36">
        <v>118</v>
      </c>
      <c r="F80" s="38">
        <v>30681180.000000004</v>
      </c>
      <c r="G80" s="39" t="s">
        <v>2454</v>
      </c>
      <c r="H80" s="12"/>
      <c r="L80" s="12"/>
    </row>
    <row r="81" spans="1:12" ht="15.75" customHeight="1" x14ac:dyDescent="0.3">
      <c r="A81" s="17" t="s">
        <v>262</v>
      </c>
      <c r="B81" s="50" t="str">
        <f>VLOOKUP(A81,'Sales Order'!A$2:B$1029,1,0)</f>
        <v>SO0024</v>
      </c>
      <c r="C81" s="29" t="s">
        <v>65</v>
      </c>
      <c r="D81" s="50" t="str">
        <f>VLOOKUP(C81,Product!A$2:B$21,1,0)</f>
        <v>PD0014</v>
      </c>
      <c r="E81" s="36">
        <v>135</v>
      </c>
      <c r="F81" s="38">
        <v>27033750</v>
      </c>
      <c r="G81" s="39" t="s">
        <v>2455</v>
      </c>
      <c r="H81" s="12"/>
      <c r="L81" s="12"/>
    </row>
    <row r="82" spans="1:12" ht="15.75" customHeight="1" x14ac:dyDescent="0.3">
      <c r="A82" s="29" t="s">
        <v>262</v>
      </c>
      <c r="B82" s="50" t="str">
        <f>VLOOKUP(A82,'Sales Order'!A$2:B$1029,1,0)</f>
        <v>SO0024</v>
      </c>
      <c r="C82" s="29" t="s">
        <v>48</v>
      </c>
      <c r="D82" s="50" t="str">
        <f>VLOOKUP(C82,Product!A$2:B$21,1,0)</f>
        <v>PD0009</v>
      </c>
      <c r="E82" s="36">
        <v>140</v>
      </c>
      <c r="F82" s="38">
        <v>16434600</v>
      </c>
      <c r="G82" s="39" t="s">
        <v>2456</v>
      </c>
      <c r="H82" s="12"/>
      <c r="L82" s="12"/>
    </row>
    <row r="83" spans="1:12" ht="15.75" customHeight="1" x14ac:dyDescent="0.3">
      <c r="A83" s="17" t="s">
        <v>263</v>
      </c>
      <c r="B83" s="50" t="str">
        <f>VLOOKUP(A83,'Sales Order'!A$2:B$1029,1,0)</f>
        <v>SO0025</v>
      </c>
      <c r="C83" s="29" t="s">
        <v>72</v>
      </c>
      <c r="D83" s="50" t="str">
        <f>VLOOKUP(C83,Product!A$2:B$21,1,0)</f>
        <v>PD0016</v>
      </c>
      <c r="E83" s="36">
        <v>59</v>
      </c>
      <c r="F83" s="38">
        <v>14650289.999999998</v>
      </c>
      <c r="G83" s="39" t="s">
        <v>2457</v>
      </c>
      <c r="H83" s="12"/>
      <c r="L83" s="12"/>
    </row>
    <row r="84" spans="1:12" ht="15.75" customHeight="1" x14ac:dyDescent="0.3">
      <c r="A84" s="29" t="s">
        <v>263</v>
      </c>
      <c r="B84" s="50" t="str">
        <f>VLOOKUP(A84,'Sales Order'!A$2:B$1029,1,0)</f>
        <v>SO0025</v>
      </c>
      <c r="C84" s="29" t="s">
        <v>48</v>
      </c>
      <c r="D84" s="50" t="str">
        <f>VLOOKUP(C84,Product!A$2:B$21,1,0)</f>
        <v>PD0009</v>
      </c>
      <c r="E84" s="36">
        <v>46</v>
      </c>
      <c r="F84" s="38">
        <v>5281260</v>
      </c>
      <c r="G84" s="39" t="s">
        <v>2458</v>
      </c>
      <c r="H84" s="12"/>
      <c r="L84" s="12"/>
    </row>
    <row r="85" spans="1:12" ht="15.75" customHeight="1" x14ac:dyDescent="0.3">
      <c r="A85" s="29" t="s">
        <v>263</v>
      </c>
      <c r="B85" s="50" t="str">
        <f>VLOOKUP(A85,'Sales Order'!A$2:B$1029,1,0)</f>
        <v>SO0025</v>
      </c>
      <c r="C85" s="29" t="s">
        <v>25</v>
      </c>
      <c r="D85" s="50" t="str">
        <f>VLOOKUP(C85,Product!A$2:B$21,1,0)</f>
        <v>PD0002</v>
      </c>
      <c r="E85" s="36">
        <v>106</v>
      </c>
      <c r="F85" s="38">
        <v>1590000</v>
      </c>
      <c r="G85" s="39" t="s">
        <v>2459</v>
      </c>
      <c r="H85" s="12"/>
      <c r="L85" s="12"/>
    </row>
    <row r="86" spans="1:12" ht="15.75" customHeight="1" x14ac:dyDescent="0.3">
      <c r="A86" s="29" t="s">
        <v>263</v>
      </c>
      <c r="B86" s="50" t="str">
        <f>VLOOKUP(A86,'Sales Order'!A$2:B$1029,1,0)</f>
        <v>SO0025</v>
      </c>
      <c r="C86" s="29" t="s">
        <v>78</v>
      </c>
      <c r="D86" s="50" t="str">
        <f>VLOOKUP(C86,Product!A$2:B$21,1,0)</f>
        <v>PD0018</v>
      </c>
      <c r="E86" s="36">
        <v>65</v>
      </c>
      <c r="F86" s="38">
        <v>28355600.000000004</v>
      </c>
      <c r="G86" s="39" t="s">
        <v>2460</v>
      </c>
      <c r="H86" s="12"/>
      <c r="L86" s="12"/>
    </row>
    <row r="87" spans="1:12" ht="15.75" customHeight="1" x14ac:dyDescent="0.3">
      <c r="A87" s="29" t="s">
        <v>263</v>
      </c>
      <c r="B87" s="50" t="str">
        <f>VLOOKUP(A87,'Sales Order'!A$2:B$1029,1,0)</f>
        <v>SO0025</v>
      </c>
      <c r="C87" s="29" t="s">
        <v>52</v>
      </c>
      <c r="D87" s="50" t="str">
        <f>VLOOKUP(C87,Product!A$2:B$21,1,0)</f>
        <v>PD0010</v>
      </c>
      <c r="E87" s="36">
        <v>78</v>
      </c>
      <c r="F87" s="38">
        <v>22815000</v>
      </c>
      <c r="G87" s="39" t="s">
        <v>2461</v>
      </c>
      <c r="H87" s="12"/>
      <c r="L87" s="12"/>
    </row>
    <row r="88" spans="1:12" ht="15.75" customHeight="1" x14ac:dyDescent="0.3">
      <c r="A88" s="17" t="s">
        <v>264</v>
      </c>
      <c r="B88" s="50" t="str">
        <f>VLOOKUP(A88,'Sales Order'!A$2:B$1029,1,0)</f>
        <v>SO0026</v>
      </c>
      <c r="C88" s="29" t="s">
        <v>83</v>
      </c>
      <c r="D88" s="50" t="str">
        <f>VLOOKUP(C88,Product!A$2:B$21,1,0)</f>
        <v>PD0020</v>
      </c>
      <c r="E88" s="36">
        <v>40</v>
      </c>
      <c r="F88" s="38">
        <v>9886800</v>
      </c>
      <c r="G88" s="39" t="s">
        <v>2462</v>
      </c>
      <c r="H88" s="12"/>
      <c r="L88" s="12"/>
    </row>
    <row r="89" spans="1:12" ht="15.75" customHeight="1" x14ac:dyDescent="0.3">
      <c r="A89" s="29" t="s">
        <v>264</v>
      </c>
      <c r="B89" s="50" t="str">
        <f>VLOOKUP(A89,'Sales Order'!A$2:B$1029,1,0)</f>
        <v>SO0026</v>
      </c>
      <c r="C89" s="29" t="s">
        <v>52</v>
      </c>
      <c r="D89" s="50" t="str">
        <f>VLOOKUP(C89,Product!A$2:B$21,1,0)</f>
        <v>PD0010</v>
      </c>
      <c r="E89" s="36">
        <v>66</v>
      </c>
      <c r="F89" s="38">
        <v>18661500</v>
      </c>
      <c r="G89" s="39" t="s">
        <v>2463</v>
      </c>
      <c r="H89" s="12"/>
      <c r="L89" s="12"/>
    </row>
    <row r="90" spans="1:12" ht="15.75" customHeight="1" x14ac:dyDescent="0.3">
      <c r="A90" s="29" t="s">
        <v>264</v>
      </c>
      <c r="B90" s="50" t="str">
        <f>VLOOKUP(A90,'Sales Order'!A$2:B$1029,1,0)</f>
        <v>SO0026</v>
      </c>
      <c r="C90" s="29" t="s">
        <v>48</v>
      </c>
      <c r="D90" s="50" t="str">
        <f>VLOOKUP(C90,Product!A$2:B$21,1,0)</f>
        <v>PD0009</v>
      </c>
      <c r="E90" s="36">
        <v>65</v>
      </c>
      <c r="F90" s="38">
        <v>6456450</v>
      </c>
      <c r="G90" s="39" t="s">
        <v>2464</v>
      </c>
      <c r="H90" s="12"/>
      <c r="L90" s="12"/>
    </row>
    <row r="91" spans="1:12" ht="15.75" customHeight="1" x14ac:dyDescent="0.3">
      <c r="A91" s="29" t="s">
        <v>264</v>
      </c>
      <c r="B91" s="50" t="str">
        <f>VLOOKUP(A91,'Sales Order'!A$2:B$1029,1,0)</f>
        <v>SO0026</v>
      </c>
      <c r="C91" s="29" t="s">
        <v>78</v>
      </c>
      <c r="D91" s="50" t="str">
        <f>VLOOKUP(C91,Product!A$2:B$21,1,0)</f>
        <v>PD0018</v>
      </c>
      <c r="E91" s="36">
        <v>80</v>
      </c>
      <c r="F91" s="38">
        <v>35750400</v>
      </c>
      <c r="G91" s="39" t="s">
        <v>2465</v>
      </c>
      <c r="H91" s="12"/>
      <c r="L91" s="12"/>
    </row>
    <row r="92" spans="1:12" ht="15.75" customHeight="1" x14ac:dyDescent="0.3">
      <c r="A92" s="29" t="s">
        <v>264</v>
      </c>
      <c r="B92" s="50" t="str">
        <f>VLOOKUP(A92,'Sales Order'!A$2:B$1029,1,0)</f>
        <v>SO0026</v>
      </c>
      <c r="C92" s="29" t="s">
        <v>55</v>
      </c>
      <c r="D92" s="50" t="str">
        <f>VLOOKUP(C92,Product!A$2:B$21,1,0)</f>
        <v>PD0011</v>
      </c>
      <c r="E92" s="36">
        <v>99</v>
      </c>
      <c r="F92" s="38">
        <v>177491160</v>
      </c>
      <c r="G92" s="39" t="s">
        <v>2466</v>
      </c>
      <c r="H92" s="12"/>
      <c r="L92" s="12"/>
    </row>
    <row r="93" spans="1:12" ht="15.75" customHeight="1" x14ac:dyDescent="0.3">
      <c r="A93" s="29" t="s">
        <v>264</v>
      </c>
      <c r="B93" s="50" t="str">
        <f>VLOOKUP(A93,'Sales Order'!A$2:B$1029,1,0)</f>
        <v>SO0026</v>
      </c>
      <c r="C93" s="29" t="s">
        <v>25</v>
      </c>
      <c r="D93" s="50" t="str">
        <f>VLOOKUP(C93,Product!A$2:B$21,1,0)</f>
        <v>PD0002</v>
      </c>
      <c r="E93" s="36">
        <v>73</v>
      </c>
      <c r="F93" s="38">
        <v>1343200</v>
      </c>
      <c r="G93" s="39" t="s">
        <v>2467</v>
      </c>
      <c r="H93" s="12"/>
      <c r="L93" s="12"/>
    </row>
    <row r="94" spans="1:12" ht="15.75" customHeight="1" x14ac:dyDescent="0.3">
      <c r="A94" s="17" t="s">
        <v>265</v>
      </c>
      <c r="B94" s="50" t="str">
        <f>VLOOKUP(A94,'Sales Order'!A$2:B$1029,1,0)</f>
        <v>SO0027</v>
      </c>
      <c r="C94" s="29" t="s">
        <v>58</v>
      </c>
      <c r="D94" s="50" t="str">
        <f>VLOOKUP(C94,Product!A$2:B$21,1,0)</f>
        <v>PD0012</v>
      </c>
      <c r="E94" s="36">
        <v>136</v>
      </c>
      <c r="F94" s="38">
        <v>651868400</v>
      </c>
      <c r="G94" s="39" t="s">
        <v>2468</v>
      </c>
      <c r="H94" s="12"/>
      <c r="L94" s="12"/>
    </row>
    <row r="95" spans="1:12" ht="15.75" customHeight="1" x14ac:dyDescent="0.3">
      <c r="A95" s="29" t="s">
        <v>265</v>
      </c>
      <c r="B95" s="50" t="str">
        <f>VLOOKUP(A95,'Sales Order'!A$2:B$1029,1,0)</f>
        <v>SO0027</v>
      </c>
      <c r="C95" s="29" t="s">
        <v>25</v>
      </c>
      <c r="D95" s="50" t="str">
        <f>VLOOKUP(C95,Product!A$2:B$21,1,0)</f>
        <v>PD0002</v>
      </c>
      <c r="E95" s="36">
        <v>60</v>
      </c>
      <c r="F95" s="38">
        <v>1056000</v>
      </c>
      <c r="G95" s="39" t="s">
        <v>2469</v>
      </c>
      <c r="H95" s="12"/>
      <c r="L95" s="12"/>
    </row>
    <row r="96" spans="1:12" ht="15.75" customHeight="1" x14ac:dyDescent="0.3">
      <c r="A96" s="29" t="s">
        <v>265</v>
      </c>
      <c r="B96" s="50" t="str">
        <f>VLOOKUP(A96,'Sales Order'!A$2:B$1029,1,0)</f>
        <v>SO0027</v>
      </c>
      <c r="C96" s="29" t="s">
        <v>48</v>
      </c>
      <c r="D96" s="50" t="str">
        <f>VLOOKUP(C96,Product!A$2:B$21,1,0)</f>
        <v>PD0009</v>
      </c>
      <c r="E96" s="36">
        <v>125</v>
      </c>
      <c r="F96" s="38">
        <v>12416250</v>
      </c>
      <c r="G96" s="39" t="s">
        <v>2470</v>
      </c>
      <c r="H96" s="12"/>
      <c r="L96" s="12"/>
    </row>
    <row r="97" spans="1:12" ht="15.75" customHeight="1" x14ac:dyDescent="0.3">
      <c r="A97" s="17" t="s">
        <v>266</v>
      </c>
      <c r="B97" s="50" t="str">
        <f>VLOOKUP(A97,'Sales Order'!A$2:B$1029,1,0)</f>
        <v>SO0028</v>
      </c>
      <c r="C97" s="29" t="s">
        <v>83</v>
      </c>
      <c r="D97" s="50" t="str">
        <f>VLOOKUP(C97,Product!A$2:B$21,1,0)</f>
        <v>PD0020</v>
      </c>
      <c r="E97" s="36">
        <v>131</v>
      </c>
      <c r="F97" s="38">
        <v>38266410</v>
      </c>
      <c r="G97" s="39" t="s">
        <v>2471</v>
      </c>
      <c r="H97" s="12"/>
      <c r="L97" s="12"/>
    </row>
    <row r="98" spans="1:12" ht="15.75" customHeight="1" x14ac:dyDescent="0.3">
      <c r="A98" s="29" t="s">
        <v>266</v>
      </c>
      <c r="B98" s="50" t="str">
        <f>VLOOKUP(A98,'Sales Order'!A$2:B$1029,1,0)</f>
        <v>SO0028</v>
      </c>
      <c r="C98" s="29" t="s">
        <v>52</v>
      </c>
      <c r="D98" s="50" t="str">
        <f>VLOOKUP(C98,Product!A$2:B$21,1,0)</f>
        <v>PD0010</v>
      </c>
      <c r="E98" s="36">
        <v>35</v>
      </c>
      <c r="F98" s="38">
        <v>9213750</v>
      </c>
      <c r="G98" s="39" t="s">
        <v>2472</v>
      </c>
      <c r="H98" s="12"/>
      <c r="L98" s="12"/>
    </row>
    <row r="99" spans="1:12" ht="15.75" customHeight="1" x14ac:dyDescent="0.3">
      <c r="A99" s="29" t="s">
        <v>266</v>
      </c>
      <c r="B99" s="50" t="str">
        <f>VLOOKUP(A99,'Sales Order'!A$2:B$1029,1,0)</f>
        <v>SO0028</v>
      </c>
      <c r="C99" s="29" t="s">
        <v>81</v>
      </c>
      <c r="D99" s="50" t="str">
        <f>VLOOKUP(C99,Product!A$2:B$21,1,0)</f>
        <v>PD0019</v>
      </c>
      <c r="E99" s="36">
        <v>31</v>
      </c>
      <c r="F99" s="38">
        <v>63215200</v>
      </c>
      <c r="G99" s="39" t="s">
        <v>2473</v>
      </c>
      <c r="H99" s="12"/>
      <c r="L99" s="12"/>
    </row>
    <row r="100" spans="1:12" ht="15.75" customHeight="1" x14ac:dyDescent="0.3">
      <c r="A100" s="17" t="s">
        <v>267</v>
      </c>
      <c r="B100" s="50" t="str">
        <f>VLOOKUP(A100,'Sales Order'!A$2:B$1029,1,0)</f>
        <v>SO0029</v>
      </c>
      <c r="C100" s="29" t="s">
        <v>33</v>
      </c>
      <c r="D100" s="50" t="str">
        <f>VLOOKUP(C100,Product!A$2:B$21,1,0)</f>
        <v>PD0004</v>
      </c>
      <c r="E100" s="36">
        <v>29</v>
      </c>
      <c r="F100" s="38">
        <v>5805800</v>
      </c>
      <c r="G100" s="39" t="s">
        <v>2474</v>
      </c>
      <c r="H100" s="12"/>
      <c r="L100" s="12"/>
    </row>
    <row r="101" spans="1:12" ht="15.75" customHeight="1" x14ac:dyDescent="0.3">
      <c r="A101" s="29" t="s">
        <v>267</v>
      </c>
      <c r="B101" s="50" t="str">
        <f>VLOOKUP(A101,'Sales Order'!A$2:B$1029,1,0)</f>
        <v>SO0029</v>
      </c>
      <c r="C101" s="29" t="s">
        <v>45</v>
      </c>
      <c r="D101" s="50" t="str">
        <f>VLOOKUP(C101,Product!A$2:B$21,1,0)</f>
        <v>PD0008</v>
      </c>
      <c r="E101" s="36">
        <v>36</v>
      </c>
      <c r="F101" s="38">
        <v>4237560</v>
      </c>
      <c r="G101" s="39" t="s">
        <v>2475</v>
      </c>
      <c r="H101" s="12"/>
      <c r="L101" s="12"/>
    </row>
    <row r="102" spans="1:12" ht="15.75" customHeight="1" x14ac:dyDescent="0.3">
      <c r="A102" s="29" t="s">
        <v>267</v>
      </c>
      <c r="B102" s="50" t="str">
        <f>VLOOKUP(A102,'Sales Order'!A$2:B$1029,1,0)</f>
        <v>SO0029</v>
      </c>
      <c r="C102" s="29" t="s">
        <v>78</v>
      </c>
      <c r="D102" s="50" t="str">
        <f>VLOOKUP(C102,Product!A$2:B$21,1,0)</f>
        <v>PD0018</v>
      </c>
      <c r="E102" s="36">
        <v>92</v>
      </c>
      <c r="F102" s="38">
        <v>38176320</v>
      </c>
      <c r="G102" s="39" t="s">
        <v>2476</v>
      </c>
      <c r="H102" s="12"/>
      <c r="L102" s="12"/>
    </row>
    <row r="103" spans="1:12" ht="15.75" customHeight="1" x14ac:dyDescent="0.3">
      <c r="A103" s="17" t="s">
        <v>268</v>
      </c>
      <c r="B103" s="50" t="str">
        <f>VLOOKUP(A103,'Sales Order'!A$2:B$1029,1,0)</f>
        <v>SO0030</v>
      </c>
      <c r="C103" s="29" t="s">
        <v>28</v>
      </c>
      <c r="D103" s="50" t="str">
        <f>VLOOKUP(C103,Product!A$2:B$21,1,0)</f>
        <v>PD0003</v>
      </c>
      <c r="E103" s="36">
        <v>89</v>
      </c>
      <c r="F103" s="38">
        <v>62972840</v>
      </c>
      <c r="G103" s="39" t="s">
        <v>2477</v>
      </c>
      <c r="H103" s="12"/>
      <c r="L103" s="12"/>
    </row>
    <row r="104" spans="1:12" ht="15.75" customHeight="1" x14ac:dyDescent="0.3">
      <c r="A104" s="29" t="s">
        <v>268</v>
      </c>
      <c r="B104" s="50" t="str">
        <f>VLOOKUP(A104,'Sales Order'!A$2:B$1029,1,0)</f>
        <v>SO0030</v>
      </c>
      <c r="C104" s="29" t="s">
        <v>40</v>
      </c>
      <c r="D104" s="50" t="str">
        <f>VLOOKUP(C104,Product!A$2:B$21,1,0)</f>
        <v>PD0006</v>
      </c>
      <c r="E104" s="36">
        <v>99</v>
      </c>
      <c r="F104" s="38">
        <v>18001170</v>
      </c>
      <c r="G104" s="39" t="s">
        <v>2478</v>
      </c>
      <c r="H104" s="12"/>
      <c r="L104" s="12"/>
    </row>
    <row r="105" spans="1:12" ht="15.75" customHeight="1" x14ac:dyDescent="0.3">
      <c r="A105" s="17" t="s">
        <v>269</v>
      </c>
      <c r="B105" s="50" t="str">
        <f>VLOOKUP(A105,'Sales Order'!A$2:B$1029,1,0)</f>
        <v>SO0031</v>
      </c>
      <c r="C105" s="29" t="s">
        <v>48</v>
      </c>
      <c r="D105" s="50" t="str">
        <f>VLOOKUP(C105,Product!A$2:B$21,1,0)</f>
        <v>PD0009</v>
      </c>
      <c r="E105" s="36">
        <v>33</v>
      </c>
      <c r="F105" s="38">
        <v>3575880</v>
      </c>
      <c r="G105" s="39" t="s">
        <v>2479</v>
      </c>
      <c r="H105" s="12"/>
      <c r="L105" s="12"/>
    </row>
    <row r="106" spans="1:12" ht="15.75" customHeight="1" x14ac:dyDescent="0.3">
      <c r="A106" s="29" t="s">
        <v>269</v>
      </c>
      <c r="B106" s="50" t="str">
        <f>VLOOKUP(A106,'Sales Order'!A$2:B$1029,1,0)</f>
        <v>SO0031</v>
      </c>
      <c r="C106" s="29" t="s">
        <v>65</v>
      </c>
      <c r="D106" s="50" t="str">
        <f>VLOOKUP(C106,Product!A$2:B$21,1,0)</f>
        <v>PD0014</v>
      </c>
      <c r="E106" s="36">
        <v>47</v>
      </c>
      <c r="F106" s="38">
        <v>11043120</v>
      </c>
      <c r="G106" s="39" t="s">
        <v>2480</v>
      </c>
      <c r="H106" s="12"/>
      <c r="L106" s="12"/>
    </row>
    <row r="107" spans="1:12" ht="15.75" customHeight="1" x14ac:dyDescent="0.3">
      <c r="A107" s="29" t="s">
        <v>269</v>
      </c>
      <c r="B107" s="50" t="str">
        <f>VLOOKUP(A107,'Sales Order'!A$2:B$1029,1,0)</f>
        <v>SO0031</v>
      </c>
      <c r="C107" s="29" t="s">
        <v>69</v>
      </c>
      <c r="D107" s="50" t="str">
        <f>VLOOKUP(C107,Product!A$2:B$21,1,0)</f>
        <v>PD0015</v>
      </c>
      <c r="E107" s="36">
        <v>58</v>
      </c>
      <c r="F107" s="38">
        <v>7015158</v>
      </c>
      <c r="G107" s="39" t="s">
        <v>2481</v>
      </c>
      <c r="H107" s="12"/>
      <c r="L107" s="12"/>
    </row>
    <row r="108" spans="1:12" ht="15.75" customHeight="1" x14ac:dyDescent="0.3">
      <c r="A108" s="17" t="s">
        <v>270</v>
      </c>
      <c r="B108" s="50" t="str">
        <f>VLOOKUP(A108,'Sales Order'!A$2:B$1029,1,0)</f>
        <v>SO0032</v>
      </c>
      <c r="C108" s="29" t="s">
        <v>40</v>
      </c>
      <c r="D108" s="50" t="str">
        <f>VLOOKUP(C108,Product!A$2:B$21,1,0)</f>
        <v>PD0006</v>
      </c>
      <c r="E108" s="36">
        <v>147</v>
      </c>
      <c r="F108" s="38">
        <v>29186850</v>
      </c>
      <c r="G108" s="39" t="s">
        <v>2482</v>
      </c>
      <c r="H108" s="12"/>
      <c r="L108" s="12"/>
    </row>
    <row r="109" spans="1:12" ht="15.75" customHeight="1" x14ac:dyDescent="0.3">
      <c r="A109" s="29" t="s">
        <v>270</v>
      </c>
      <c r="B109" s="50" t="str">
        <f>VLOOKUP(A109,'Sales Order'!A$2:B$1029,1,0)</f>
        <v>SO0032</v>
      </c>
      <c r="C109" s="29" t="s">
        <v>52</v>
      </c>
      <c r="D109" s="50" t="str">
        <f>VLOOKUP(C109,Product!A$2:B$21,1,0)</f>
        <v>PD0010</v>
      </c>
      <c r="E109" s="36">
        <v>30</v>
      </c>
      <c r="F109" s="38">
        <v>9067500</v>
      </c>
      <c r="G109" s="39" t="s">
        <v>2483</v>
      </c>
      <c r="H109" s="12"/>
      <c r="L109" s="12"/>
    </row>
    <row r="110" spans="1:12" ht="15.75" customHeight="1" x14ac:dyDescent="0.3">
      <c r="A110" s="17" t="s">
        <v>271</v>
      </c>
      <c r="B110" s="50" t="str">
        <f>VLOOKUP(A110,'Sales Order'!A$2:B$1029,1,0)</f>
        <v>SO0033</v>
      </c>
      <c r="C110" s="29" t="s">
        <v>78</v>
      </c>
      <c r="D110" s="50" t="str">
        <f>VLOOKUP(C110,Product!A$2:B$21,1,0)</f>
        <v>PD0018</v>
      </c>
      <c r="E110" s="36">
        <v>114</v>
      </c>
      <c r="F110" s="38">
        <v>49731360.000000007</v>
      </c>
      <c r="G110" s="39" t="s">
        <v>2484</v>
      </c>
      <c r="H110" s="12"/>
      <c r="L110" s="12"/>
    </row>
    <row r="111" spans="1:12" ht="15.75" customHeight="1" x14ac:dyDescent="0.3">
      <c r="A111" s="29" t="s">
        <v>271</v>
      </c>
      <c r="B111" s="50" t="str">
        <f>VLOOKUP(A111,'Sales Order'!A$2:B$1029,1,0)</f>
        <v>SO0033</v>
      </c>
      <c r="C111" s="29" t="s">
        <v>25</v>
      </c>
      <c r="D111" s="50" t="str">
        <f>VLOOKUP(C111,Product!A$2:B$21,1,0)</f>
        <v>PD0002</v>
      </c>
      <c r="E111" s="36">
        <v>147</v>
      </c>
      <c r="F111" s="38">
        <v>2793000</v>
      </c>
      <c r="G111" s="39" t="s">
        <v>2485</v>
      </c>
      <c r="H111" s="12"/>
      <c r="L111" s="12"/>
    </row>
    <row r="112" spans="1:12" ht="15.75" customHeight="1" x14ac:dyDescent="0.3">
      <c r="A112" s="29" t="s">
        <v>271</v>
      </c>
      <c r="B112" s="50" t="str">
        <f>VLOOKUP(A112,'Sales Order'!A$2:B$1029,1,0)</f>
        <v>SO0033</v>
      </c>
      <c r="C112" s="29" t="s">
        <v>35</v>
      </c>
      <c r="D112" s="50" t="str">
        <f>VLOOKUP(C112,Product!A$2:B$21,1,0)</f>
        <v>PD0005</v>
      </c>
      <c r="E112" s="36">
        <v>125</v>
      </c>
      <c r="F112" s="38">
        <v>222243750</v>
      </c>
      <c r="G112" s="39" t="s">
        <v>2486</v>
      </c>
      <c r="H112" s="12"/>
      <c r="L112" s="12"/>
    </row>
    <row r="113" spans="1:12" ht="15.75" customHeight="1" x14ac:dyDescent="0.3">
      <c r="A113" s="17" t="s">
        <v>272</v>
      </c>
      <c r="B113" s="50" t="str">
        <f>VLOOKUP(A113,'Sales Order'!A$2:B$1029,1,0)</f>
        <v>SO0034</v>
      </c>
      <c r="C113" s="29" t="s">
        <v>52</v>
      </c>
      <c r="D113" s="50" t="str">
        <f>VLOOKUP(C113,Product!A$2:B$21,1,0)</f>
        <v>PD0010</v>
      </c>
      <c r="E113" s="36">
        <v>99</v>
      </c>
      <c r="F113" s="38">
        <v>26705250</v>
      </c>
      <c r="G113" s="39" t="s">
        <v>2487</v>
      </c>
      <c r="H113" s="12"/>
      <c r="L113" s="12"/>
    </row>
    <row r="114" spans="1:12" ht="15.75" customHeight="1" x14ac:dyDescent="0.3">
      <c r="A114" s="29" t="s">
        <v>272</v>
      </c>
      <c r="B114" s="50" t="str">
        <f>VLOOKUP(A114,'Sales Order'!A$2:B$1029,1,0)</f>
        <v>SO0034</v>
      </c>
      <c r="C114" s="29" t="s">
        <v>78</v>
      </c>
      <c r="D114" s="50" t="str">
        <f>VLOOKUP(C114,Product!A$2:B$21,1,0)</f>
        <v>PD0018</v>
      </c>
      <c r="E114" s="36">
        <v>85</v>
      </c>
      <c r="F114" s="38">
        <v>42959000</v>
      </c>
      <c r="G114" s="39" t="s">
        <v>2488</v>
      </c>
      <c r="H114" s="12"/>
      <c r="L114" s="12"/>
    </row>
    <row r="115" spans="1:12" ht="15.75" customHeight="1" x14ac:dyDescent="0.3">
      <c r="A115" s="29" t="s">
        <v>272</v>
      </c>
      <c r="B115" s="50" t="str">
        <f>VLOOKUP(A115,'Sales Order'!A$2:B$1029,1,0)</f>
        <v>SO0034</v>
      </c>
      <c r="C115" s="29" t="s">
        <v>69</v>
      </c>
      <c r="D115" s="50" t="str">
        <f>VLOOKUP(C115,Product!A$2:B$21,1,0)</f>
        <v>PD0015</v>
      </c>
      <c r="E115" s="36">
        <v>64</v>
      </c>
      <c r="F115" s="38">
        <v>7392960</v>
      </c>
      <c r="G115" s="39" t="s">
        <v>2489</v>
      </c>
      <c r="H115" s="12"/>
      <c r="L115" s="12"/>
    </row>
    <row r="116" spans="1:12" ht="15.75" customHeight="1" x14ac:dyDescent="0.3">
      <c r="A116" s="29" t="s">
        <v>272</v>
      </c>
      <c r="B116" s="50" t="str">
        <f>VLOOKUP(A116,'Sales Order'!A$2:B$1029,1,0)</f>
        <v>SO0034</v>
      </c>
      <c r="C116" s="29" t="s">
        <v>40</v>
      </c>
      <c r="D116" s="50" t="str">
        <f>VLOOKUP(C116,Product!A$2:B$21,1,0)</f>
        <v>PD0006</v>
      </c>
      <c r="E116" s="36">
        <v>84</v>
      </c>
      <c r="F116" s="38">
        <v>13342560</v>
      </c>
      <c r="G116" s="39" t="s">
        <v>2490</v>
      </c>
      <c r="H116" s="12"/>
      <c r="L116" s="12"/>
    </row>
    <row r="117" spans="1:12" ht="15.75" customHeight="1" x14ac:dyDescent="0.3">
      <c r="A117" s="29" t="s">
        <v>272</v>
      </c>
      <c r="B117" s="50" t="str">
        <f>VLOOKUP(A117,'Sales Order'!A$2:B$1029,1,0)</f>
        <v>SO0034</v>
      </c>
      <c r="C117" s="29" t="s">
        <v>83</v>
      </c>
      <c r="D117" s="50" t="str">
        <f>VLOOKUP(C117,Product!A$2:B$21,1,0)</f>
        <v>PD0020</v>
      </c>
      <c r="E117" s="36">
        <v>138</v>
      </c>
      <c r="F117" s="38">
        <v>38982240</v>
      </c>
      <c r="G117" s="39" t="s">
        <v>2491</v>
      </c>
      <c r="H117" s="12"/>
      <c r="L117" s="12"/>
    </row>
    <row r="118" spans="1:12" ht="15.75" customHeight="1" x14ac:dyDescent="0.3">
      <c r="A118" s="29" t="s">
        <v>272</v>
      </c>
      <c r="B118" s="50" t="str">
        <f>VLOOKUP(A118,'Sales Order'!A$2:B$1029,1,0)</f>
        <v>SO0034</v>
      </c>
      <c r="C118" s="29" t="s">
        <v>19</v>
      </c>
      <c r="D118" s="50" t="str">
        <f>VLOOKUP(C118,Product!A$2:B$21,1,0)</f>
        <v>PD0001</v>
      </c>
      <c r="E118" s="36">
        <v>130</v>
      </c>
      <c r="F118" s="38">
        <v>26867100</v>
      </c>
      <c r="G118" s="39" t="s">
        <v>2492</v>
      </c>
      <c r="H118" s="12"/>
      <c r="L118" s="12"/>
    </row>
    <row r="119" spans="1:12" ht="15.75" customHeight="1" x14ac:dyDescent="0.3">
      <c r="A119" s="17" t="s">
        <v>273</v>
      </c>
      <c r="B119" s="50" t="str">
        <f>VLOOKUP(A119,'Sales Order'!A$2:B$1029,1,0)</f>
        <v>SO0035</v>
      </c>
      <c r="C119" s="29" t="s">
        <v>55</v>
      </c>
      <c r="D119" s="50" t="str">
        <f>VLOOKUP(C119,Product!A$2:B$21,1,0)</f>
        <v>PD0011</v>
      </c>
      <c r="E119" s="36">
        <v>25</v>
      </c>
      <c r="F119" s="38">
        <v>54257000</v>
      </c>
      <c r="G119" s="39" t="s">
        <v>2493</v>
      </c>
      <c r="H119" s="12"/>
      <c r="L119" s="12"/>
    </row>
    <row r="120" spans="1:12" ht="15.75" customHeight="1" x14ac:dyDescent="0.3">
      <c r="A120" s="29" t="s">
        <v>273</v>
      </c>
      <c r="B120" s="50" t="str">
        <f>VLOOKUP(A120,'Sales Order'!A$2:B$1029,1,0)</f>
        <v>SO0035</v>
      </c>
      <c r="C120" s="29" t="s">
        <v>72</v>
      </c>
      <c r="D120" s="50" t="str">
        <f>VLOOKUP(C120,Product!A$2:B$21,1,0)</f>
        <v>PD0016</v>
      </c>
      <c r="E120" s="36">
        <v>102</v>
      </c>
      <c r="F120" s="38">
        <v>20425500</v>
      </c>
      <c r="G120" s="39" t="s">
        <v>2494</v>
      </c>
      <c r="H120" s="12"/>
      <c r="L120" s="12"/>
    </row>
    <row r="121" spans="1:12" ht="15.75" customHeight="1" x14ac:dyDescent="0.3">
      <c r="A121" s="29" t="s">
        <v>273</v>
      </c>
      <c r="B121" s="50" t="str">
        <f>VLOOKUP(A121,'Sales Order'!A$2:B$1029,1,0)</f>
        <v>SO0035</v>
      </c>
      <c r="C121" s="29" t="s">
        <v>65</v>
      </c>
      <c r="D121" s="50" t="str">
        <f>VLOOKUP(C121,Product!A$2:B$21,1,0)</f>
        <v>PD0014</v>
      </c>
      <c r="E121" s="36">
        <v>52</v>
      </c>
      <c r="F121" s="38">
        <v>11107200</v>
      </c>
      <c r="G121" s="39" t="s">
        <v>2495</v>
      </c>
      <c r="H121" s="12"/>
      <c r="L121" s="12"/>
    </row>
    <row r="122" spans="1:12" ht="15.75" customHeight="1" x14ac:dyDescent="0.3">
      <c r="A122" s="29" t="s">
        <v>273</v>
      </c>
      <c r="B122" s="50" t="str">
        <f>VLOOKUP(A122,'Sales Order'!A$2:B$1029,1,0)</f>
        <v>SO0035</v>
      </c>
      <c r="C122" s="29" t="s">
        <v>48</v>
      </c>
      <c r="D122" s="50" t="str">
        <f>VLOOKUP(C122,Product!A$2:B$21,1,0)</f>
        <v>PD0009</v>
      </c>
      <c r="E122" s="36">
        <v>37</v>
      </c>
      <c r="F122" s="38">
        <v>3675210</v>
      </c>
      <c r="G122" s="39" t="s">
        <v>2496</v>
      </c>
      <c r="H122" s="12"/>
      <c r="L122" s="12"/>
    </row>
    <row r="123" spans="1:12" ht="15.75" customHeight="1" x14ac:dyDescent="0.3">
      <c r="A123" s="17" t="s">
        <v>274</v>
      </c>
      <c r="B123" s="50" t="str">
        <f>VLOOKUP(A123,'Sales Order'!A$2:B$1029,1,0)</f>
        <v>SO0036</v>
      </c>
      <c r="C123" s="29" t="s">
        <v>40</v>
      </c>
      <c r="D123" s="50" t="str">
        <f>VLOOKUP(C123,Product!A$2:B$21,1,0)</f>
        <v>PD0006</v>
      </c>
      <c r="E123" s="36">
        <v>134</v>
      </c>
      <c r="F123" s="38">
        <v>26605700</v>
      </c>
      <c r="G123" s="39" t="s">
        <v>2497</v>
      </c>
      <c r="H123" s="12"/>
      <c r="L123" s="12"/>
    </row>
    <row r="124" spans="1:12" ht="15.75" customHeight="1" x14ac:dyDescent="0.3">
      <c r="A124" s="29" t="s">
        <v>274</v>
      </c>
      <c r="B124" s="50" t="str">
        <f>VLOOKUP(A124,'Sales Order'!A$2:B$1029,1,0)</f>
        <v>SO0036</v>
      </c>
      <c r="C124" s="29" t="s">
        <v>43</v>
      </c>
      <c r="D124" s="50" t="str">
        <f>VLOOKUP(C124,Product!A$2:B$21,1,0)</f>
        <v>PD0007</v>
      </c>
      <c r="E124" s="36">
        <v>135</v>
      </c>
      <c r="F124" s="38">
        <v>349920000</v>
      </c>
      <c r="G124" s="39" t="s">
        <v>2498</v>
      </c>
      <c r="H124" s="12"/>
      <c r="L124" s="12"/>
    </row>
    <row r="125" spans="1:12" ht="15.75" customHeight="1" x14ac:dyDescent="0.3">
      <c r="A125" s="17" t="s">
        <v>275</v>
      </c>
      <c r="B125" s="50" t="str">
        <f>VLOOKUP(A125,'Sales Order'!A$2:B$1029,1,0)</f>
        <v>SO0037</v>
      </c>
      <c r="C125" s="29" t="s">
        <v>52</v>
      </c>
      <c r="D125" s="50" t="str">
        <f>VLOOKUP(C125,Product!A$2:B$21,1,0)</f>
        <v>PD0010</v>
      </c>
      <c r="E125" s="36">
        <v>110</v>
      </c>
      <c r="F125" s="38">
        <v>28242500</v>
      </c>
      <c r="G125" s="39" t="s">
        <v>2499</v>
      </c>
      <c r="H125" s="12"/>
      <c r="L125" s="12"/>
    </row>
    <row r="126" spans="1:12" ht="15.75" customHeight="1" x14ac:dyDescent="0.3">
      <c r="A126" s="29" t="s">
        <v>275</v>
      </c>
      <c r="B126" s="50" t="str">
        <f>VLOOKUP(A126,'Sales Order'!A$2:B$1029,1,0)</f>
        <v>SO0037</v>
      </c>
      <c r="C126" s="29" t="s">
        <v>78</v>
      </c>
      <c r="D126" s="50" t="str">
        <f>VLOOKUP(C126,Product!A$2:B$21,1,0)</f>
        <v>PD0018</v>
      </c>
      <c r="E126" s="36">
        <v>74</v>
      </c>
      <c r="F126" s="38">
        <v>37399600</v>
      </c>
      <c r="G126" s="39" t="s">
        <v>2500</v>
      </c>
      <c r="H126" s="12"/>
      <c r="L126" s="12"/>
    </row>
    <row r="127" spans="1:12" ht="15.75" customHeight="1" x14ac:dyDescent="0.3">
      <c r="A127" s="29" t="s">
        <v>275</v>
      </c>
      <c r="B127" s="50" t="str">
        <f>VLOOKUP(A127,'Sales Order'!A$2:B$1029,1,0)</f>
        <v>SO0037</v>
      </c>
      <c r="C127" s="29" t="s">
        <v>19</v>
      </c>
      <c r="D127" s="50" t="str">
        <f>VLOOKUP(C127,Product!A$2:B$21,1,0)</f>
        <v>PD0001</v>
      </c>
      <c r="E127" s="36">
        <v>120</v>
      </c>
      <c r="F127" s="38">
        <v>23904000</v>
      </c>
      <c r="G127" s="39" t="s">
        <v>2501</v>
      </c>
      <c r="H127" s="12"/>
      <c r="L127" s="12"/>
    </row>
    <row r="128" spans="1:12" ht="15.75" customHeight="1" x14ac:dyDescent="0.3">
      <c r="A128" s="29" t="s">
        <v>275</v>
      </c>
      <c r="B128" s="50" t="str">
        <f>VLOOKUP(A128,'Sales Order'!A$2:B$1029,1,0)</f>
        <v>SO0037</v>
      </c>
      <c r="C128" s="29" t="s">
        <v>58</v>
      </c>
      <c r="D128" s="50" t="str">
        <f>VLOOKUP(C128,Product!A$2:B$21,1,0)</f>
        <v>PD0012</v>
      </c>
      <c r="E128" s="36">
        <v>118</v>
      </c>
      <c r="F128" s="38">
        <v>605515820</v>
      </c>
      <c r="G128" s="39" t="s">
        <v>2502</v>
      </c>
      <c r="H128" s="12"/>
      <c r="L128" s="12"/>
    </row>
    <row r="129" spans="1:12" ht="15.75" customHeight="1" x14ac:dyDescent="0.3">
      <c r="A129" s="29" t="s">
        <v>275</v>
      </c>
      <c r="B129" s="50" t="str">
        <f>VLOOKUP(A129,'Sales Order'!A$2:B$1029,1,0)</f>
        <v>SO0037</v>
      </c>
      <c r="C129" s="29" t="s">
        <v>75</v>
      </c>
      <c r="D129" s="50" t="str">
        <f>VLOOKUP(C129,Product!A$2:B$21,1,0)</f>
        <v>PD0017</v>
      </c>
      <c r="E129" s="36">
        <v>149</v>
      </c>
      <c r="F129" s="38">
        <v>343519500</v>
      </c>
      <c r="G129" s="39" t="s">
        <v>2503</v>
      </c>
      <c r="H129" s="12"/>
      <c r="L129" s="12"/>
    </row>
    <row r="130" spans="1:12" ht="15.75" customHeight="1" x14ac:dyDescent="0.3">
      <c r="A130" s="17" t="s">
        <v>276</v>
      </c>
      <c r="B130" s="50" t="str">
        <f>VLOOKUP(A130,'Sales Order'!A$2:B$1029,1,0)</f>
        <v>SO0038</v>
      </c>
      <c r="C130" s="29" t="s">
        <v>35</v>
      </c>
      <c r="D130" s="50" t="str">
        <f>VLOOKUP(C130,Product!A$2:B$21,1,0)</f>
        <v>PD0005</v>
      </c>
      <c r="E130" s="36">
        <v>54</v>
      </c>
      <c r="F130" s="38">
        <v>88897500</v>
      </c>
      <c r="G130" s="39" t="s">
        <v>2504</v>
      </c>
      <c r="H130" s="12"/>
      <c r="L130" s="12"/>
    </row>
    <row r="131" spans="1:12" ht="15.75" customHeight="1" x14ac:dyDescent="0.3">
      <c r="A131" s="29" t="s">
        <v>276</v>
      </c>
      <c r="B131" s="50" t="str">
        <f>VLOOKUP(A131,'Sales Order'!A$2:B$1029,1,0)</f>
        <v>SO0038</v>
      </c>
      <c r="C131" s="29" t="s">
        <v>28</v>
      </c>
      <c r="D131" s="50" t="str">
        <f>VLOOKUP(C131,Product!A$2:B$21,1,0)</f>
        <v>PD0003</v>
      </c>
      <c r="E131" s="36">
        <v>52</v>
      </c>
      <c r="F131" s="38">
        <v>41634320</v>
      </c>
      <c r="G131" s="39" t="s">
        <v>2505</v>
      </c>
      <c r="H131" s="12"/>
      <c r="L131" s="12"/>
    </row>
    <row r="132" spans="1:12" ht="15.75" customHeight="1" x14ac:dyDescent="0.3">
      <c r="A132" s="17" t="s">
        <v>277</v>
      </c>
      <c r="B132" s="50" t="str">
        <f>VLOOKUP(A132,'Sales Order'!A$2:B$1029,1,0)</f>
        <v>SO0039</v>
      </c>
      <c r="C132" s="29" t="s">
        <v>69</v>
      </c>
      <c r="D132" s="50" t="str">
        <f>VLOOKUP(C132,Product!A$2:B$21,1,0)</f>
        <v>PD0015</v>
      </c>
      <c r="E132" s="36">
        <v>127</v>
      </c>
      <c r="F132" s="38">
        <v>15015591</v>
      </c>
      <c r="G132" s="39" t="s">
        <v>2506</v>
      </c>
      <c r="H132" s="12"/>
      <c r="L132" s="12"/>
    </row>
    <row r="133" spans="1:12" ht="15.75" customHeight="1" x14ac:dyDescent="0.3">
      <c r="A133" s="29" t="s">
        <v>277</v>
      </c>
      <c r="B133" s="50" t="str">
        <f>VLOOKUP(A133,'Sales Order'!A$2:B$1029,1,0)</f>
        <v>SO0039</v>
      </c>
      <c r="C133" s="29" t="s">
        <v>43</v>
      </c>
      <c r="D133" s="50" t="str">
        <f>VLOOKUP(C133,Product!A$2:B$21,1,0)</f>
        <v>PD0007</v>
      </c>
      <c r="E133" s="36">
        <v>139</v>
      </c>
      <c r="F133" s="38">
        <v>373632000</v>
      </c>
      <c r="G133" s="39" t="s">
        <v>2507</v>
      </c>
      <c r="H133" s="12"/>
      <c r="L133" s="12"/>
    </row>
    <row r="134" spans="1:12" ht="15.75" customHeight="1" x14ac:dyDescent="0.3">
      <c r="A134" s="29" t="s">
        <v>277</v>
      </c>
      <c r="B134" s="50" t="str">
        <f>VLOOKUP(A134,'Sales Order'!A$2:B$1029,1,0)</f>
        <v>SO0039</v>
      </c>
      <c r="C134" s="29" t="s">
        <v>55</v>
      </c>
      <c r="D134" s="50" t="str">
        <f>VLOOKUP(C134,Product!A$2:B$21,1,0)</f>
        <v>PD0011</v>
      </c>
      <c r="E134" s="36">
        <v>136</v>
      </c>
      <c r="F134" s="38">
        <v>259867440.00000003</v>
      </c>
      <c r="G134" s="39" t="s">
        <v>2508</v>
      </c>
      <c r="H134" s="12"/>
      <c r="L134" s="12"/>
    </row>
    <row r="135" spans="1:12" ht="15.75" customHeight="1" x14ac:dyDescent="0.3">
      <c r="A135" s="29" t="s">
        <v>277</v>
      </c>
      <c r="B135" s="50" t="str">
        <f>VLOOKUP(A135,'Sales Order'!A$2:B$1029,1,0)</f>
        <v>SO0039</v>
      </c>
      <c r="C135" s="29" t="s">
        <v>58</v>
      </c>
      <c r="D135" s="50" t="str">
        <f>VLOOKUP(C135,Product!A$2:B$21,1,0)</f>
        <v>PD0012</v>
      </c>
      <c r="E135" s="36">
        <v>91</v>
      </c>
      <c r="F135" s="38">
        <v>466965590</v>
      </c>
      <c r="G135" s="39" t="s">
        <v>2509</v>
      </c>
      <c r="H135" s="12"/>
      <c r="L135" s="12"/>
    </row>
    <row r="136" spans="1:12" ht="15.75" customHeight="1" x14ac:dyDescent="0.3">
      <c r="A136" s="17" t="s">
        <v>278</v>
      </c>
      <c r="B136" s="50" t="str">
        <f>VLOOKUP(A136,'Sales Order'!A$2:B$1029,1,0)</f>
        <v>SO0040</v>
      </c>
      <c r="C136" s="29" t="s">
        <v>35</v>
      </c>
      <c r="D136" s="50" t="str">
        <f>VLOOKUP(C136,Product!A$2:B$21,1,0)</f>
        <v>PD0005</v>
      </c>
      <c r="E136" s="36">
        <v>127</v>
      </c>
      <c r="F136" s="38">
        <v>211861400</v>
      </c>
      <c r="G136" s="39" t="s">
        <v>2510</v>
      </c>
      <c r="H136" s="12"/>
      <c r="L136" s="12"/>
    </row>
    <row r="137" spans="1:12" ht="15.75" customHeight="1" x14ac:dyDescent="0.3">
      <c r="A137" s="29" t="s">
        <v>278</v>
      </c>
      <c r="B137" s="50" t="str">
        <f>VLOOKUP(A137,'Sales Order'!A$2:B$1029,1,0)</f>
        <v>SO0040</v>
      </c>
      <c r="C137" s="29" t="s">
        <v>61</v>
      </c>
      <c r="D137" s="50" t="str">
        <f>VLOOKUP(C137,Product!A$2:B$21,1,0)</f>
        <v>PD0013</v>
      </c>
      <c r="E137" s="36">
        <v>32</v>
      </c>
      <c r="F137" s="38">
        <v>13641920</v>
      </c>
      <c r="G137" s="39" t="s">
        <v>2511</v>
      </c>
      <c r="H137" s="12"/>
      <c r="L137" s="12"/>
    </row>
    <row r="138" spans="1:12" ht="15.75" customHeight="1" x14ac:dyDescent="0.3">
      <c r="A138" s="29" t="s">
        <v>278</v>
      </c>
      <c r="B138" s="50" t="str">
        <f>VLOOKUP(A138,'Sales Order'!A$2:B$1029,1,0)</f>
        <v>SO0040</v>
      </c>
      <c r="C138" s="29" t="s">
        <v>81</v>
      </c>
      <c r="D138" s="50" t="str">
        <f>VLOOKUP(C138,Product!A$2:B$21,1,0)</f>
        <v>PD0019</v>
      </c>
      <c r="E138" s="36">
        <v>62</v>
      </c>
      <c r="F138" s="38">
        <v>123269640</v>
      </c>
      <c r="G138" s="39" t="s">
        <v>2512</v>
      </c>
      <c r="H138" s="12"/>
      <c r="L138" s="12"/>
    </row>
    <row r="139" spans="1:12" ht="15.75" customHeight="1" x14ac:dyDescent="0.3">
      <c r="A139" s="17" t="s">
        <v>279</v>
      </c>
      <c r="B139" s="50" t="str">
        <f>VLOOKUP(A139,'Sales Order'!A$2:B$1029,1,0)</f>
        <v>SO0041</v>
      </c>
      <c r="C139" s="29" t="s">
        <v>83</v>
      </c>
      <c r="D139" s="50" t="str">
        <f>VLOOKUP(C139,Product!A$2:B$21,1,0)</f>
        <v>PD0020</v>
      </c>
      <c r="E139" s="36">
        <v>67</v>
      </c>
      <c r="F139" s="38">
        <v>17635740</v>
      </c>
      <c r="G139" s="39" t="s">
        <v>2513</v>
      </c>
      <c r="H139" s="12"/>
      <c r="L139" s="12"/>
    </row>
    <row r="140" spans="1:12" ht="15.75" customHeight="1" x14ac:dyDescent="0.3">
      <c r="A140" s="29" t="s">
        <v>279</v>
      </c>
      <c r="B140" s="50" t="str">
        <f>VLOOKUP(A140,'Sales Order'!A$2:B$1029,1,0)</f>
        <v>SO0041</v>
      </c>
      <c r="C140" s="29" t="s">
        <v>43</v>
      </c>
      <c r="D140" s="50" t="str">
        <f>VLOOKUP(C140,Product!A$2:B$21,1,0)</f>
        <v>PD0007</v>
      </c>
      <c r="E140" s="36">
        <v>65</v>
      </c>
      <c r="F140" s="38">
        <v>166400000</v>
      </c>
      <c r="G140" s="39" t="s">
        <v>2514</v>
      </c>
      <c r="H140" s="12"/>
      <c r="L140" s="12"/>
    </row>
    <row r="141" spans="1:12" ht="15.75" customHeight="1" x14ac:dyDescent="0.3">
      <c r="A141" s="29" t="s">
        <v>279</v>
      </c>
      <c r="B141" s="50" t="str">
        <f>VLOOKUP(A141,'Sales Order'!A$2:B$1029,1,0)</f>
        <v>SO0041</v>
      </c>
      <c r="C141" s="29" t="s">
        <v>58</v>
      </c>
      <c r="D141" s="50" t="str">
        <f>VLOOKUP(C141,Product!A$2:B$21,1,0)</f>
        <v>PD0012</v>
      </c>
      <c r="E141" s="36">
        <v>135</v>
      </c>
      <c r="F141" s="38">
        <v>586174050</v>
      </c>
      <c r="G141" s="39" t="s">
        <v>2515</v>
      </c>
      <c r="H141" s="12"/>
      <c r="L141" s="12"/>
    </row>
    <row r="142" spans="1:12" ht="15.75" customHeight="1" x14ac:dyDescent="0.3">
      <c r="A142" s="29" t="s">
        <v>279</v>
      </c>
      <c r="B142" s="50" t="str">
        <f>VLOOKUP(A142,'Sales Order'!A$2:B$1029,1,0)</f>
        <v>SO0041</v>
      </c>
      <c r="C142" s="29" t="s">
        <v>25</v>
      </c>
      <c r="D142" s="50" t="str">
        <f>VLOOKUP(C142,Product!A$2:B$21,1,0)</f>
        <v>PD0002</v>
      </c>
      <c r="E142" s="36">
        <v>68</v>
      </c>
      <c r="F142" s="38">
        <v>1060800</v>
      </c>
      <c r="G142" s="39" t="s">
        <v>2516</v>
      </c>
      <c r="H142" s="12"/>
      <c r="L142" s="12"/>
    </row>
    <row r="143" spans="1:12" ht="15.75" customHeight="1" x14ac:dyDescent="0.3">
      <c r="A143" s="29" t="s">
        <v>280</v>
      </c>
      <c r="B143" s="50" t="str">
        <f>VLOOKUP(A143,'Sales Order'!A$2:B$1029,1,0)</f>
        <v>SO0042</v>
      </c>
      <c r="C143" s="29" t="s">
        <v>48</v>
      </c>
      <c r="D143" s="50" t="str">
        <f>VLOOKUP(C143,Product!A$2:B$21,1,0)</f>
        <v>PD0009</v>
      </c>
      <c r="E143" s="36">
        <v>146</v>
      </c>
      <c r="F143" s="38">
        <v>14313840</v>
      </c>
      <c r="G143" s="39" t="s">
        <v>2517</v>
      </c>
      <c r="H143" s="12"/>
      <c r="L143" s="12"/>
    </row>
    <row r="144" spans="1:12" ht="15.75" customHeight="1" x14ac:dyDescent="0.3">
      <c r="A144" s="29" t="s">
        <v>280</v>
      </c>
      <c r="B144" s="50" t="str">
        <f>VLOOKUP(A144,'Sales Order'!A$2:B$1029,1,0)</f>
        <v>SO0042</v>
      </c>
      <c r="C144" s="29" t="s">
        <v>81</v>
      </c>
      <c r="D144" s="50" t="str">
        <f>VLOOKUP(C144,Product!A$2:B$21,1,0)</f>
        <v>PD0019</v>
      </c>
      <c r="E144" s="36">
        <v>107</v>
      </c>
      <c r="F144" s="38">
        <v>215466970</v>
      </c>
      <c r="G144" s="39" t="s">
        <v>2518</v>
      </c>
      <c r="H144" s="12"/>
      <c r="L144" s="12"/>
    </row>
    <row r="145" spans="1:12" ht="15.75" customHeight="1" x14ac:dyDescent="0.3">
      <c r="A145" s="29" t="s">
        <v>280</v>
      </c>
      <c r="B145" s="50" t="str">
        <f>VLOOKUP(A145,'Sales Order'!A$2:B$1029,1,0)</f>
        <v>SO0042</v>
      </c>
      <c r="C145" s="29" t="s">
        <v>75</v>
      </c>
      <c r="D145" s="50" t="str">
        <f>VLOOKUP(C145,Product!A$2:B$21,1,0)</f>
        <v>PD0017</v>
      </c>
      <c r="E145" s="36">
        <v>126</v>
      </c>
      <c r="F145" s="38">
        <v>280476000</v>
      </c>
      <c r="G145" s="39" t="s">
        <v>2519</v>
      </c>
      <c r="H145" s="12"/>
      <c r="L145" s="12"/>
    </row>
    <row r="146" spans="1:12" ht="15.75" customHeight="1" x14ac:dyDescent="0.3">
      <c r="A146" s="17" t="s">
        <v>281</v>
      </c>
      <c r="B146" s="50" t="str">
        <f>VLOOKUP(A146,'Sales Order'!A$2:B$1029,1,0)</f>
        <v>SO0043</v>
      </c>
      <c r="C146" s="29" t="s">
        <v>25</v>
      </c>
      <c r="D146" s="50" t="str">
        <f>VLOOKUP(C146,Product!A$2:B$21,1,0)</f>
        <v>PD0002</v>
      </c>
      <c r="E146" s="36">
        <v>121</v>
      </c>
      <c r="F146" s="38">
        <v>2299000</v>
      </c>
      <c r="G146" s="39" t="s">
        <v>2520</v>
      </c>
      <c r="H146" s="12"/>
      <c r="L146" s="12"/>
    </row>
    <row r="147" spans="1:12" ht="15.75" customHeight="1" x14ac:dyDescent="0.3">
      <c r="A147" s="29" t="s">
        <v>281</v>
      </c>
      <c r="B147" s="50" t="str">
        <f>VLOOKUP(A147,'Sales Order'!A$2:B$1029,1,0)</f>
        <v>SO0043</v>
      </c>
      <c r="C147" s="29" t="s">
        <v>61</v>
      </c>
      <c r="D147" s="50" t="str">
        <f>VLOOKUP(C147,Product!A$2:B$21,1,0)</f>
        <v>PD0013</v>
      </c>
      <c r="E147" s="36">
        <v>31</v>
      </c>
      <c r="F147" s="38">
        <v>11136750</v>
      </c>
      <c r="G147" s="39" t="s">
        <v>2521</v>
      </c>
      <c r="H147" s="12"/>
      <c r="L147" s="12"/>
    </row>
    <row r="148" spans="1:12" ht="15.75" customHeight="1" x14ac:dyDescent="0.3">
      <c r="A148" s="29" t="s">
        <v>281</v>
      </c>
      <c r="B148" s="50" t="str">
        <f>VLOOKUP(A148,'Sales Order'!A$2:B$1029,1,0)</f>
        <v>SO0043</v>
      </c>
      <c r="C148" s="29" t="s">
        <v>35</v>
      </c>
      <c r="D148" s="50" t="str">
        <f>VLOOKUP(C148,Product!A$2:B$21,1,0)</f>
        <v>PD0005</v>
      </c>
      <c r="E148" s="36">
        <v>62</v>
      </c>
      <c r="F148" s="38">
        <v>110232900</v>
      </c>
      <c r="G148" s="39" t="s">
        <v>2522</v>
      </c>
      <c r="H148" s="12"/>
      <c r="L148" s="12"/>
    </row>
    <row r="149" spans="1:12" ht="15.75" customHeight="1" x14ac:dyDescent="0.3">
      <c r="A149" s="29" t="s">
        <v>282</v>
      </c>
      <c r="B149" s="50" t="str">
        <f>VLOOKUP(A149,'Sales Order'!A$2:B$1029,1,0)</f>
        <v>SO0044</v>
      </c>
      <c r="C149" s="29" t="s">
        <v>61</v>
      </c>
      <c r="D149" s="50" t="str">
        <f>VLOOKUP(C149,Product!A$2:B$21,1,0)</f>
        <v>PD0013</v>
      </c>
      <c r="E149" s="36">
        <v>52</v>
      </c>
      <c r="F149" s="38">
        <v>22915360</v>
      </c>
      <c r="G149" s="39" t="s">
        <v>2523</v>
      </c>
      <c r="H149" s="12"/>
      <c r="L149" s="12"/>
    </row>
    <row r="150" spans="1:12" ht="15.75" customHeight="1" x14ac:dyDescent="0.3">
      <c r="A150" s="29" t="s">
        <v>282</v>
      </c>
      <c r="B150" s="50" t="str">
        <f>VLOOKUP(A150,'Sales Order'!A$2:B$1029,1,0)</f>
        <v>SO0044</v>
      </c>
      <c r="C150" s="29" t="s">
        <v>78</v>
      </c>
      <c r="D150" s="50" t="str">
        <f>VLOOKUP(C150,Product!A$2:B$21,1,0)</f>
        <v>PD0018</v>
      </c>
      <c r="E150" s="36">
        <v>59</v>
      </c>
      <c r="F150" s="38">
        <v>24168760</v>
      </c>
      <c r="G150" s="39" t="s">
        <v>2524</v>
      </c>
      <c r="H150" s="12"/>
      <c r="L150" s="12"/>
    </row>
    <row r="151" spans="1:12" ht="15.75" customHeight="1" x14ac:dyDescent="0.3">
      <c r="A151" s="29" t="s">
        <v>282</v>
      </c>
      <c r="B151" s="50" t="str">
        <f>VLOOKUP(A151,'Sales Order'!A$2:B$1029,1,0)</f>
        <v>SO0044</v>
      </c>
      <c r="C151" s="29" t="s">
        <v>72</v>
      </c>
      <c r="D151" s="50" t="str">
        <f>VLOOKUP(C151,Product!A$2:B$21,1,0)</f>
        <v>PD0016</v>
      </c>
      <c r="E151" s="36">
        <v>38</v>
      </c>
      <c r="F151" s="38">
        <v>7609500</v>
      </c>
      <c r="G151" s="39" t="s">
        <v>2525</v>
      </c>
      <c r="H151" s="12"/>
      <c r="L151" s="12"/>
    </row>
    <row r="152" spans="1:12" ht="15.75" customHeight="1" x14ac:dyDescent="0.3">
      <c r="A152" s="29" t="s">
        <v>282</v>
      </c>
      <c r="B152" s="50" t="str">
        <f>VLOOKUP(A152,'Sales Order'!A$2:B$1029,1,0)</f>
        <v>SO0044</v>
      </c>
      <c r="C152" s="29" t="s">
        <v>48</v>
      </c>
      <c r="D152" s="50" t="str">
        <f>VLOOKUP(C152,Product!A$2:B$21,1,0)</f>
        <v>PD0009</v>
      </c>
      <c r="E152" s="36">
        <v>68</v>
      </c>
      <c r="F152" s="38">
        <v>8333400</v>
      </c>
      <c r="G152" s="39" t="s">
        <v>2526</v>
      </c>
      <c r="H152" s="12"/>
      <c r="L152" s="12"/>
    </row>
    <row r="153" spans="1:12" ht="15.75" customHeight="1" x14ac:dyDescent="0.3">
      <c r="A153" s="29" t="s">
        <v>282</v>
      </c>
      <c r="B153" s="50" t="str">
        <f>VLOOKUP(A153,'Sales Order'!A$2:B$1029,1,0)</f>
        <v>SO0044</v>
      </c>
      <c r="C153" s="29" t="s">
        <v>58</v>
      </c>
      <c r="D153" s="50" t="str">
        <f>VLOOKUP(C153,Product!A$2:B$21,1,0)</f>
        <v>PD0012</v>
      </c>
      <c r="E153" s="36">
        <v>117</v>
      </c>
      <c r="F153" s="38">
        <v>541005660</v>
      </c>
      <c r="G153" s="39" t="s">
        <v>2527</v>
      </c>
      <c r="H153" s="12"/>
      <c r="L153" s="12"/>
    </row>
    <row r="154" spans="1:12" ht="15.75" customHeight="1" x14ac:dyDescent="0.3">
      <c r="A154" s="29" t="s">
        <v>282</v>
      </c>
      <c r="B154" s="50" t="str">
        <f>VLOOKUP(A154,'Sales Order'!A$2:B$1029,1,0)</f>
        <v>SO0044</v>
      </c>
      <c r="C154" s="29" t="s">
        <v>75</v>
      </c>
      <c r="D154" s="50" t="str">
        <f>VLOOKUP(C154,Product!A$2:B$21,1,0)</f>
        <v>PD0017</v>
      </c>
      <c r="E154" s="36">
        <v>45</v>
      </c>
      <c r="F154" s="38">
        <v>96592500</v>
      </c>
      <c r="G154" s="39" t="s">
        <v>2528</v>
      </c>
      <c r="H154" s="12"/>
      <c r="L154" s="12"/>
    </row>
    <row r="155" spans="1:12" ht="15.75" customHeight="1" x14ac:dyDescent="0.3">
      <c r="A155" s="29" t="s">
        <v>283</v>
      </c>
      <c r="B155" s="50" t="str">
        <f>VLOOKUP(A155,'Sales Order'!A$2:B$1029,1,0)</f>
        <v>SO0045</v>
      </c>
      <c r="C155" s="29" t="s">
        <v>78</v>
      </c>
      <c r="D155" s="50" t="str">
        <f>VLOOKUP(C155,Product!A$2:B$21,1,0)</f>
        <v>PD0018</v>
      </c>
      <c r="E155" s="36">
        <v>124</v>
      </c>
      <c r="F155" s="38">
        <v>52774400</v>
      </c>
      <c r="G155" s="39" t="s">
        <v>2529</v>
      </c>
      <c r="H155" s="12"/>
      <c r="L155" s="12"/>
    </row>
    <row r="156" spans="1:12" ht="15.75" customHeight="1" x14ac:dyDescent="0.3">
      <c r="A156" s="29" t="s">
        <v>283</v>
      </c>
      <c r="B156" s="50" t="str">
        <f>VLOOKUP(A156,'Sales Order'!A$2:B$1029,1,0)</f>
        <v>SO0045</v>
      </c>
      <c r="C156" s="29" t="s">
        <v>55</v>
      </c>
      <c r="D156" s="50" t="str">
        <f>VLOOKUP(C156,Product!A$2:B$21,1,0)</f>
        <v>PD0011</v>
      </c>
      <c r="E156" s="36">
        <v>81</v>
      </c>
      <c r="F156" s="38">
        <v>147130830</v>
      </c>
      <c r="G156" s="39" t="s">
        <v>2530</v>
      </c>
      <c r="H156" s="12"/>
      <c r="L156" s="12"/>
    </row>
    <row r="157" spans="1:12" ht="15.75" customHeight="1" x14ac:dyDescent="0.3">
      <c r="A157" s="17" t="s">
        <v>284</v>
      </c>
      <c r="B157" s="50" t="str">
        <f>VLOOKUP(A157,'Sales Order'!A$2:B$1029,1,0)</f>
        <v>SO0046</v>
      </c>
      <c r="C157" s="29" t="s">
        <v>48</v>
      </c>
      <c r="D157" s="50" t="str">
        <f>VLOOKUP(C157,Product!A$2:B$21,1,0)</f>
        <v>PD0009</v>
      </c>
      <c r="E157" s="36">
        <v>28</v>
      </c>
      <c r="F157" s="38">
        <v>2853480</v>
      </c>
      <c r="G157" s="39" t="s">
        <v>2531</v>
      </c>
      <c r="H157" s="12"/>
      <c r="L157" s="12"/>
    </row>
    <row r="158" spans="1:12" ht="15.75" customHeight="1" x14ac:dyDescent="0.3">
      <c r="A158" s="29" t="s">
        <v>284</v>
      </c>
      <c r="B158" s="50" t="str">
        <f>VLOOKUP(A158,'Sales Order'!A$2:B$1029,1,0)</f>
        <v>SO0046</v>
      </c>
      <c r="C158" s="29" t="s">
        <v>58</v>
      </c>
      <c r="D158" s="50" t="str">
        <f>VLOOKUP(C158,Product!A$2:B$21,1,0)</f>
        <v>PD0012</v>
      </c>
      <c r="E158" s="36">
        <v>28</v>
      </c>
      <c r="F158" s="38">
        <v>149997400</v>
      </c>
      <c r="G158" s="39" t="s">
        <v>2532</v>
      </c>
      <c r="H158" s="12"/>
      <c r="L158" s="12"/>
    </row>
    <row r="159" spans="1:12" ht="15.75" customHeight="1" x14ac:dyDescent="0.3">
      <c r="A159" s="29" t="s">
        <v>284</v>
      </c>
      <c r="B159" s="50" t="str">
        <f>VLOOKUP(A159,'Sales Order'!A$2:B$1029,1,0)</f>
        <v>SO0046</v>
      </c>
      <c r="C159" s="29" t="s">
        <v>69</v>
      </c>
      <c r="D159" s="50" t="str">
        <f>VLOOKUP(C159,Product!A$2:B$21,1,0)</f>
        <v>PD0015</v>
      </c>
      <c r="E159" s="36">
        <v>30</v>
      </c>
      <c r="F159" s="38">
        <v>3424680</v>
      </c>
      <c r="G159" s="39" t="s">
        <v>2533</v>
      </c>
      <c r="H159" s="12"/>
      <c r="L159" s="12"/>
    </row>
    <row r="160" spans="1:12" ht="15.75" customHeight="1" x14ac:dyDescent="0.3">
      <c r="A160" s="29" t="s">
        <v>284</v>
      </c>
      <c r="B160" s="50" t="str">
        <f>VLOOKUP(A160,'Sales Order'!A$2:B$1029,1,0)</f>
        <v>SO0046</v>
      </c>
      <c r="C160" s="29" t="s">
        <v>75</v>
      </c>
      <c r="D160" s="50" t="str">
        <f>VLOOKUP(C160,Product!A$2:B$21,1,0)</f>
        <v>PD0017</v>
      </c>
      <c r="E160" s="36">
        <v>43</v>
      </c>
      <c r="F160" s="38">
        <v>95718000</v>
      </c>
      <c r="G160" s="39" t="s">
        <v>2534</v>
      </c>
      <c r="H160" s="12"/>
      <c r="L160" s="12"/>
    </row>
    <row r="161" spans="1:12" ht="15.75" customHeight="1" x14ac:dyDescent="0.3">
      <c r="A161" s="29" t="s">
        <v>284</v>
      </c>
      <c r="B161" s="50" t="str">
        <f>VLOOKUP(A161,'Sales Order'!A$2:B$1029,1,0)</f>
        <v>SO0046</v>
      </c>
      <c r="C161" s="29" t="s">
        <v>28</v>
      </c>
      <c r="D161" s="50" t="str">
        <f>VLOOKUP(C161,Product!A$2:B$21,1,0)</f>
        <v>PD0003</v>
      </c>
      <c r="E161" s="36">
        <v>80</v>
      </c>
      <c r="F161" s="38">
        <v>59584000</v>
      </c>
      <c r="G161" s="39" t="s">
        <v>2535</v>
      </c>
      <c r="H161" s="12"/>
      <c r="L161" s="12"/>
    </row>
    <row r="162" spans="1:12" ht="15.75" customHeight="1" x14ac:dyDescent="0.3">
      <c r="A162" s="17" t="s">
        <v>285</v>
      </c>
      <c r="B162" s="50" t="str">
        <f>VLOOKUP(A162,'Sales Order'!A$2:B$1029,1,0)</f>
        <v>SO0047</v>
      </c>
      <c r="C162" s="29" t="s">
        <v>58</v>
      </c>
      <c r="D162" s="50" t="str">
        <f>VLOOKUP(C162,Product!A$2:B$21,1,0)</f>
        <v>PD0012</v>
      </c>
      <c r="E162" s="36">
        <v>111</v>
      </c>
      <c r="F162" s="38">
        <v>525780360</v>
      </c>
      <c r="G162" s="39" t="s">
        <v>2536</v>
      </c>
      <c r="H162" s="12"/>
      <c r="L162" s="12"/>
    </row>
    <row r="163" spans="1:12" ht="15.75" customHeight="1" x14ac:dyDescent="0.3">
      <c r="A163" s="29" t="s">
        <v>285</v>
      </c>
      <c r="B163" s="50" t="str">
        <f>VLOOKUP(A163,'Sales Order'!A$2:B$1029,1,0)</f>
        <v>SO0047</v>
      </c>
      <c r="C163" s="29" t="s">
        <v>55</v>
      </c>
      <c r="D163" s="50" t="str">
        <f>VLOOKUP(C163,Product!A$2:B$21,1,0)</f>
        <v>PD0011</v>
      </c>
      <c r="E163" s="36">
        <v>145</v>
      </c>
      <c r="F163" s="38">
        <v>307849500</v>
      </c>
      <c r="G163" s="39" t="s">
        <v>2537</v>
      </c>
      <c r="H163" s="12"/>
      <c r="L163" s="12"/>
    </row>
    <row r="164" spans="1:12" ht="15.75" customHeight="1" x14ac:dyDescent="0.3">
      <c r="A164" s="29" t="s">
        <v>285</v>
      </c>
      <c r="B164" s="50" t="str">
        <f>VLOOKUP(A164,'Sales Order'!A$2:B$1029,1,0)</f>
        <v>SO0047</v>
      </c>
      <c r="C164" s="29" t="s">
        <v>81</v>
      </c>
      <c r="D164" s="50" t="str">
        <f>VLOOKUP(C164,Product!A$2:B$21,1,0)</f>
        <v>PD0019</v>
      </c>
      <c r="E164" s="36">
        <v>150</v>
      </c>
      <c r="F164" s="38">
        <v>313527000</v>
      </c>
      <c r="G164" s="39" t="s">
        <v>2538</v>
      </c>
      <c r="H164" s="12"/>
      <c r="L164" s="12"/>
    </row>
    <row r="165" spans="1:12" ht="15.75" customHeight="1" x14ac:dyDescent="0.3">
      <c r="A165" s="17" t="s">
        <v>286</v>
      </c>
      <c r="B165" s="50" t="str">
        <f>VLOOKUP(A165,'Sales Order'!A$2:B$1029,1,0)</f>
        <v>SO0048</v>
      </c>
      <c r="C165" s="29" t="s">
        <v>69</v>
      </c>
      <c r="D165" s="50" t="str">
        <f>VLOOKUP(C165,Product!A$2:B$21,1,0)</f>
        <v>PD0015</v>
      </c>
      <c r="E165" s="36">
        <v>126</v>
      </c>
      <c r="F165" s="38">
        <v>16267230</v>
      </c>
      <c r="G165" s="39" t="s">
        <v>2539</v>
      </c>
      <c r="H165" s="12"/>
      <c r="L165" s="12"/>
    </row>
    <row r="166" spans="1:12" ht="15.75" customHeight="1" x14ac:dyDescent="0.3">
      <c r="A166" s="29" t="s">
        <v>286</v>
      </c>
      <c r="B166" s="50" t="str">
        <f>VLOOKUP(A166,'Sales Order'!A$2:B$1029,1,0)</f>
        <v>SO0048</v>
      </c>
      <c r="C166" s="29" t="s">
        <v>55</v>
      </c>
      <c r="D166" s="50" t="str">
        <f>VLOOKUP(C166,Product!A$2:B$21,1,0)</f>
        <v>PD0011</v>
      </c>
      <c r="E166" s="36">
        <v>92</v>
      </c>
      <c r="F166" s="38">
        <v>197495480</v>
      </c>
      <c r="G166" s="39" t="s">
        <v>2540</v>
      </c>
      <c r="H166" s="12"/>
      <c r="L166" s="12"/>
    </row>
    <row r="167" spans="1:12" ht="15.75" customHeight="1" x14ac:dyDescent="0.3">
      <c r="A167" s="29" t="s">
        <v>286</v>
      </c>
      <c r="B167" s="50" t="str">
        <f>VLOOKUP(A167,'Sales Order'!A$2:B$1029,1,0)</f>
        <v>SO0048</v>
      </c>
      <c r="C167" s="29" t="s">
        <v>45</v>
      </c>
      <c r="D167" s="50" t="str">
        <f>VLOOKUP(C167,Product!A$2:B$21,1,0)</f>
        <v>PD0008</v>
      </c>
      <c r="E167" s="36">
        <v>98</v>
      </c>
      <c r="F167" s="38">
        <v>13433840</v>
      </c>
      <c r="G167" s="39" t="s">
        <v>2541</v>
      </c>
      <c r="H167" s="12"/>
      <c r="L167" s="12"/>
    </row>
    <row r="168" spans="1:12" ht="15.75" customHeight="1" x14ac:dyDescent="0.3">
      <c r="A168" s="29" t="s">
        <v>286</v>
      </c>
      <c r="B168" s="50" t="str">
        <f>VLOOKUP(A168,'Sales Order'!A$2:B$1029,1,0)</f>
        <v>SO0048</v>
      </c>
      <c r="C168" s="29" t="s">
        <v>78</v>
      </c>
      <c r="D168" s="50" t="str">
        <f>VLOOKUP(C168,Product!A$2:B$21,1,0)</f>
        <v>PD0018</v>
      </c>
      <c r="E168" s="36">
        <v>28</v>
      </c>
      <c r="F168" s="38">
        <v>13704320</v>
      </c>
      <c r="G168" s="39" t="s">
        <v>2542</v>
      </c>
      <c r="H168" s="12"/>
      <c r="L168" s="12"/>
    </row>
    <row r="169" spans="1:12" ht="15.75" customHeight="1" x14ac:dyDescent="0.3">
      <c r="A169" s="17" t="s">
        <v>287</v>
      </c>
      <c r="B169" s="50" t="str">
        <f>VLOOKUP(A169,'Sales Order'!A$2:B$1029,1,0)</f>
        <v>SO0049</v>
      </c>
      <c r="C169" s="29" t="s">
        <v>69</v>
      </c>
      <c r="D169" s="50" t="str">
        <f>VLOOKUP(C169,Product!A$2:B$21,1,0)</f>
        <v>PD0015</v>
      </c>
      <c r="E169" s="36">
        <v>112</v>
      </c>
      <c r="F169" s="38">
        <v>12937680</v>
      </c>
      <c r="G169" s="39" t="s">
        <v>2543</v>
      </c>
      <c r="H169" s="12"/>
      <c r="L169" s="12"/>
    </row>
    <row r="170" spans="1:12" ht="15.75" customHeight="1" x14ac:dyDescent="0.3">
      <c r="A170" s="29" t="s">
        <v>287</v>
      </c>
      <c r="B170" s="50" t="str">
        <f>VLOOKUP(A170,'Sales Order'!A$2:B$1029,1,0)</f>
        <v>SO0049</v>
      </c>
      <c r="C170" s="29" t="s">
        <v>65</v>
      </c>
      <c r="D170" s="50" t="str">
        <f>VLOOKUP(C170,Product!A$2:B$21,1,0)</f>
        <v>PD0014</v>
      </c>
      <c r="E170" s="36">
        <v>104</v>
      </c>
      <c r="F170" s="38">
        <v>24158160</v>
      </c>
      <c r="G170" s="39" t="s">
        <v>2544</v>
      </c>
      <c r="H170" s="12"/>
      <c r="L170" s="12"/>
    </row>
    <row r="171" spans="1:12" ht="15.75" customHeight="1" x14ac:dyDescent="0.3">
      <c r="A171" s="17" t="s">
        <v>288</v>
      </c>
      <c r="B171" s="50" t="str">
        <f>VLOOKUP(A171,'Sales Order'!A$2:B$1029,1,0)</f>
        <v>SO0050</v>
      </c>
      <c r="C171" s="29" t="s">
        <v>48</v>
      </c>
      <c r="D171" s="50" t="str">
        <f>VLOOKUP(C171,Product!A$2:B$21,1,0)</f>
        <v>PD0009</v>
      </c>
      <c r="E171" s="36">
        <v>85</v>
      </c>
      <c r="F171" s="38">
        <v>10197450</v>
      </c>
      <c r="G171" s="39" t="s">
        <v>2545</v>
      </c>
      <c r="H171" s="12"/>
      <c r="L171" s="12"/>
    </row>
    <row r="172" spans="1:12" ht="15.75" customHeight="1" x14ac:dyDescent="0.3">
      <c r="A172" s="29" t="s">
        <v>288</v>
      </c>
      <c r="B172" s="50" t="str">
        <f>VLOOKUP(A172,'Sales Order'!A$2:B$1029,1,0)</f>
        <v>SO0050</v>
      </c>
      <c r="C172" s="29" t="s">
        <v>40</v>
      </c>
      <c r="D172" s="50" t="str">
        <f>VLOOKUP(C172,Product!A$2:B$21,1,0)</f>
        <v>PD0006</v>
      </c>
      <c r="E172" s="36">
        <v>133</v>
      </c>
      <c r="F172" s="38">
        <v>23905420</v>
      </c>
      <c r="G172" s="39" t="s">
        <v>2546</v>
      </c>
      <c r="H172" s="12"/>
      <c r="L172" s="12"/>
    </row>
    <row r="173" spans="1:12" ht="15.75" customHeight="1" x14ac:dyDescent="0.3">
      <c r="A173" s="29" t="s">
        <v>288</v>
      </c>
      <c r="B173" s="50" t="str">
        <f>VLOOKUP(A173,'Sales Order'!A$2:B$1029,1,0)</f>
        <v>SO0050</v>
      </c>
      <c r="C173" s="29" t="s">
        <v>28</v>
      </c>
      <c r="D173" s="50" t="str">
        <f>VLOOKUP(C173,Product!A$2:B$21,1,0)</f>
        <v>PD0003</v>
      </c>
      <c r="E173" s="36">
        <v>96</v>
      </c>
      <c r="F173" s="38">
        <v>75075840</v>
      </c>
      <c r="G173" s="39" t="s">
        <v>2547</v>
      </c>
      <c r="H173" s="12"/>
      <c r="L173" s="12"/>
    </row>
    <row r="174" spans="1:12" ht="15.75" customHeight="1" x14ac:dyDescent="0.3">
      <c r="A174" s="29" t="s">
        <v>288</v>
      </c>
      <c r="B174" s="50" t="str">
        <f>VLOOKUP(A174,'Sales Order'!A$2:B$1029,1,0)</f>
        <v>SO0050</v>
      </c>
      <c r="C174" s="29" t="s">
        <v>72</v>
      </c>
      <c r="D174" s="50" t="str">
        <f>VLOOKUP(C174,Product!A$2:B$21,1,0)</f>
        <v>PD0016</v>
      </c>
      <c r="E174" s="36">
        <v>100</v>
      </c>
      <c r="F174" s="38">
        <v>20025000</v>
      </c>
      <c r="G174" s="39" t="s">
        <v>2548</v>
      </c>
      <c r="H174" s="12"/>
      <c r="L174" s="12"/>
    </row>
    <row r="175" spans="1:12" ht="15.75" customHeight="1" x14ac:dyDescent="0.3">
      <c r="A175" s="17" t="s">
        <v>289</v>
      </c>
      <c r="B175" s="50" t="str">
        <f>VLOOKUP(A175,'Sales Order'!A$2:B$1029,1,0)</f>
        <v>SO0051</v>
      </c>
      <c r="C175" s="29" t="s">
        <v>72</v>
      </c>
      <c r="D175" s="50" t="str">
        <f>VLOOKUP(C175,Product!A$2:B$21,1,0)</f>
        <v>PD0016</v>
      </c>
      <c r="E175" s="36">
        <v>77</v>
      </c>
      <c r="F175" s="38">
        <v>18708690</v>
      </c>
      <c r="G175" s="39" t="s">
        <v>2549</v>
      </c>
      <c r="H175" s="12"/>
      <c r="L175" s="12"/>
    </row>
    <row r="176" spans="1:12" ht="15.75" customHeight="1" x14ac:dyDescent="0.3">
      <c r="A176" s="29" t="s">
        <v>289</v>
      </c>
      <c r="B176" s="50" t="str">
        <f>VLOOKUP(A176,'Sales Order'!A$2:B$1029,1,0)</f>
        <v>SO0051</v>
      </c>
      <c r="C176" s="29" t="s">
        <v>52</v>
      </c>
      <c r="D176" s="50" t="str">
        <f>VLOOKUP(C176,Product!A$2:B$21,1,0)</f>
        <v>PD0010</v>
      </c>
      <c r="E176" s="36">
        <v>124</v>
      </c>
      <c r="F176" s="38">
        <v>31434000</v>
      </c>
      <c r="G176" s="39" t="s">
        <v>2550</v>
      </c>
      <c r="H176" s="12"/>
      <c r="L176" s="12"/>
    </row>
    <row r="177" spans="1:12" ht="15.75" customHeight="1" x14ac:dyDescent="0.3">
      <c r="A177" s="29" t="s">
        <v>289</v>
      </c>
      <c r="B177" s="50" t="str">
        <f>VLOOKUP(A177,'Sales Order'!A$2:B$1029,1,0)</f>
        <v>SO0051</v>
      </c>
      <c r="C177" s="29" t="s">
        <v>28</v>
      </c>
      <c r="D177" s="50" t="str">
        <f>VLOOKUP(C177,Product!A$2:B$21,1,0)</f>
        <v>PD0003</v>
      </c>
      <c r="E177" s="36">
        <v>34</v>
      </c>
      <c r="F177" s="38">
        <v>25956280.000000004</v>
      </c>
      <c r="G177" s="39" t="s">
        <v>2551</v>
      </c>
      <c r="H177" s="12"/>
      <c r="L177" s="12"/>
    </row>
    <row r="178" spans="1:12" ht="15.75" customHeight="1" x14ac:dyDescent="0.3">
      <c r="A178" s="29" t="s">
        <v>290</v>
      </c>
      <c r="B178" s="50" t="str">
        <f>VLOOKUP(A178,'Sales Order'!A$2:B$1029,1,0)</f>
        <v>SO0052</v>
      </c>
      <c r="C178" s="29" t="s">
        <v>40</v>
      </c>
      <c r="D178" s="50" t="str">
        <f>VLOOKUP(C178,Product!A$2:B$21,1,0)</f>
        <v>PD0006</v>
      </c>
      <c r="E178" s="36">
        <v>81</v>
      </c>
      <c r="F178" s="38">
        <v>14389650</v>
      </c>
      <c r="G178" s="39" t="s">
        <v>2552</v>
      </c>
      <c r="H178" s="12"/>
      <c r="L178" s="12"/>
    </row>
    <row r="179" spans="1:12" ht="15.75" customHeight="1" x14ac:dyDescent="0.3">
      <c r="A179" s="29" t="s">
        <v>290</v>
      </c>
      <c r="B179" s="50" t="str">
        <f>VLOOKUP(A179,'Sales Order'!A$2:B$1029,1,0)</f>
        <v>SO0052</v>
      </c>
      <c r="C179" s="29" t="s">
        <v>35</v>
      </c>
      <c r="D179" s="50" t="str">
        <f>VLOOKUP(C179,Product!A$2:B$21,1,0)</f>
        <v>PD0005</v>
      </c>
      <c r="E179" s="36">
        <v>116</v>
      </c>
      <c r="F179" s="38">
        <v>229158000</v>
      </c>
      <c r="G179" s="39" t="s">
        <v>2553</v>
      </c>
      <c r="H179" s="12"/>
      <c r="L179" s="12"/>
    </row>
    <row r="180" spans="1:12" ht="15.75" customHeight="1" x14ac:dyDescent="0.3">
      <c r="A180" s="17" t="s">
        <v>291</v>
      </c>
      <c r="B180" s="50" t="str">
        <f>VLOOKUP(A180,'Sales Order'!A$2:B$1029,1,0)</f>
        <v>SO0053</v>
      </c>
      <c r="C180" s="29" t="s">
        <v>19</v>
      </c>
      <c r="D180" s="50" t="str">
        <f>VLOOKUP(C180,Product!A$2:B$21,1,0)</f>
        <v>PD0001</v>
      </c>
      <c r="E180" s="36">
        <v>137</v>
      </c>
      <c r="F180" s="38">
        <v>27290400</v>
      </c>
      <c r="G180" s="39" t="s">
        <v>2554</v>
      </c>
      <c r="H180" s="12"/>
      <c r="L180" s="12"/>
    </row>
    <row r="181" spans="1:12" ht="15.75" customHeight="1" x14ac:dyDescent="0.3">
      <c r="A181" s="29" t="s">
        <v>291</v>
      </c>
      <c r="B181" s="50" t="str">
        <f>VLOOKUP(A181,'Sales Order'!A$2:B$1029,1,0)</f>
        <v>SO0053</v>
      </c>
      <c r="C181" s="29" t="s">
        <v>69</v>
      </c>
      <c r="D181" s="50" t="str">
        <f>VLOOKUP(C181,Product!A$2:B$21,1,0)</f>
        <v>PD0015</v>
      </c>
      <c r="E181" s="36">
        <v>55</v>
      </c>
      <c r="F181" s="38">
        <v>5680620</v>
      </c>
      <c r="G181" s="39" t="s">
        <v>2555</v>
      </c>
      <c r="H181" s="12"/>
      <c r="L181" s="12"/>
    </row>
    <row r="182" spans="1:12" ht="15.75" customHeight="1" x14ac:dyDescent="0.3">
      <c r="A182" s="29" t="s">
        <v>291</v>
      </c>
      <c r="B182" s="50" t="str">
        <f>VLOOKUP(A182,'Sales Order'!A$2:B$1029,1,0)</f>
        <v>SO0053</v>
      </c>
      <c r="C182" s="29" t="s">
        <v>58</v>
      </c>
      <c r="D182" s="50" t="str">
        <f>VLOOKUP(C182,Product!A$2:B$21,1,0)</f>
        <v>PD0012</v>
      </c>
      <c r="E182" s="36">
        <v>85</v>
      </c>
      <c r="F182" s="38">
        <v>431383500</v>
      </c>
      <c r="G182" s="39" t="s">
        <v>2556</v>
      </c>
      <c r="H182" s="12"/>
      <c r="L182" s="12"/>
    </row>
    <row r="183" spans="1:12" ht="15.75" customHeight="1" x14ac:dyDescent="0.3">
      <c r="A183" s="29" t="s">
        <v>292</v>
      </c>
      <c r="B183" s="50" t="str">
        <f>VLOOKUP(A183,'Sales Order'!A$2:B$1029,1,0)</f>
        <v>SO0054</v>
      </c>
      <c r="C183" s="29" t="s">
        <v>43</v>
      </c>
      <c r="D183" s="50" t="str">
        <f>VLOOKUP(C183,Product!A$2:B$21,1,0)</f>
        <v>PD0007</v>
      </c>
      <c r="E183" s="36">
        <v>83</v>
      </c>
      <c r="F183" s="38">
        <v>241696000</v>
      </c>
      <c r="G183" s="39" t="s">
        <v>2557</v>
      </c>
      <c r="H183" s="12"/>
      <c r="L183" s="12"/>
    </row>
    <row r="184" spans="1:12" ht="15.75" customHeight="1" x14ac:dyDescent="0.3">
      <c r="A184" s="17" t="s">
        <v>294</v>
      </c>
      <c r="B184" s="50" t="str">
        <f>VLOOKUP(A184,'Sales Order'!A$2:B$1029,1,0)</f>
        <v>SO0056</v>
      </c>
      <c r="C184" s="29" t="s">
        <v>55</v>
      </c>
      <c r="D184" s="50" t="str">
        <f>VLOOKUP(C184,Product!A$2:B$21,1,0)</f>
        <v>PD0011</v>
      </c>
      <c r="E184" s="36">
        <v>94</v>
      </c>
      <c r="F184" s="38">
        <v>190701560</v>
      </c>
      <c r="G184" s="39" t="s">
        <v>2558</v>
      </c>
      <c r="H184" s="12"/>
      <c r="L184" s="12"/>
    </row>
    <row r="185" spans="1:12" ht="15.75" customHeight="1" x14ac:dyDescent="0.3">
      <c r="A185" s="29" t="s">
        <v>294</v>
      </c>
      <c r="B185" s="50" t="str">
        <f>VLOOKUP(A185,'Sales Order'!A$2:B$1029,1,0)</f>
        <v>SO0056</v>
      </c>
      <c r="C185" s="29" t="s">
        <v>75</v>
      </c>
      <c r="D185" s="50" t="str">
        <f>VLOOKUP(C185,Product!A$2:B$21,1,0)</f>
        <v>PD0017</v>
      </c>
      <c r="E185" s="36">
        <v>33</v>
      </c>
      <c r="F185" s="38">
        <v>71709000</v>
      </c>
      <c r="G185" s="39" t="s">
        <v>2559</v>
      </c>
      <c r="H185" s="12"/>
      <c r="L185" s="12"/>
    </row>
    <row r="186" spans="1:12" ht="15.75" customHeight="1" x14ac:dyDescent="0.3">
      <c r="A186" s="29" t="s">
        <v>294</v>
      </c>
      <c r="B186" s="50" t="str">
        <f>VLOOKUP(A186,'Sales Order'!A$2:B$1029,1,0)</f>
        <v>SO0056</v>
      </c>
      <c r="C186" s="29" t="s">
        <v>43</v>
      </c>
      <c r="D186" s="50" t="str">
        <f>VLOOKUP(C186,Product!A$2:B$21,1,0)</f>
        <v>PD0007</v>
      </c>
      <c r="E186" s="36">
        <v>31</v>
      </c>
      <c r="F186" s="38">
        <v>89280000</v>
      </c>
      <c r="G186" s="39" t="s">
        <v>2560</v>
      </c>
      <c r="H186" s="12"/>
      <c r="L186" s="12"/>
    </row>
    <row r="187" spans="1:12" ht="15.75" customHeight="1" x14ac:dyDescent="0.3">
      <c r="A187" s="29" t="s">
        <v>294</v>
      </c>
      <c r="B187" s="50" t="str">
        <f>VLOOKUP(A187,'Sales Order'!A$2:B$1029,1,0)</f>
        <v>SO0056</v>
      </c>
      <c r="C187" s="29" t="s">
        <v>28</v>
      </c>
      <c r="D187" s="50" t="str">
        <f>VLOOKUP(C187,Product!A$2:B$21,1,0)</f>
        <v>PD0003</v>
      </c>
      <c r="E187" s="36">
        <v>39</v>
      </c>
      <c r="F187" s="38">
        <v>30862650</v>
      </c>
      <c r="G187" s="39" t="s">
        <v>2561</v>
      </c>
      <c r="H187" s="12"/>
      <c r="L187" s="12"/>
    </row>
    <row r="188" spans="1:12" ht="15.75" customHeight="1" x14ac:dyDescent="0.3">
      <c r="A188" s="17" t="s">
        <v>295</v>
      </c>
      <c r="B188" s="50" t="str">
        <f>VLOOKUP(A188,'Sales Order'!A$2:B$1029,1,0)</f>
        <v>SO0057</v>
      </c>
      <c r="C188" s="29" t="s">
        <v>28</v>
      </c>
      <c r="D188" s="50" t="str">
        <f>VLOOKUP(C188,Product!A$2:B$21,1,0)</f>
        <v>PD0003</v>
      </c>
      <c r="E188" s="36">
        <v>80</v>
      </c>
      <c r="F188" s="38">
        <v>61818400</v>
      </c>
      <c r="G188" s="39" t="s">
        <v>2562</v>
      </c>
      <c r="H188" s="12"/>
      <c r="L188" s="12"/>
    </row>
    <row r="189" spans="1:12" ht="15.75" customHeight="1" x14ac:dyDescent="0.3">
      <c r="A189" s="17" t="s">
        <v>296</v>
      </c>
      <c r="B189" s="50" t="str">
        <f>VLOOKUP(A189,'Sales Order'!A$2:B$1029,1,0)</f>
        <v>SO0058</v>
      </c>
      <c r="C189" s="29" t="s">
        <v>40</v>
      </c>
      <c r="D189" s="50" t="str">
        <f>VLOOKUP(C189,Product!A$2:B$21,1,0)</f>
        <v>PD0006</v>
      </c>
      <c r="E189" s="36">
        <v>62</v>
      </c>
      <c r="F189" s="38">
        <v>11014300</v>
      </c>
      <c r="G189" s="39" t="s">
        <v>2563</v>
      </c>
      <c r="H189" s="12"/>
      <c r="L189" s="12"/>
    </row>
    <row r="190" spans="1:12" ht="15.75" customHeight="1" x14ac:dyDescent="0.3">
      <c r="A190" s="29" t="s">
        <v>296</v>
      </c>
      <c r="B190" s="50" t="str">
        <f>VLOOKUP(A190,'Sales Order'!A$2:B$1029,1,0)</f>
        <v>SO0058</v>
      </c>
      <c r="C190" s="29" t="s">
        <v>75</v>
      </c>
      <c r="D190" s="50" t="str">
        <f>VLOOKUP(C190,Product!A$2:B$21,1,0)</f>
        <v>PD0017</v>
      </c>
      <c r="E190" s="36">
        <v>139</v>
      </c>
      <c r="F190" s="38">
        <v>324148000</v>
      </c>
      <c r="G190" s="39" t="s">
        <v>2564</v>
      </c>
      <c r="H190" s="12"/>
      <c r="L190" s="12"/>
    </row>
    <row r="191" spans="1:12" ht="15.75" customHeight="1" x14ac:dyDescent="0.3">
      <c r="A191" s="29" t="s">
        <v>296</v>
      </c>
      <c r="B191" s="50" t="str">
        <f>VLOOKUP(A191,'Sales Order'!A$2:B$1029,1,0)</f>
        <v>SO0058</v>
      </c>
      <c r="C191" s="29" t="s">
        <v>35</v>
      </c>
      <c r="D191" s="50" t="str">
        <f>VLOOKUP(C191,Product!A$2:B$21,1,0)</f>
        <v>PD0005</v>
      </c>
      <c r="E191" s="36">
        <v>149</v>
      </c>
      <c r="F191" s="38">
        <v>310702250</v>
      </c>
      <c r="G191" s="39" t="s">
        <v>2565</v>
      </c>
      <c r="H191" s="12"/>
      <c r="L191" s="12"/>
    </row>
    <row r="192" spans="1:12" ht="15.75" customHeight="1" x14ac:dyDescent="0.3">
      <c r="A192" s="29" t="s">
        <v>296</v>
      </c>
      <c r="B192" s="50" t="str">
        <f>VLOOKUP(A192,'Sales Order'!A$2:B$1029,1,0)</f>
        <v>SO0058</v>
      </c>
      <c r="C192" s="29" t="s">
        <v>81</v>
      </c>
      <c r="D192" s="50" t="str">
        <f>VLOOKUP(C192,Product!A$2:B$21,1,0)</f>
        <v>PD0019</v>
      </c>
      <c r="E192" s="36">
        <v>49</v>
      </c>
      <c r="F192" s="38">
        <v>111161890</v>
      </c>
      <c r="G192" s="39" t="s">
        <v>2566</v>
      </c>
      <c r="H192" s="12"/>
      <c r="L192" s="12"/>
    </row>
    <row r="193" spans="1:12" ht="15.75" customHeight="1" x14ac:dyDescent="0.3">
      <c r="A193" s="17" t="s">
        <v>297</v>
      </c>
      <c r="B193" s="50" t="str">
        <f>VLOOKUP(A193,'Sales Order'!A$2:B$1029,1,0)</f>
        <v>SO0059</v>
      </c>
      <c r="C193" s="29" t="s">
        <v>83</v>
      </c>
      <c r="D193" s="50" t="str">
        <f>VLOOKUP(C193,Product!A$2:B$21,1,0)</f>
        <v>PD0020</v>
      </c>
      <c r="E193" s="36">
        <v>133</v>
      </c>
      <c r="F193" s="38">
        <v>35008260</v>
      </c>
      <c r="G193" s="39" t="s">
        <v>2567</v>
      </c>
      <c r="H193" s="12"/>
      <c r="L193" s="12"/>
    </row>
    <row r="194" spans="1:12" ht="15.75" customHeight="1" x14ac:dyDescent="0.3">
      <c r="A194" s="29" t="s">
        <v>297</v>
      </c>
      <c r="B194" s="50" t="str">
        <f>VLOOKUP(A194,'Sales Order'!A$2:B$1029,1,0)</f>
        <v>SO0059</v>
      </c>
      <c r="C194" s="29" t="s">
        <v>75</v>
      </c>
      <c r="D194" s="50" t="str">
        <f>VLOOKUP(C194,Product!A$2:B$21,1,0)</f>
        <v>PD0017</v>
      </c>
      <c r="E194" s="36">
        <v>138</v>
      </c>
      <c r="F194" s="38">
        <v>277932000</v>
      </c>
      <c r="G194" s="39" t="s">
        <v>2568</v>
      </c>
      <c r="H194" s="12"/>
      <c r="L194" s="12"/>
    </row>
    <row r="195" spans="1:12" ht="15.75" customHeight="1" x14ac:dyDescent="0.3">
      <c r="A195" s="17" t="s">
        <v>298</v>
      </c>
      <c r="B195" s="50" t="str">
        <f>VLOOKUP(A195,'Sales Order'!A$2:B$1029,1,0)</f>
        <v>SO0060</v>
      </c>
      <c r="C195" s="29" t="s">
        <v>55</v>
      </c>
      <c r="D195" s="50" t="str">
        <f>VLOOKUP(C195,Product!A$2:B$21,1,0)</f>
        <v>PD0011</v>
      </c>
      <c r="E195" s="36">
        <v>134</v>
      </c>
      <c r="F195" s="38">
        <v>300300700</v>
      </c>
      <c r="G195" s="39" t="s">
        <v>2569</v>
      </c>
      <c r="H195" s="12"/>
      <c r="L195" s="12"/>
    </row>
    <row r="196" spans="1:12" ht="15.75" customHeight="1" x14ac:dyDescent="0.3">
      <c r="A196" s="29" t="s">
        <v>298</v>
      </c>
      <c r="B196" s="50" t="str">
        <f>VLOOKUP(A196,'Sales Order'!A$2:B$1029,1,0)</f>
        <v>SO0060</v>
      </c>
      <c r="C196" s="29" t="s">
        <v>61</v>
      </c>
      <c r="D196" s="50" t="str">
        <f>VLOOKUP(C196,Product!A$2:B$21,1,0)</f>
        <v>PD0013</v>
      </c>
      <c r="E196" s="36">
        <v>84</v>
      </c>
      <c r="F196" s="38">
        <v>30981720</v>
      </c>
      <c r="G196" s="39" t="s">
        <v>2570</v>
      </c>
      <c r="H196" s="12"/>
      <c r="L196" s="12"/>
    </row>
    <row r="197" spans="1:12" ht="15.75" customHeight="1" x14ac:dyDescent="0.3">
      <c r="A197" s="17" t="s">
        <v>299</v>
      </c>
      <c r="B197" s="50" t="str">
        <f>VLOOKUP(A197,'Sales Order'!A$2:B$1029,1,0)</f>
        <v>SO0061</v>
      </c>
      <c r="C197" s="29" t="s">
        <v>28</v>
      </c>
      <c r="D197" s="50" t="str">
        <f>VLOOKUP(C197,Product!A$2:B$21,1,0)</f>
        <v>PD0003</v>
      </c>
      <c r="E197" s="36">
        <v>61</v>
      </c>
      <c r="F197" s="38">
        <v>45432800</v>
      </c>
      <c r="G197" s="39" t="s">
        <v>2571</v>
      </c>
      <c r="H197" s="12"/>
      <c r="L197" s="12"/>
    </row>
    <row r="198" spans="1:12" ht="15.75" customHeight="1" x14ac:dyDescent="0.3">
      <c r="A198" s="29" t="s">
        <v>299</v>
      </c>
      <c r="B198" s="50" t="str">
        <f>VLOOKUP(A198,'Sales Order'!A$2:B$1029,1,0)</f>
        <v>SO0061</v>
      </c>
      <c r="C198" s="29" t="s">
        <v>78</v>
      </c>
      <c r="D198" s="50" t="str">
        <f>VLOOKUP(C198,Product!A$2:B$21,1,0)</f>
        <v>PD0018</v>
      </c>
      <c r="E198" s="36">
        <v>75</v>
      </c>
      <c r="F198" s="38">
        <v>31521000</v>
      </c>
      <c r="G198" s="39" t="s">
        <v>2572</v>
      </c>
      <c r="H198" s="12"/>
      <c r="L198" s="12"/>
    </row>
    <row r="199" spans="1:12" ht="15.75" customHeight="1" x14ac:dyDescent="0.3">
      <c r="A199" s="29" t="s">
        <v>299</v>
      </c>
      <c r="B199" s="50" t="str">
        <f>VLOOKUP(A199,'Sales Order'!A$2:B$1029,1,0)</f>
        <v>SO0061</v>
      </c>
      <c r="C199" s="29" t="s">
        <v>81</v>
      </c>
      <c r="D199" s="50" t="str">
        <f>VLOOKUP(C199,Product!A$2:B$21,1,0)</f>
        <v>PD0019</v>
      </c>
      <c r="E199" s="36">
        <v>140</v>
      </c>
      <c r="F199" s="38">
        <v>321174000</v>
      </c>
      <c r="G199" s="39" t="s">
        <v>2573</v>
      </c>
      <c r="H199" s="12"/>
      <c r="L199" s="12"/>
    </row>
    <row r="200" spans="1:12" ht="15.75" customHeight="1" x14ac:dyDescent="0.3">
      <c r="A200" s="17" t="s">
        <v>300</v>
      </c>
      <c r="B200" s="50" t="str">
        <f>VLOOKUP(A200,'Sales Order'!A$2:B$1029,1,0)</f>
        <v>SO0062</v>
      </c>
      <c r="C200" s="29" t="s">
        <v>69</v>
      </c>
      <c r="D200" s="50" t="str">
        <f>VLOOKUP(C200,Product!A$2:B$21,1,0)</f>
        <v>PD0015</v>
      </c>
      <c r="E200" s="36">
        <v>118</v>
      </c>
      <c r="F200" s="38">
        <v>13310046</v>
      </c>
      <c r="G200" s="39" t="s">
        <v>2574</v>
      </c>
      <c r="H200" s="12"/>
      <c r="L200" s="12"/>
    </row>
    <row r="201" spans="1:12" ht="15.75" customHeight="1" x14ac:dyDescent="0.3">
      <c r="A201" s="29" t="s">
        <v>300</v>
      </c>
      <c r="B201" s="50" t="str">
        <f>VLOOKUP(A201,'Sales Order'!A$2:B$1029,1,0)</f>
        <v>SO0062</v>
      </c>
      <c r="C201" s="29" t="s">
        <v>75</v>
      </c>
      <c r="D201" s="50" t="str">
        <f>VLOOKUP(C201,Product!A$2:B$21,1,0)</f>
        <v>PD0017</v>
      </c>
      <c r="E201" s="36">
        <v>53</v>
      </c>
      <c r="F201" s="38">
        <v>126405000</v>
      </c>
      <c r="G201" s="39" t="s">
        <v>2575</v>
      </c>
      <c r="H201" s="12"/>
      <c r="L201" s="12"/>
    </row>
    <row r="202" spans="1:12" ht="15.75" customHeight="1" x14ac:dyDescent="0.3">
      <c r="A202" s="29" t="s">
        <v>300</v>
      </c>
      <c r="B202" s="50" t="str">
        <f>VLOOKUP(A202,'Sales Order'!A$2:B$1029,1,0)</f>
        <v>SO0062</v>
      </c>
      <c r="C202" s="29" t="s">
        <v>65</v>
      </c>
      <c r="D202" s="50" t="str">
        <f>VLOOKUP(C202,Product!A$2:B$21,1,0)</f>
        <v>PD0014</v>
      </c>
      <c r="E202" s="36">
        <v>28</v>
      </c>
      <c r="F202" s="38">
        <v>7102200</v>
      </c>
      <c r="G202" s="39" t="s">
        <v>2576</v>
      </c>
      <c r="H202" s="12"/>
      <c r="L202" s="12"/>
    </row>
    <row r="203" spans="1:12" ht="15.75" customHeight="1" x14ac:dyDescent="0.3">
      <c r="A203" s="29" t="s">
        <v>300</v>
      </c>
      <c r="B203" s="50" t="str">
        <f>VLOOKUP(A203,'Sales Order'!A$2:B$1029,1,0)</f>
        <v>SO0062</v>
      </c>
      <c r="C203" s="29" t="s">
        <v>61</v>
      </c>
      <c r="D203" s="50" t="str">
        <f>VLOOKUP(C203,Product!A$2:B$21,1,0)</f>
        <v>PD0013</v>
      </c>
      <c r="E203" s="36">
        <v>27</v>
      </c>
      <c r="F203" s="38">
        <v>10475730</v>
      </c>
      <c r="G203" s="39" t="s">
        <v>2577</v>
      </c>
      <c r="H203" s="12"/>
      <c r="L203" s="12"/>
    </row>
    <row r="204" spans="1:12" ht="15.75" customHeight="1" x14ac:dyDescent="0.3">
      <c r="A204" s="17" t="s">
        <v>302</v>
      </c>
      <c r="B204" s="50" t="str">
        <f>VLOOKUP(A204,'Sales Order'!A$2:B$1029,1,0)</f>
        <v>SO0064</v>
      </c>
      <c r="C204" s="29" t="s">
        <v>58</v>
      </c>
      <c r="D204" s="50" t="str">
        <f>VLOOKUP(C204,Product!A$2:B$21,1,0)</f>
        <v>PD0012</v>
      </c>
      <c r="E204" s="36">
        <v>47</v>
      </c>
      <c r="F204" s="38">
        <v>212026400</v>
      </c>
      <c r="G204" s="39" t="s">
        <v>2578</v>
      </c>
      <c r="H204" s="12"/>
      <c r="L204" s="12"/>
    </row>
    <row r="205" spans="1:12" ht="15.75" customHeight="1" x14ac:dyDescent="0.3">
      <c r="A205" s="29" t="s">
        <v>302</v>
      </c>
      <c r="B205" s="50" t="str">
        <f>VLOOKUP(A205,'Sales Order'!A$2:B$1029,1,0)</f>
        <v>SO0064</v>
      </c>
      <c r="C205" s="29" t="s">
        <v>48</v>
      </c>
      <c r="D205" s="50" t="str">
        <f>VLOOKUP(C205,Product!A$2:B$21,1,0)</f>
        <v>PD0009</v>
      </c>
      <c r="E205" s="36">
        <v>136</v>
      </c>
      <c r="F205" s="38">
        <v>16140480</v>
      </c>
      <c r="G205" s="39" t="s">
        <v>2579</v>
      </c>
      <c r="H205" s="12"/>
      <c r="L205" s="12"/>
    </row>
    <row r="206" spans="1:12" ht="15.75" customHeight="1" x14ac:dyDescent="0.3">
      <c r="A206" s="29" t="s">
        <v>302</v>
      </c>
      <c r="B206" s="50" t="str">
        <f>VLOOKUP(A206,'Sales Order'!A$2:B$1029,1,0)</f>
        <v>SO0064</v>
      </c>
      <c r="C206" s="29" t="s">
        <v>55</v>
      </c>
      <c r="D206" s="50" t="str">
        <f>VLOOKUP(C206,Product!A$2:B$21,1,0)</f>
        <v>PD0011</v>
      </c>
      <c r="E206" s="36">
        <v>90</v>
      </c>
      <c r="F206" s="38">
        <v>186832800</v>
      </c>
      <c r="G206" s="39" t="s">
        <v>2580</v>
      </c>
      <c r="H206" s="12"/>
      <c r="L206" s="12"/>
    </row>
    <row r="207" spans="1:12" ht="15.75" customHeight="1" x14ac:dyDescent="0.3">
      <c r="A207" s="29" t="s">
        <v>302</v>
      </c>
      <c r="B207" s="50" t="str">
        <f>VLOOKUP(A207,'Sales Order'!A$2:B$1029,1,0)</f>
        <v>SO0064</v>
      </c>
      <c r="C207" s="29" t="s">
        <v>75</v>
      </c>
      <c r="D207" s="50" t="str">
        <f>VLOOKUP(C207,Product!A$2:B$21,1,0)</f>
        <v>PD0017</v>
      </c>
      <c r="E207" s="36">
        <v>142</v>
      </c>
      <c r="F207" s="38">
        <v>327381000</v>
      </c>
      <c r="G207" s="39" t="s">
        <v>2581</v>
      </c>
      <c r="H207" s="12"/>
      <c r="L207" s="12"/>
    </row>
    <row r="208" spans="1:12" ht="15.75" customHeight="1" x14ac:dyDescent="0.3">
      <c r="A208" s="29" t="s">
        <v>302</v>
      </c>
      <c r="B208" s="50" t="str">
        <f>VLOOKUP(A208,'Sales Order'!A$2:B$1029,1,0)</f>
        <v>SO0064</v>
      </c>
      <c r="C208" s="29" t="s">
        <v>19</v>
      </c>
      <c r="D208" s="50" t="str">
        <f>VLOOKUP(C208,Product!A$2:B$21,1,0)</f>
        <v>PD0001</v>
      </c>
      <c r="E208" s="36">
        <v>34</v>
      </c>
      <c r="F208" s="38">
        <v>7619400</v>
      </c>
      <c r="G208" s="39" t="s">
        <v>2582</v>
      </c>
      <c r="H208" s="12"/>
      <c r="L208" s="12"/>
    </row>
    <row r="209" spans="1:12" ht="15.75" customHeight="1" x14ac:dyDescent="0.3">
      <c r="A209" s="17" t="s">
        <v>303</v>
      </c>
      <c r="B209" s="50" t="str">
        <f>VLOOKUP(A209,'Sales Order'!A$2:B$1029,1,0)</f>
        <v>SO0065</v>
      </c>
      <c r="C209" s="29" t="s">
        <v>58</v>
      </c>
      <c r="D209" s="50" t="str">
        <f>VLOOKUP(C209,Product!A$2:B$21,1,0)</f>
        <v>PD0012</v>
      </c>
      <c r="E209" s="36">
        <v>132</v>
      </c>
      <c r="F209" s="38">
        <v>595478400</v>
      </c>
      <c r="G209" s="39" t="s">
        <v>2583</v>
      </c>
      <c r="H209" s="12"/>
      <c r="L209" s="12"/>
    </row>
    <row r="210" spans="1:12" ht="15.75" customHeight="1" x14ac:dyDescent="0.3">
      <c r="A210" s="29" t="s">
        <v>303</v>
      </c>
      <c r="B210" s="50" t="str">
        <f>VLOOKUP(A210,'Sales Order'!A$2:B$1029,1,0)</f>
        <v>SO0065</v>
      </c>
      <c r="C210" s="29" t="s">
        <v>81</v>
      </c>
      <c r="D210" s="50" t="str">
        <f>VLOOKUP(C210,Product!A$2:B$21,1,0)</f>
        <v>PD0019</v>
      </c>
      <c r="E210" s="36">
        <v>134</v>
      </c>
      <c r="F210" s="38">
        <v>276668460</v>
      </c>
      <c r="G210" s="39" t="s">
        <v>2584</v>
      </c>
      <c r="H210" s="12"/>
      <c r="L210" s="12"/>
    </row>
    <row r="211" spans="1:12" ht="15.75" customHeight="1" x14ac:dyDescent="0.3">
      <c r="A211" s="29" t="s">
        <v>303</v>
      </c>
      <c r="B211" s="50" t="str">
        <f>VLOOKUP(A211,'Sales Order'!A$2:B$1029,1,0)</f>
        <v>SO0065</v>
      </c>
      <c r="C211" s="29" t="s">
        <v>61</v>
      </c>
      <c r="D211" s="50" t="str">
        <f>VLOOKUP(C211,Product!A$2:B$21,1,0)</f>
        <v>PD0013</v>
      </c>
      <c r="E211" s="36">
        <v>109</v>
      </c>
      <c r="F211" s="38">
        <v>47512010</v>
      </c>
      <c r="G211" s="39" t="s">
        <v>2585</v>
      </c>
      <c r="H211" s="12"/>
      <c r="L211" s="12"/>
    </row>
    <row r="212" spans="1:12" ht="15.75" customHeight="1" x14ac:dyDescent="0.3">
      <c r="A212" s="17" t="s">
        <v>304</v>
      </c>
      <c r="B212" s="50" t="str">
        <f>VLOOKUP(A212,'Sales Order'!A$2:B$1029,1,0)</f>
        <v>SO0066</v>
      </c>
      <c r="C212" s="29" t="s">
        <v>65</v>
      </c>
      <c r="D212" s="50" t="str">
        <f>VLOOKUP(C212,Product!A$2:B$21,1,0)</f>
        <v>PD0014</v>
      </c>
      <c r="E212" s="36">
        <v>125</v>
      </c>
      <c r="F212" s="38">
        <v>30705000</v>
      </c>
      <c r="G212" s="39" t="s">
        <v>2586</v>
      </c>
      <c r="H212" s="12"/>
      <c r="L212" s="12"/>
    </row>
    <row r="213" spans="1:12" ht="15.75" customHeight="1" x14ac:dyDescent="0.3">
      <c r="A213" s="29" t="s">
        <v>304</v>
      </c>
      <c r="B213" s="50" t="str">
        <f>VLOOKUP(A213,'Sales Order'!A$2:B$1029,1,0)</f>
        <v>SO0066</v>
      </c>
      <c r="C213" s="29" t="s">
        <v>58</v>
      </c>
      <c r="D213" s="50" t="str">
        <f>VLOOKUP(C213,Product!A$2:B$21,1,0)</f>
        <v>PD0012</v>
      </c>
      <c r="E213" s="36">
        <v>29</v>
      </c>
      <c r="F213" s="38">
        <v>150448520</v>
      </c>
      <c r="G213" s="39" t="s">
        <v>2587</v>
      </c>
      <c r="H213" s="12"/>
      <c r="L213" s="12"/>
    </row>
    <row r="214" spans="1:12" ht="15.75" customHeight="1" x14ac:dyDescent="0.3">
      <c r="A214" s="17" t="s">
        <v>305</v>
      </c>
      <c r="B214" s="50" t="str">
        <f>VLOOKUP(A214,'Sales Order'!A$2:B$1029,1,0)</f>
        <v>SO0067</v>
      </c>
      <c r="C214" s="29" t="s">
        <v>58</v>
      </c>
      <c r="D214" s="50" t="str">
        <f>VLOOKUP(C214,Product!A$2:B$21,1,0)</f>
        <v>PD0012</v>
      </c>
      <c r="E214" s="36">
        <v>35</v>
      </c>
      <c r="F214" s="38">
        <v>175654850</v>
      </c>
      <c r="G214" s="39" t="s">
        <v>2588</v>
      </c>
      <c r="H214" s="12"/>
      <c r="L214" s="12"/>
    </row>
    <row r="215" spans="1:12" ht="15.75" customHeight="1" x14ac:dyDescent="0.3">
      <c r="A215" s="29" t="s">
        <v>305</v>
      </c>
      <c r="B215" s="50" t="str">
        <f>VLOOKUP(A215,'Sales Order'!A$2:B$1029,1,0)</f>
        <v>SO0067</v>
      </c>
      <c r="C215" s="29" t="s">
        <v>69</v>
      </c>
      <c r="D215" s="50" t="str">
        <f>VLOOKUP(C215,Product!A$2:B$21,1,0)</f>
        <v>PD0015</v>
      </c>
      <c r="E215" s="36">
        <v>106</v>
      </c>
      <c r="F215" s="38">
        <v>12532698</v>
      </c>
      <c r="G215" s="39" t="s">
        <v>2589</v>
      </c>
      <c r="H215" s="12"/>
      <c r="L215" s="12"/>
    </row>
    <row r="216" spans="1:12" ht="15.75" customHeight="1" x14ac:dyDescent="0.3">
      <c r="A216" s="29" t="s">
        <v>305</v>
      </c>
      <c r="B216" s="50" t="str">
        <f>VLOOKUP(A216,'Sales Order'!A$2:B$1029,1,0)</f>
        <v>SO0067</v>
      </c>
      <c r="C216" s="29" t="s">
        <v>43</v>
      </c>
      <c r="D216" s="50" t="str">
        <f>VLOOKUP(C216,Product!A$2:B$21,1,0)</f>
        <v>PD0007</v>
      </c>
      <c r="E216" s="36">
        <v>37</v>
      </c>
      <c r="F216" s="38">
        <v>111296000</v>
      </c>
      <c r="G216" s="39" t="s">
        <v>2590</v>
      </c>
      <c r="H216" s="12"/>
      <c r="L216" s="12"/>
    </row>
    <row r="217" spans="1:12" ht="15.75" customHeight="1" x14ac:dyDescent="0.3">
      <c r="A217" s="17" t="s">
        <v>306</v>
      </c>
      <c r="B217" s="50" t="str">
        <f>VLOOKUP(A217,'Sales Order'!A$2:B$1029,1,0)</f>
        <v>SO0068</v>
      </c>
      <c r="C217" s="29" t="s">
        <v>65</v>
      </c>
      <c r="D217" s="50" t="str">
        <f>VLOOKUP(C217,Product!A$2:B$21,1,0)</f>
        <v>PD0014</v>
      </c>
      <c r="E217" s="36">
        <v>72</v>
      </c>
      <c r="F217" s="38">
        <v>16917120</v>
      </c>
      <c r="G217" s="39" t="s">
        <v>2591</v>
      </c>
      <c r="H217" s="12"/>
      <c r="L217" s="12"/>
    </row>
    <row r="218" spans="1:12" ht="15.75" customHeight="1" x14ac:dyDescent="0.3">
      <c r="A218" s="29" t="s">
        <v>306</v>
      </c>
      <c r="B218" s="50" t="str">
        <f>VLOOKUP(A218,'Sales Order'!A$2:B$1029,1,0)</f>
        <v>SO0068</v>
      </c>
      <c r="C218" s="29" t="s">
        <v>69</v>
      </c>
      <c r="D218" s="50" t="str">
        <f>VLOOKUP(C218,Product!A$2:B$21,1,0)</f>
        <v>PD0015</v>
      </c>
      <c r="E218" s="36">
        <v>62</v>
      </c>
      <c r="F218" s="38">
        <v>6993414</v>
      </c>
      <c r="G218" s="39" t="s">
        <v>2592</v>
      </c>
      <c r="H218" s="12"/>
      <c r="L218" s="12"/>
    </row>
    <row r="219" spans="1:12" ht="15.75" customHeight="1" x14ac:dyDescent="0.3">
      <c r="A219" s="17" t="s">
        <v>307</v>
      </c>
      <c r="B219" s="50" t="str">
        <f>VLOOKUP(A219,'Sales Order'!A$2:B$1029,1,0)</f>
        <v>SO0069</v>
      </c>
      <c r="C219" s="29" t="s">
        <v>78</v>
      </c>
      <c r="D219" s="50" t="str">
        <f>VLOOKUP(C219,Product!A$2:B$21,1,0)</f>
        <v>PD0018</v>
      </c>
      <c r="E219" s="36">
        <v>132</v>
      </c>
      <c r="F219" s="38">
        <v>63903840</v>
      </c>
      <c r="G219" s="39" t="s">
        <v>2593</v>
      </c>
      <c r="H219" s="12"/>
      <c r="L219" s="12"/>
    </row>
    <row r="220" spans="1:12" ht="15.75" customHeight="1" x14ac:dyDescent="0.3">
      <c r="A220" s="29" t="s">
        <v>307</v>
      </c>
      <c r="B220" s="50" t="str">
        <f>VLOOKUP(A220,'Sales Order'!A$2:B$1029,1,0)</f>
        <v>SO0069</v>
      </c>
      <c r="C220" s="29" t="s">
        <v>75</v>
      </c>
      <c r="D220" s="50" t="str">
        <f>VLOOKUP(C220,Product!A$2:B$21,1,0)</f>
        <v>PD0017</v>
      </c>
      <c r="E220" s="36">
        <v>120</v>
      </c>
      <c r="F220" s="38">
        <v>279840000</v>
      </c>
      <c r="G220" s="39" t="s">
        <v>2594</v>
      </c>
      <c r="H220" s="12"/>
      <c r="L220" s="12"/>
    </row>
    <row r="221" spans="1:12" ht="15.75" customHeight="1" x14ac:dyDescent="0.3">
      <c r="A221" s="29" t="s">
        <v>307</v>
      </c>
      <c r="B221" s="50" t="str">
        <f>VLOOKUP(A221,'Sales Order'!A$2:B$1029,1,0)</f>
        <v>SO0069</v>
      </c>
      <c r="C221" s="29" t="s">
        <v>19</v>
      </c>
      <c r="D221" s="50" t="str">
        <f>VLOOKUP(C221,Product!A$2:B$21,1,0)</f>
        <v>PD0001</v>
      </c>
      <c r="E221" s="36">
        <v>133</v>
      </c>
      <c r="F221" s="38">
        <v>29474130</v>
      </c>
      <c r="G221" s="39" t="s">
        <v>2595</v>
      </c>
      <c r="H221" s="12"/>
      <c r="L221" s="12"/>
    </row>
    <row r="222" spans="1:12" ht="15.75" customHeight="1" x14ac:dyDescent="0.3">
      <c r="A222" s="17" t="s">
        <v>308</v>
      </c>
      <c r="B222" s="50" t="str">
        <f>VLOOKUP(A222,'Sales Order'!A$2:B$1029,1,0)</f>
        <v>SO0070</v>
      </c>
      <c r="C222" s="29" t="s">
        <v>69</v>
      </c>
      <c r="D222" s="50" t="str">
        <f>VLOOKUP(C222,Product!A$2:B$21,1,0)</f>
        <v>PD0015</v>
      </c>
      <c r="E222" s="36">
        <v>99</v>
      </c>
      <c r="F222" s="38">
        <v>10897821</v>
      </c>
      <c r="G222" s="39" t="s">
        <v>2596</v>
      </c>
      <c r="H222" s="12"/>
      <c r="L222" s="12"/>
    </row>
    <row r="223" spans="1:12" ht="15.75" customHeight="1" x14ac:dyDescent="0.3">
      <c r="A223" s="29" t="s">
        <v>308</v>
      </c>
      <c r="B223" s="50" t="str">
        <f>VLOOKUP(A223,'Sales Order'!A$2:B$1029,1,0)</f>
        <v>SO0070</v>
      </c>
      <c r="C223" s="29" t="s">
        <v>72</v>
      </c>
      <c r="D223" s="50" t="str">
        <f>VLOOKUP(C223,Product!A$2:B$21,1,0)</f>
        <v>PD0016</v>
      </c>
      <c r="E223" s="36">
        <v>110</v>
      </c>
      <c r="F223" s="38">
        <v>22027500</v>
      </c>
      <c r="G223" s="39" t="s">
        <v>2597</v>
      </c>
      <c r="H223" s="12"/>
      <c r="L223" s="12"/>
    </row>
    <row r="224" spans="1:12" ht="15.75" customHeight="1" x14ac:dyDescent="0.3">
      <c r="A224" s="29" t="s">
        <v>308</v>
      </c>
      <c r="B224" s="50" t="str">
        <f>VLOOKUP(A224,'Sales Order'!A$2:B$1029,1,0)</f>
        <v>SO0070</v>
      </c>
      <c r="C224" s="29" t="s">
        <v>35</v>
      </c>
      <c r="D224" s="50" t="str">
        <f>VLOOKUP(C224,Product!A$2:B$21,1,0)</f>
        <v>PD0005</v>
      </c>
      <c r="E224" s="36">
        <v>102</v>
      </c>
      <c r="F224" s="38">
        <v>183589800</v>
      </c>
      <c r="G224" s="39" t="s">
        <v>2598</v>
      </c>
      <c r="H224" s="12"/>
      <c r="L224" s="12"/>
    </row>
    <row r="225" spans="1:12" ht="15.75" customHeight="1" x14ac:dyDescent="0.3">
      <c r="A225" s="29" t="s">
        <v>308</v>
      </c>
      <c r="B225" s="50" t="str">
        <f>VLOOKUP(A225,'Sales Order'!A$2:B$1029,1,0)</f>
        <v>SO0070</v>
      </c>
      <c r="C225" s="29" t="s">
        <v>58</v>
      </c>
      <c r="D225" s="50" t="str">
        <f>VLOOKUP(C225,Product!A$2:B$21,1,0)</f>
        <v>PD0012</v>
      </c>
      <c r="E225" s="36">
        <v>70</v>
      </c>
      <c r="F225" s="38">
        <v>343415100</v>
      </c>
      <c r="G225" s="39" t="s">
        <v>2599</v>
      </c>
      <c r="H225" s="12"/>
      <c r="L225" s="12"/>
    </row>
    <row r="226" spans="1:12" ht="15.75" customHeight="1" x14ac:dyDescent="0.3">
      <c r="A226" s="17" t="s">
        <v>309</v>
      </c>
      <c r="B226" s="50" t="str">
        <f>VLOOKUP(A226,'Sales Order'!A$2:B$1029,1,0)</f>
        <v>SO0071</v>
      </c>
      <c r="C226" s="29" t="s">
        <v>83</v>
      </c>
      <c r="D226" s="50" t="str">
        <f>VLOOKUP(C226,Product!A$2:B$21,1,0)</f>
        <v>PD0020</v>
      </c>
      <c r="E226" s="36">
        <v>109</v>
      </c>
      <c r="F226" s="38">
        <v>27991200</v>
      </c>
      <c r="G226" s="39" t="s">
        <v>2600</v>
      </c>
      <c r="H226" s="12"/>
      <c r="L226" s="12"/>
    </row>
    <row r="227" spans="1:12" ht="15.75" customHeight="1" x14ac:dyDescent="0.3">
      <c r="A227" s="29" t="s">
        <v>309</v>
      </c>
      <c r="B227" s="50" t="str">
        <f>VLOOKUP(A227,'Sales Order'!A$2:B$1029,1,0)</f>
        <v>SO0071</v>
      </c>
      <c r="C227" s="29" t="s">
        <v>55</v>
      </c>
      <c r="D227" s="50" t="str">
        <f>VLOOKUP(C227,Product!A$2:B$21,1,0)</f>
        <v>PD0011</v>
      </c>
      <c r="E227" s="36">
        <v>111</v>
      </c>
      <c r="F227" s="38">
        <v>219953160</v>
      </c>
      <c r="G227" s="39" t="s">
        <v>2601</v>
      </c>
      <c r="H227" s="12"/>
      <c r="L227" s="12"/>
    </row>
    <row r="228" spans="1:12" ht="15.75" customHeight="1" x14ac:dyDescent="0.3">
      <c r="A228" s="17" t="s">
        <v>310</v>
      </c>
      <c r="B228" s="50" t="str">
        <f>VLOOKUP(A228,'Sales Order'!A$2:B$1029,1,0)</f>
        <v>SO0072</v>
      </c>
      <c r="C228" s="29" t="s">
        <v>35</v>
      </c>
      <c r="D228" s="50" t="str">
        <f>VLOOKUP(C228,Product!A$2:B$21,1,0)</f>
        <v>PD0005</v>
      </c>
      <c r="E228" s="36">
        <v>82</v>
      </c>
      <c r="F228" s="38">
        <v>149391700</v>
      </c>
      <c r="G228" s="39" t="s">
        <v>2602</v>
      </c>
      <c r="H228" s="12"/>
      <c r="L228" s="12"/>
    </row>
    <row r="229" spans="1:12" ht="15.75" customHeight="1" x14ac:dyDescent="0.3">
      <c r="A229" s="29" t="s">
        <v>310</v>
      </c>
      <c r="B229" s="50" t="str">
        <f>VLOOKUP(A229,'Sales Order'!A$2:B$1029,1,0)</f>
        <v>SO0072</v>
      </c>
      <c r="C229" s="29" t="s">
        <v>78</v>
      </c>
      <c r="D229" s="50" t="str">
        <f>VLOOKUP(C229,Product!A$2:B$21,1,0)</f>
        <v>PD0018</v>
      </c>
      <c r="E229" s="36">
        <v>144</v>
      </c>
      <c r="F229" s="38">
        <v>70479360</v>
      </c>
      <c r="G229" s="39" t="s">
        <v>2603</v>
      </c>
      <c r="H229" s="12"/>
      <c r="L229" s="12"/>
    </row>
    <row r="230" spans="1:12" ht="15.75" customHeight="1" x14ac:dyDescent="0.3">
      <c r="A230" s="29" t="s">
        <v>310</v>
      </c>
      <c r="B230" s="50" t="str">
        <f>VLOOKUP(A230,'Sales Order'!A$2:B$1029,1,0)</f>
        <v>SO0072</v>
      </c>
      <c r="C230" s="29" t="s">
        <v>43</v>
      </c>
      <c r="D230" s="50" t="str">
        <f>VLOOKUP(C230,Product!A$2:B$21,1,0)</f>
        <v>PD0007</v>
      </c>
      <c r="E230" s="36">
        <v>73</v>
      </c>
      <c r="F230" s="38">
        <v>196224000</v>
      </c>
      <c r="G230" s="39" t="s">
        <v>2604</v>
      </c>
      <c r="H230" s="12"/>
      <c r="L230" s="12"/>
    </row>
    <row r="231" spans="1:12" ht="15.75" customHeight="1" x14ac:dyDescent="0.3">
      <c r="A231" s="29" t="s">
        <v>310</v>
      </c>
      <c r="B231" s="50" t="str">
        <f>VLOOKUP(A231,'Sales Order'!A$2:B$1029,1,0)</f>
        <v>SO0072</v>
      </c>
      <c r="C231" s="29" t="s">
        <v>81</v>
      </c>
      <c r="D231" s="50" t="str">
        <f>VLOOKUP(C231,Product!A$2:B$21,1,0)</f>
        <v>PD0019</v>
      </c>
      <c r="E231" s="36">
        <v>35</v>
      </c>
      <c r="F231" s="38">
        <v>78509200</v>
      </c>
      <c r="G231" s="39" t="s">
        <v>2605</v>
      </c>
      <c r="H231" s="12"/>
      <c r="L231" s="12"/>
    </row>
    <row r="232" spans="1:12" ht="15.75" customHeight="1" x14ac:dyDescent="0.3">
      <c r="A232" s="17" t="s">
        <v>311</v>
      </c>
      <c r="B232" s="50" t="str">
        <f>VLOOKUP(A232,'Sales Order'!A$2:B$1029,1,0)</f>
        <v>SO0073</v>
      </c>
      <c r="C232" s="29" t="s">
        <v>43</v>
      </c>
      <c r="D232" s="50" t="str">
        <f>VLOOKUP(C232,Product!A$2:B$21,1,0)</f>
        <v>PD0007</v>
      </c>
      <c r="E232" s="36">
        <v>34</v>
      </c>
      <c r="F232" s="38">
        <v>100096000</v>
      </c>
      <c r="G232" s="39" t="s">
        <v>2606</v>
      </c>
      <c r="H232" s="12"/>
      <c r="L232" s="12"/>
    </row>
    <row r="233" spans="1:12" ht="15.75" customHeight="1" x14ac:dyDescent="0.3">
      <c r="A233" s="29" t="s">
        <v>311</v>
      </c>
      <c r="B233" s="50" t="str">
        <f>VLOOKUP(A233,'Sales Order'!A$2:B$1029,1,0)</f>
        <v>SO0073</v>
      </c>
      <c r="C233" s="29" t="s">
        <v>55</v>
      </c>
      <c r="D233" s="50" t="str">
        <f>VLOOKUP(C233,Product!A$2:B$21,1,0)</f>
        <v>PD0011</v>
      </c>
      <c r="E233" s="36">
        <v>132</v>
      </c>
      <c r="F233" s="38">
        <v>236654880</v>
      </c>
      <c r="G233" s="39" t="s">
        <v>2607</v>
      </c>
      <c r="H233" s="12"/>
      <c r="L233" s="12"/>
    </row>
    <row r="234" spans="1:12" ht="15.75" customHeight="1" x14ac:dyDescent="0.3">
      <c r="A234" s="29" t="s">
        <v>311</v>
      </c>
      <c r="B234" s="50" t="str">
        <f>VLOOKUP(A234,'Sales Order'!A$2:B$1029,1,0)</f>
        <v>SO0073</v>
      </c>
      <c r="C234" s="29" t="s">
        <v>75</v>
      </c>
      <c r="D234" s="50" t="str">
        <f>VLOOKUP(C234,Product!A$2:B$21,1,0)</f>
        <v>PD0017</v>
      </c>
      <c r="E234" s="36">
        <v>84</v>
      </c>
      <c r="F234" s="38">
        <v>189210000</v>
      </c>
      <c r="G234" s="39" t="s">
        <v>2608</v>
      </c>
      <c r="H234" s="12"/>
      <c r="L234" s="12"/>
    </row>
    <row r="235" spans="1:12" ht="15.75" customHeight="1" x14ac:dyDescent="0.3">
      <c r="A235" s="29" t="s">
        <v>311</v>
      </c>
      <c r="B235" s="50" t="str">
        <f>VLOOKUP(A235,'Sales Order'!A$2:B$1029,1,0)</f>
        <v>SO0073</v>
      </c>
      <c r="C235" s="29" t="s">
        <v>40</v>
      </c>
      <c r="D235" s="50" t="str">
        <f>VLOOKUP(C235,Product!A$2:B$21,1,0)</f>
        <v>PD0006</v>
      </c>
      <c r="E235" s="36">
        <v>108</v>
      </c>
      <c r="F235" s="38">
        <v>19186200</v>
      </c>
      <c r="G235" s="39" t="s">
        <v>2609</v>
      </c>
      <c r="H235" s="12"/>
      <c r="L235" s="12"/>
    </row>
    <row r="236" spans="1:12" ht="15.75" customHeight="1" x14ac:dyDescent="0.3">
      <c r="A236" s="17" t="s">
        <v>312</v>
      </c>
      <c r="B236" s="50" t="str">
        <f>VLOOKUP(A236,'Sales Order'!A$2:B$1029,1,0)</f>
        <v>SO0074</v>
      </c>
      <c r="C236" s="29" t="s">
        <v>43</v>
      </c>
      <c r="D236" s="50" t="str">
        <f>VLOOKUP(C236,Product!A$2:B$21,1,0)</f>
        <v>PD0007</v>
      </c>
      <c r="E236" s="36">
        <v>86</v>
      </c>
      <c r="F236" s="38">
        <v>255935999.99999997</v>
      </c>
      <c r="G236" s="39" t="s">
        <v>2610</v>
      </c>
      <c r="H236" s="12"/>
      <c r="L236" s="12"/>
    </row>
    <row r="237" spans="1:12" ht="15.75" customHeight="1" x14ac:dyDescent="0.3">
      <c r="A237" s="29" t="s">
        <v>312</v>
      </c>
      <c r="B237" s="50" t="str">
        <f>VLOOKUP(A237,'Sales Order'!A$2:B$1029,1,0)</f>
        <v>SO0074</v>
      </c>
      <c r="C237" s="29" t="s">
        <v>40</v>
      </c>
      <c r="D237" s="50" t="str">
        <f>VLOOKUP(C237,Product!A$2:B$21,1,0)</f>
        <v>PD0006</v>
      </c>
      <c r="E237" s="36">
        <v>79</v>
      </c>
      <c r="F237" s="38">
        <v>14694790</v>
      </c>
      <c r="G237" s="39" t="s">
        <v>2611</v>
      </c>
      <c r="H237" s="12"/>
      <c r="L237" s="12"/>
    </row>
    <row r="238" spans="1:12" ht="15.75" customHeight="1" x14ac:dyDescent="0.3">
      <c r="A238" s="17" t="s">
        <v>313</v>
      </c>
      <c r="B238" s="50" t="str">
        <f>VLOOKUP(A238,'Sales Order'!A$2:B$1029,1,0)</f>
        <v>SO0075</v>
      </c>
      <c r="C238" s="29" t="s">
        <v>40</v>
      </c>
      <c r="D238" s="50" t="str">
        <f>VLOOKUP(C238,Product!A$2:B$21,1,0)</f>
        <v>PD0006</v>
      </c>
      <c r="E238" s="36">
        <v>47</v>
      </c>
      <c r="F238" s="38">
        <v>8054860.0000000009</v>
      </c>
      <c r="G238" s="39" t="s">
        <v>2612</v>
      </c>
      <c r="H238" s="12"/>
      <c r="L238" s="12"/>
    </row>
    <row r="239" spans="1:12" ht="15.75" customHeight="1" x14ac:dyDescent="0.3">
      <c r="A239" s="29" t="s">
        <v>313</v>
      </c>
      <c r="B239" s="50" t="str">
        <f>VLOOKUP(A239,'Sales Order'!A$2:B$1029,1,0)</f>
        <v>SO0075</v>
      </c>
      <c r="C239" s="29" t="s">
        <v>35</v>
      </c>
      <c r="D239" s="50" t="str">
        <f>VLOOKUP(C239,Product!A$2:B$21,1,0)</f>
        <v>PD0005</v>
      </c>
      <c r="E239" s="36">
        <v>147</v>
      </c>
      <c r="F239" s="38">
        <v>293625150</v>
      </c>
      <c r="G239" s="39" t="s">
        <v>2613</v>
      </c>
      <c r="H239" s="12"/>
      <c r="L239" s="12"/>
    </row>
    <row r="240" spans="1:12" ht="15.75" customHeight="1" x14ac:dyDescent="0.3">
      <c r="A240" s="29" t="s">
        <v>313</v>
      </c>
      <c r="B240" s="50" t="str">
        <f>VLOOKUP(A240,'Sales Order'!A$2:B$1029,1,0)</f>
        <v>SO0075</v>
      </c>
      <c r="C240" s="29" t="s">
        <v>48</v>
      </c>
      <c r="D240" s="50" t="str">
        <f>VLOOKUP(C240,Product!A$2:B$21,1,0)</f>
        <v>PD0009</v>
      </c>
      <c r="E240" s="36">
        <v>114</v>
      </c>
      <c r="F240" s="38">
        <v>12058920</v>
      </c>
      <c r="G240" s="39" t="s">
        <v>2614</v>
      </c>
      <c r="H240" s="12"/>
      <c r="L240" s="12"/>
    </row>
    <row r="241" spans="1:12" ht="15.75" customHeight="1" x14ac:dyDescent="0.3">
      <c r="A241" s="29" t="s">
        <v>313</v>
      </c>
      <c r="B241" s="50" t="str">
        <f>VLOOKUP(A241,'Sales Order'!A$2:B$1029,1,0)</f>
        <v>SO0075</v>
      </c>
      <c r="C241" s="29" t="s">
        <v>28</v>
      </c>
      <c r="D241" s="50" t="str">
        <f>VLOOKUP(C241,Product!A$2:B$21,1,0)</f>
        <v>PD0003</v>
      </c>
      <c r="E241" s="36">
        <v>72</v>
      </c>
      <c r="F241" s="38">
        <v>63010080</v>
      </c>
      <c r="G241" s="39" t="s">
        <v>2615</v>
      </c>
      <c r="H241" s="12"/>
      <c r="L241" s="12"/>
    </row>
    <row r="242" spans="1:12" ht="15.75" customHeight="1" x14ac:dyDescent="0.3">
      <c r="A242" s="29" t="s">
        <v>313</v>
      </c>
      <c r="B242" s="50" t="str">
        <f>VLOOKUP(A242,'Sales Order'!A$2:B$1029,1,0)</f>
        <v>SO0075</v>
      </c>
      <c r="C242" s="29" t="s">
        <v>25</v>
      </c>
      <c r="D242" s="50" t="str">
        <f>VLOOKUP(C242,Product!A$2:B$21,1,0)</f>
        <v>PD0002</v>
      </c>
      <c r="E242" s="36">
        <v>68</v>
      </c>
      <c r="F242" s="38">
        <v>1210400</v>
      </c>
      <c r="G242" s="39" t="s">
        <v>2616</v>
      </c>
      <c r="H242" s="12"/>
      <c r="L242" s="12"/>
    </row>
    <row r="243" spans="1:12" ht="15.75" customHeight="1" x14ac:dyDescent="0.3">
      <c r="A243" s="17" t="s">
        <v>314</v>
      </c>
      <c r="B243" s="50" t="str">
        <f>VLOOKUP(A243,'Sales Order'!A$2:B$1029,1,0)</f>
        <v>SO0076</v>
      </c>
      <c r="C243" s="29" t="s">
        <v>75</v>
      </c>
      <c r="D243" s="50" t="str">
        <f>VLOOKUP(C243,Product!A$2:B$21,1,0)</f>
        <v>PD0017</v>
      </c>
      <c r="E243" s="36">
        <v>106</v>
      </c>
      <c r="F243" s="38">
        <v>266855000</v>
      </c>
      <c r="G243" s="39" t="s">
        <v>2617</v>
      </c>
      <c r="H243" s="12"/>
      <c r="L243" s="12"/>
    </row>
    <row r="244" spans="1:12" ht="15.75" customHeight="1" x14ac:dyDescent="0.3">
      <c r="A244" s="29" t="s">
        <v>314</v>
      </c>
      <c r="B244" s="50" t="str">
        <f>VLOOKUP(A244,'Sales Order'!A$2:B$1029,1,0)</f>
        <v>SO0076</v>
      </c>
      <c r="C244" s="29" t="s">
        <v>58</v>
      </c>
      <c r="D244" s="50" t="str">
        <f>VLOOKUP(C244,Product!A$2:B$21,1,0)</f>
        <v>PD0012</v>
      </c>
      <c r="E244" s="36">
        <v>71</v>
      </c>
      <c r="F244" s="38">
        <v>308284130</v>
      </c>
      <c r="G244" s="39" t="s">
        <v>2618</v>
      </c>
      <c r="H244" s="12"/>
      <c r="L244" s="12"/>
    </row>
    <row r="245" spans="1:12" ht="15.75" customHeight="1" x14ac:dyDescent="0.3">
      <c r="A245" s="29" t="s">
        <v>314</v>
      </c>
      <c r="B245" s="50" t="str">
        <f>VLOOKUP(A245,'Sales Order'!A$2:B$1029,1,0)</f>
        <v>SO0076</v>
      </c>
      <c r="C245" s="29" t="s">
        <v>61</v>
      </c>
      <c r="D245" s="50" t="str">
        <f>VLOOKUP(C245,Product!A$2:B$21,1,0)</f>
        <v>PD0013</v>
      </c>
      <c r="E245" s="36">
        <v>27</v>
      </c>
      <c r="F245" s="38">
        <v>11769030</v>
      </c>
      <c r="G245" s="39" t="s">
        <v>2619</v>
      </c>
      <c r="H245" s="12"/>
      <c r="L245" s="12"/>
    </row>
    <row r="246" spans="1:12" ht="15.75" customHeight="1" x14ac:dyDescent="0.3">
      <c r="A246" s="29" t="s">
        <v>314</v>
      </c>
      <c r="B246" s="50" t="str">
        <f>VLOOKUP(A246,'Sales Order'!A$2:B$1029,1,0)</f>
        <v>SO0076</v>
      </c>
      <c r="C246" s="29" t="s">
        <v>55</v>
      </c>
      <c r="D246" s="50" t="str">
        <f>VLOOKUP(C246,Product!A$2:B$21,1,0)</f>
        <v>PD0011</v>
      </c>
      <c r="E246" s="36">
        <v>132</v>
      </c>
      <c r="F246" s="38">
        <v>289590840</v>
      </c>
      <c r="G246" s="39" t="s">
        <v>2620</v>
      </c>
      <c r="H246" s="12"/>
      <c r="L246" s="12"/>
    </row>
    <row r="247" spans="1:12" ht="15.75" customHeight="1" x14ac:dyDescent="0.3">
      <c r="A247" s="17" t="s">
        <v>315</v>
      </c>
      <c r="B247" s="50" t="str">
        <f>VLOOKUP(A247,'Sales Order'!A$2:B$1029,1,0)</f>
        <v>SO0077</v>
      </c>
      <c r="C247" s="29" t="s">
        <v>65</v>
      </c>
      <c r="D247" s="50" t="str">
        <f>VLOOKUP(C247,Product!A$2:B$21,1,0)</f>
        <v>PD0014</v>
      </c>
      <c r="E247" s="36">
        <v>46</v>
      </c>
      <c r="F247" s="38">
        <v>9457140</v>
      </c>
      <c r="G247" s="39" t="s">
        <v>2621</v>
      </c>
      <c r="H247" s="12"/>
      <c r="L247" s="12"/>
    </row>
    <row r="248" spans="1:12" ht="15.75" customHeight="1" x14ac:dyDescent="0.3">
      <c r="A248" s="29" t="s">
        <v>315</v>
      </c>
      <c r="B248" s="50" t="str">
        <f>VLOOKUP(A248,'Sales Order'!A$2:B$1029,1,0)</f>
        <v>SO0077</v>
      </c>
      <c r="C248" s="29" t="s">
        <v>61</v>
      </c>
      <c r="D248" s="50" t="str">
        <f>VLOOKUP(C248,Product!A$2:B$21,1,0)</f>
        <v>PD0013</v>
      </c>
      <c r="E248" s="36">
        <v>144</v>
      </c>
      <c r="F248" s="38">
        <v>53111520</v>
      </c>
      <c r="G248" s="39" t="s">
        <v>2622</v>
      </c>
      <c r="H248" s="12"/>
      <c r="L248" s="12"/>
    </row>
    <row r="249" spans="1:12" ht="15.75" customHeight="1" x14ac:dyDescent="0.3">
      <c r="A249" s="29" t="s">
        <v>315</v>
      </c>
      <c r="B249" s="50" t="str">
        <f>VLOOKUP(A249,'Sales Order'!A$2:B$1029,1,0)</f>
        <v>SO0077</v>
      </c>
      <c r="C249" s="29" t="s">
        <v>35</v>
      </c>
      <c r="D249" s="50" t="str">
        <f>VLOOKUP(C249,Product!A$2:B$21,1,0)</f>
        <v>PD0005</v>
      </c>
      <c r="E249" s="36">
        <v>34</v>
      </c>
      <c r="F249" s="38">
        <v>69405900</v>
      </c>
      <c r="G249" s="39" t="s">
        <v>2623</v>
      </c>
      <c r="H249" s="12"/>
      <c r="L249" s="12"/>
    </row>
    <row r="250" spans="1:12" ht="15.75" customHeight="1" x14ac:dyDescent="0.3">
      <c r="A250" s="17" t="s">
        <v>316</v>
      </c>
      <c r="B250" s="50" t="str">
        <f>VLOOKUP(A250,'Sales Order'!A$2:B$1029,1,0)</f>
        <v>SO0078</v>
      </c>
      <c r="C250" s="29" t="s">
        <v>61</v>
      </c>
      <c r="D250" s="50" t="str">
        <f>VLOOKUP(C250,Product!A$2:B$21,1,0)</f>
        <v>PD0013</v>
      </c>
      <c r="E250" s="36">
        <v>125</v>
      </c>
      <c r="F250" s="38">
        <v>51492500</v>
      </c>
      <c r="G250" s="39" t="s">
        <v>2624</v>
      </c>
      <c r="H250" s="12"/>
      <c r="L250" s="12"/>
    </row>
    <row r="251" spans="1:12" ht="15.75" customHeight="1" x14ac:dyDescent="0.3">
      <c r="A251" s="29" t="s">
        <v>316</v>
      </c>
      <c r="B251" s="50" t="str">
        <f>VLOOKUP(A251,'Sales Order'!A$2:B$1029,1,0)</f>
        <v>SO0078</v>
      </c>
      <c r="C251" s="29" t="s">
        <v>58</v>
      </c>
      <c r="D251" s="50" t="str">
        <f>VLOOKUP(C251,Product!A$2:B$21,1,0)</f>
        <v>PD0012</v>
      </c>
      <c r="E251" s="36">
        <v>81</v>
      </c>
      <c r="F251" s="38">
        <v>411083100</v>
      </c>
      <c r="G251" s="39" t="s">
        <v>2625</v>
      </c>
      <c r="H251" s="12"/>
      <c r="L251" s="12"/>
    </row>
    <row r="252" spans="1:12" ht="15.75" customHeight="1" x14ac:dyDescent="0.3">
      <c r="A252" s="29" t="s">
        <v>316</v>
      </c>
      <c r="B252" s="50" t="str">
        <f>VLOOKUP(A252,'Sales Order'!A$2:B$1029,1,0)</f>
        <v>SO0078</v>
      </c>
      <c r="C252" s="29" t="s">
        <v>81</v>
      </c>
      <c r="D252" s="50" t="str">
        <f>VLOOKUP(C252,Product!A$2:B$21,1,0)</f>
        <v>PD0019</v>
      </c>
      <c r="E252" s="36">
        <v>135</v>
      </c>
      <c r="F252" s="38">
        <v>302821200</v>
      </c>
      <c r="G252" s="39" t="s">
        <v>2626</v>
      </c>
      <c r="H252" s="12"/>
      <c r="L252" s="12"/>
    </row>
    <row r="253" spans="1:12" ht="15.75" customHeight="1" x14ac:dyDescent="0.3">
      <c r="A253" s="17" t="s">
        <v>317</v>
      </c>
      <c r="B253" s="50" t="str">
        <f>VLOOKUP(A253,'Sales Order'!A$2:B$1029,1,0)</f>
        <v>SO0079</v>
      </c>
      <c r="C253" s="29" t="s">
        <v>75</v>
      </c>
      <c r="D253" s="50" t="str">
        <f>VLOOKUP(C253,Product!A$2:B$21,1,0)</f>
        <v>PD0017</v>
      </c>
      <c r="E253" s="36">
        <v>139</v>
      </c>
      <c r="F253" s="38">
        <v>316781000</v>
      </c>
      <c r="G253" s="39" t="s">
        <v>2627</v>
      </c>
      <c r="H253" s="12"/>
      <c r="L253" s="12"/>
    </row>
    <row r="254" spans="1:12" ht="15.75" customHeight="1" x14ac:dyDescent="0.3">
      <c r="A254" s="29" t="s">
        <v>317</v>
      </c>
      <c r="B254" s="50" t="str">
        <f>VLOOKUP(A254,'Sales Order'!A$2:B$1029,1,0)</f>
        <v>SO0079</v>
      </c>
      <c r="C254" s="29" t="s">
        <v>35</v>
      </c>
      <c r="D254" s="50" t="str">
        <f>VLOOKUP(C254,Product!A$2:B$21,1,0)</f>
        <v>PD0005</v>
      </c>
      <c r="E254" s="36">
        <v>127</v>
      </c>
      <c r="F254" s="38">
        <v>256463800</v>
      </c>
      <c r="G254" s="39" t="s">
        <v>2628</v>
      </c>
      <c r="H254" s="12"/>
      <c r="L254" s="12"/>
    </row>
    <row r="255" spans="1:12" ht="15.75" customHeight="1" x14ac:dyDescent="0.3">
      <c r="A255" s="17" t="s">
        <v>318</v>
      </c>
      <c r="B255" s="50" t="str">
        <f>VLOOKUP(A255,'Sales Order'!A$2:B$1029,1,0)</f>
        <v>SO0080</v>
      </c>
      <c r="C255" s="29" t="s">
        <v>43</v>
      </c>
      <c r="D255" s="50" t="str">
        <f>VLOOKUP(C255,Product!A$2:B$21,1,0)</f>
        <v>PD0007</v>
      </c>
      <c r="E255" s="36">
        <v>36</v>
      </c>
      <c r="F255" s="38">
        <v>87552000</v>
      </c>
      <c r="G255" s="39" t="s">
        <v>2629</v>
      </c>
      <c r="H255" s="12"/>
      <c r="L255" s="12"/>
    </row>
    <row r="256" spans="1:12" ht="15.75" customHeight="1" x14ac:dyDescent="0.3">
      <c r="A256" s="29" t="s">
        <v>318</v>
      </c>
      <c r="B256" s="50" t="str">
        <f>VLOOKUP(A256,'Sales Order'!A$2:B$1029,1,0)</f>
        <v>SO0080</v>
      </c>
      <c r="C256" s="29" t="s">
        <v>35</v>
      </c>
      <c r="D256" s="50" t="str">
        <f>VLOOKUP(C256,Product!A$2:B$21,1,0)</f>
        <v>PD0005</v>
      </c>
      <c r="E256" s="36">
        <v>93</v>
      </c>
      <c r="F256" s="38">
        <v>157183950</v>
      </c>
      <c r="G256" s="39" t="s">
        <v>2630</v>
      </c>
      <c r="H256" s="12"/>
      <c r="L256" s="12"/>
    </row>
    <row r="257" spans="1:12" ht="15.75" customHeight="1" x14ac:dyDescent="0.3">
      <c r="A257" s="29" t="s">
        <v>319</v>
      </c>
      <c r="B257" s="50" t="str">
        <f>VLOOKUP(A257,'Sales Order'!A$2:B$1029,1,0)</f>
        <v>SO0081</v>
      </c>
      <c r="C257" s="29" t="s">
        <v>35</v>
      </c>
      <c r="D257" s="50" t="str">
        <f>VLOOKUP(C257,Product!A$2:B$21,1,0)</f>
        <v>PD0005</v>
      </c>
      <c r="E257" s="36">
        <v>125</v>
      </c>
      <c r="F257" s="38">
        <v>205781250</v>
      </c>
      <c r="G257" s="39" t="s">
        <v>2631</v>
      </c>
      <c r="H257" s="12"/>
      <c r="L257" s="12"/>
    </row>
    <row r="258" spans="1:12" ht="15.75" customHeight="1" x14ac:dyDescent="0.3">
      <c r="A258" s="29" t="s">
        <v>319</v>
      </c>
      <c r="B258" s="50" t="str">
        <f>VLOOKUP(A258,'Sales Order'!A$2:B$1029,1,0)</f>
        <v>SO0081</v>
      </c>
      <c r="C258" s="29" t="s">
        <v>72</v>
      </c>
      <c r="D258" s="50" t="str">
        <f>VLOOKUP(C258,Product!A$2:B$21,1,0)</f>
        <v>PD0016</v>
      </c>
      <c r="E258" s="36">
        <v>141</v>
      </c>
      <c r="F258" s="38">
        <v>30494070.000000004</v>
      </c>
      <c r="G258" s="39" t="s">
        <v>2632</v>
      </c>
      <c r="H258" s="12"/>
      <c r="L258" s="12"/>
    </row>
    <row r="259" spans="1:12" ht="15.75" customHeight="1" x14ac:dyDescent="0.3">
      <c r="A259" s="17" t="s">
        <v>320</v>
      </c>
      <c r="B259" s="50" t="str">
        <f>VLOOKUP(A259,'Sales Order'!A$2:B$1029,1,0)</f>
        <v>SO0082</v>
      </c>
      <c r="C259" s="29" t="s">
        <v>75</v>
      </c>
      <c r="D259" s="50" t="str">
        <f>VLOOKUP(C259,Product!A$2:B$21,1,0)</f>
        <v>PD0017</v>
      </c>
      <c r="E259" s="36">
        <v>74</v>
      </c>
      <c r="F259" s="38">
        <v>160802000</v>
      </c>
      <c r="G259" s="39" t="s">
        <v>2633</v>
      </c>
      <c r="H259" s="12"/>
      <c r="L259" s="12"/>
    </row>
    <row r="260" spans="1:12" ht="15.75" customHeight="1" x14ac:dyDescent="0.3">
      <c r="A260" s="29" t="s">
        <v>320</v>
      </c>
      <c r="B260" s="50" t="str">
        <f>VLOOKUP(A260,'Sales Order'!A$2:B$1029,1,0)</f>
        <v>SO0082</v>
      </c>
      <c r="C260" s="29" t="s">
        <v>81</v>
      </c>
      <c r="D260" s="50" t="str">
        <f>VLOOKUP(C260,Product!A$2:B$21,1,0)</f>
        <v>PD0019</v>
      </c>
      <c r="E260" s="36">
        <v>142</v>
      </c>
      <c r="F260" s="38">
        <v>329381780</v>
      </c>
      <c r="G260" s="39" t="s">
        <v>2634</v>
      </c>
      <c r="H260" s="12"/>
      <c r="L260" s="12"/>
    </row>
    <row r="261" spans="1:12" ht="15.75" customHeight="1" x14ac:dyDescent="0.3">
      <c r="A261" s="17" t="s">
        <v>321</v>
      </c>
      <c r="B261" s="50" t="str">
        <f>VLOOKUP(A261,'Sales Order'!A$2:B$1029,1,0)</f>
        <v>SO0083</v>
      </c>
      <c r="C261" s="29" t="s">
        <v>58</v>
      </c>
      <c r="D261" s="50" t="str">
        <f>VLOOKUP(C261,Product!A$2:B$21,1,0)</f>
        <v>PD0012</v>
      </c>
      <c r="E261" s="36">
        <v>46</v>
      </c>
      <c r="F261" s="38">
        <v>236048540</v>
      </c>
      <c r="G261" s="39" t="s">
        <v>2635</v>
      </c>
      <c r="H261" s="12"/>
      <c r="L261" s="12"/>
    </row>
    <row r="262" spans="1:12" ht="15.75" customHeight="1" x14ac:dyDescent="0.3">
      <c r="A262" s="29" t="s">
        <v>321</v>
      </c>
      <c r="B262" s="50" t="str">
        <f>VLOOKUP(A262,'Sales Order'!A$2:B$1029,1,0)</f>
        <v>SO0083</v>
      </c>
      <c r="C262" s="29" t="s">
        <v>48</v>
      </c>
      <c r="D262" s="50" t="str">
        <f>VLOOKUP(C262,Product!A$2:B$21,1,0)</f>
        <v>PD0009</v>
      </c>
      <c r="E262" s="36">
        <v>57</v>
      </c>
      <c r="F262" s="38">
        <v>6323580</v>
      </c>
      <c r="G262" s="39" t="s">
        <v>2636</v>
      </c>
      <c r="H262" s="12"/>
      <c r="L262" s="12"/>
    </row>
    <row r="263" spans="1:12" ht="15.75" customHeight="1" x14ac:dyDescent="0.3">
      <c r="A263" s="29" t="s">
        <v>321</v>
      </c>
      <c r="B263" s="50" t="str">
        <f>VLOOKUP(A263,'Sales Order'!A$2:B$1029,1,0)</f>
        <v>SO0083</v>
      </c>
      <c r="C263" s="29" t="s">
        <v>72</v>
      </c>
      <c r="D263" s="50" t="str">
        <f>VLOOKUP(C263,Product!A$2:B$21,1,0)</f>
        <v>PD0016</v>
      </c>
      <c r="E263" s="36">
        <v>148</v>
      </c>
      <c r="F263" s="38">
        <v>34378920</v>
      </c>
      <c r="G263" s="39" t="s">
        <v>2637</v>
      </c>
      <c r="H263" s="12"/>
      <c r="L263" s="12"/>
    </row>
    <row r="264" spans="1:12" ht="15.75" customHeight="1" x14ac:dyDescent="0.3">
      <c r="A264" s="17" t="s">
        <v>322</v>
      </c>
      <c r="B264" s="50" t="str">
        <f>VLOOKUP(A264,'Sales Order'!A$2:B$1029,1,0)</f>
        <v>SO0084</v>
      </c>
      <c r="C264" s="29" t="s">
        <v>72</v>
      </c>
      <c r="D264" s="50" t="str">
        <f>VLOOKUP(C264,Product!A$2:B$21,1,0)</f>
        <v>PD0016</v>
      </c>
      <c r="E264" s="36">
        <v>49</v>
      </c>
      <c r="F264" s="38">
        <v>11382210</v>
      </c>
      <c r="G264" s="39" t="s">
        <v>2638</v>
      </c>
      <c r="H264" s="12"/>
      <c r="L264" s="12"/>
    </row>
    <row r="265" spans="1:12" ht="15.75" customHeight="1" x14ac:dyDescent="0.3">
      <c r="A265" s="29" t="s">
        <v>322</v>
      </c>
      <c r="B265" s="50" t="str">
        <f>VLOOKUP(A265,'Sales Order'!A$2:B$1029,1,0)</f>
        <v>SO0084</v>
      </c>
      <c r="C265" s="29" t="s">
        <v>61</v>
      </c>
      <c r="D265" s="50" t="str">
        <f>VLOOKUP(C265,Product!A$2:B$21,1,0)</f>
        <v>PD0013</v>
      </c>
      <c r="E265" s="36">
        <v>65</v>
      </c>
      <c r="F265" s="38">
        <v>23662600</v>
      </c>
      <c r="G265" s="39" t="s">
        <v>2639</v>
      </c>
      <c r="H265" s="12"/>
      <c r="L265" s="12"/>
    </row>
    <row r="266" spans="1:12" ht="15.75" customHeight="1" x14ac:dyDescent="0.3">
      <c r="A266" s="29" t="s">
        <v>322</v>
      </c>
      <c r="B266" s="50" t="str">
        <f>VLOOKUP(A266,'Sales Order'!A$2:B$1029,1,0)</f>
        <v>SO0084</v>
      </c>
      <c r="C266" s="29" t="s">
        <v>25</v>
      </c>
      <c r="D266" s="50" t="str">
        <f>VLOOKUP(C266,Product!A$2:B$21,1,0)</f>
        <v>PD0002</v>
      </c>
      <c r="E266" s="36">
        <v>137</v>
      </c>
      <c r="F266" s="38">
        <v>2137200</v>
      </c>
      <c r="G266" s="39" t="s">
        <v>2640</v>
      </c>
      <c r="H266" s="12"/>
      <c r="L266" s="12"/>
    </row>
    <row r="267" spans="1:12" ht="15.75" customHeight="1" x14ac:dyDescent="0.3">
      <c r="A267" s="29" t="s">
        <v>322</v>
      </c>
      <c r="B267" s="50" t="str">
        <f>VLOOKUP(A267,'Sales Order'!A$2:B$1029,1,0)</f>
        <v>SO0084</v>
      </c>
      <c r="C267" s="29" t="s">
        <v>33</v>
      </c>
      <c r="D267" s="50" t="str">
        <f>VLOOKUP(C267,Product!A$2:B$21,1,0)</f>
        <v>PD0004</v>
      </c>
      <c r="E267" s="36">
        <v>130</v>
      </c>
      <c r="F267" s="38">
        <v>26884000</v>
      </c>
      <c r="G267" s="39" t="s">
        <v>2641</v>
      </c>
      <c r="H267" s="12"/>
      <c r="L267" s="12"/>
    </row>
    <row r="268" spans="1:12" ht="15.75" customHeight="1" x14ac:dyDescent="0.3">
      <c r="A268" s="17" t="s">
        <v>323</v>
      </c>
      <c r="B268" s="50" t="str">
        <f>VLOOKUP(A268,'Sales Order'!A$2:B$1029,1,0)</f>
        <v>SO0085</v>
      </c>
      <c r="C268" s="29" t="s">
        <v>83</v>
      </c>
      <c r="D268" s="50" t="str">
        <f>VLOOKUP(C268,Product!A$2:B$21,1,0)</f>
        <v>PD0020</v>
      </c>
      <c r="E268" s="36">
        <v>148</v>
      </c>
      <c r="F268" s="38">
        <v>35631000</v>
      </c>
      <c r="G268" s="39" t="s">
        <v>2642</v>
      </c>
      <c r="H268" s="12"/>
      <c r="L268" s="12"/>
    </row>
    <row r="269" spans="1:12" ht="15.75" customHeight="1" x14ac:dyDescent="0.3">
      <c r="A269" s="29" t="s">
        <v>323</v>
      </c>
      <c r="B269" s="50" t="str">
        <f>VLOOKUP(A269,'Sales Order'!A$2:B$1029,1,0)</f>
        <v>SO0085</v>
      </c>
      <c r="C269" s="29" t="s">
        <v>28</v>
      </c>
      <c r="D269" s="50" t="str">
        <f>VLOOKUP(C269,Product!A$2:B$21,1,0)</f>
        <v>PD0003</v>
      </c>
      <c r="E269" s="36">
        <v>64</v>
      </c>
      <c r="F269" s="38">
        <v>54817280</v>
      </c>
      <c r="G269" s="39" t="s">
        <v>2643</v>
      </c>
      <c r="H269" s="12"/>
      <c r="L269" s="12"/>
    </row>
    <row r="270" spans="1:12" ht="15.75" customHeight="1" x14ac:dyDescent="0.3">
      <c r="A270" s="29" t="s">
        <v>323</v>
      </c>
      <c r="B270" s="50" t="str">
        <f>VLOOKUP(A270,'Sales Order'!A$2:B$1029,1,0)</f>
        <v>SO0085</v>
      </c>
      <c r="C270" s="29" t="s">
        <v>55</v>
      </c>
      <c r="D270" s="50" t="str">
        <f>VLOOKUP(C270,Product!A$2:B$21,1,0)</f>
        <v>PD0011</v>
      </c>
      <c r="E270" s="36">
        <v>74</v>
      </c>
      <c r="F270" s="38">
        <v>153618080</v>
      </c>
      <c r="G270" s="39" t="s">
        <v>2644</v>
      </c>
      <c r="H270" s="12"/>
      <c r="L270" s="12"/>
    </row>
    <row r="271" spans="1:12" ht="15.75" customHeight="1" x14ac:dyDescent="0.3">
      <c r="A271" s="17" t="s">
        <v>324</v>
      </c>
      <c r="B271" s="50" t="str">
        <f>VLOOKUP(A271,'Sales Order'!A$2:B$1029,1,0)</f>
        <v>SO0086</v>
      </c>
      <c r="C271" s="29" t="s">
        <v>35</v>
      </c>
      <c r="D271" s="50" t="str">
        <f>VLOOKUP(C271,Product!A$2:B$21,1,0)</f>
        <v>PD0005</v>
      </c>
      <c r="E271" s="36">
        <v>58</v>
      </c>
      <c r="F271" s="38">
        <v>106940400</v>
      </c>
      <c r="G271" s="39" t="s">
        <v>2645</v>
      </c>
      <c r="H271" s="12"/>
      <c r="L271" s="12"/>
    </row>
    <row r="272" spans="1:12" ht="15.75" customHeight="1" x14ac:dyDescent="0.3">
      <c r="A272" s="29" t="s">
        <v>324</v>
      </c>
      <c r="B272" s="50" t="str">
        <f>VLOOKUP(A272,'Sales Order'!A$2:B$1029,1,0)</f>
        <v>SO0086</v>
      </c>
      <c r="C272" s="29" t="s">
        <v>69</v>
      </c>
      <c r="D272" s="50" t="str">
        <f>VLOOKUP(C272,Product!A$2:B$21,1,0)</f>
        <v>PD0015</v>
      </c>
      <c r="E272" s="36">
        <v>105</v>
      </c>
      <c r="F272" s="38">
        <v>11843685</v>
      </c>
      <c r="G272" s="39" t="s">
        <v>2646</v>
      </c>
      <c r="H272" s="12"/>
      <c r="L272" s="12"/>
    </row>
    <row r="273" spans="1:12" ht="15.75" customHeight="1" x14ac:dyDescent="0.3">
      <c r="A273" s="29" t="s">
        <v>324</v>
      </c>
      <c r="B273" s="50" t="str">
        <f>VLOOKUP(A273,'Sales Order'!A$2:B$1029,1,0)</f>
        <v>SO0086</v>
      </c>
      <c r="C273" s="29" t="s">
        <v>28</v>
      </c>
      <c r="D273" s="50" t="str">
        <f>VLOOKUP(C273,Product!A$2:B$21,1,0)</f>
        <v>PD0003</v>
      </c>
      <c r="E273" s="36">
        <v>139</v>
      </c>
      <c r="F273" s="38">
        <v>112585830</v>
      </c>
      <c r="G273" s="39" t="s">
        <v>2647</v>
      </c>
      <c r="H273" s="12"/>
      <c r="L273" s="12"/>
    </row>
    <row r="274" spans="1:12" ht="15.75" customHeight="1" x14ac:dyDescent="0.3">
      <c r="A274" s="17" t="s">
        <v>325</v>
      </c>
      <c r="B274" s="50" t="str">
        <f>VLOOKUP(A274,'Sales Order'!A$2:B$1029,1,0)</f>
        <v>SO0087</v>
      </c>
      <c r="C274" s="29" t="s">
        <v>78</v>
      </c>
      <c r="D274" s="50" t="str">
        <f>VLOOKUP(C274,Product!A$2:B$21,1,0)</f>
        <v>PD0018</v>
      </c>
      <c r="E274" s="36">
        <v>93</v>
      </c>
      <c r="F274" s="38">
        <v>42549360</v>
      </c>
      <c r="G274" s="39" t="s">
        <v>2648</v>
      </c>
      <c r="H274" s="12"/>
      <c r="L274" s="12"/>
    </row>
    <row r="275" spans="1:12" ht="15.75" customHeight="1" x14ac:dyDescent="0.3">
      <c r="A275" s="29" t="s">
        <v>325</v>
      </c>
      <c r="B275" s="50" t="str">
        <f>VLOOKUP(A275,'Sales Order'!A$2:B$1029,1,0)</f>
        <v>SO0087</v>
      </c>
      <c r="C275" s="29" t="s">
        <v>72</v>
      </c>
      <c r="D275" s="50" t="str">
        <f>VLOOKUP(C275,Product!A$2:B$21,1,0)</f>
        <v>PD0016</v>
      </c>
      <c r="E275" s="36">
        <v>88</v>
      </c>
      <c r="F275" s="38">
        <v>21851280</v>
      </c>
      <c r="G275" s="39" t="s">
        <v>2649</v>
      </c>
      <c r="H275" s="12"/>
      <c r="L275" s="12"/>
    </row>
    <row r="276" spans="1:12" ht="15.75" customHeight="1" x14ac:dyDescent="0.3">
      <c r="A276" s="29" t="s">
        <v>325</v>
      </c>
      <c r="B276" s="50" t="str">
        <f>VLOOKUP(A276,'Sales Order'!A$2:B$1029,1,0)</f>
        <v>SO0087</v>
      </c>
      <c r="C276" s="29" t="s">
        <v>61</v>
      </c>
      <c r="D276" s="50" t="str">
        <f>VLOOKUP(C276,Product!A$2:B$21,1,0)</f>
        <v>PD0013</v>
      </c>
      <c r="E276" s="36">
        <v>84</v>
      </c>
      <c r="F276" s="38">
        <v>35005320</v>
      </c>
      <c r="G276" s="39" t="s">
        <v>2650</v>
      </c>
      <c r="H276" s="12"/>
      <c r="L276" s="12"/>
    </row>
    <row r="277" spans="1:12" ht="15.75" customHeight="1" x14ac:dyDescent="0.3">
      <c r="A277" s="17" t="s">
        <v>326</v>
      </c>
      <c r="B277" s="50" t="str">
        <f>VLOOKUP(A277,'Sales Order'!A$2:B$1029,1,0)</f>
        <v>SO0088</v>
      </c>
      <c r="C277" s="29" t="s">
        <v>58</v>
      </c>
      <c r="D277" s="50" t="str">
        <f>VLOOKUP(C277,Product!A$2:B$21,1,0)</f>
        <v>PD0012</v>
      </c>
      <c r="E277" s="36">
        <v>62</v>
      </c>
      <c r="F277" s="38">
        <v>325144740</v>
      </c>
      <c r="G277" s="39" t="s">
        <v>2651</v>
      </c>
      <c r="H277" s="12"/>
      <c r="L277" s="12"/>
    </row>
    <row r="278" spans="1:12" ht="15.75" customHeight="1" x14ac:dyDescent="0.3">
      <c r="A278" s="29" t="s">
        <v>326</v>
      </c>
      <c r="B278" s="50" t="str">
        <f>VLOOKUP(A278,'Sales Order'!A$2:B$1029,1,0)</f>
        <v>SO0088</v>
      </c>
      <c r="C278" s="29" t="s">
        <v>28</v>
      </c>
      <c r="D278" s="50" t="str">
        <f>VLOOKUP(C278,Product!A$2:B$21,1,0)</f>
        <v>PD0003</v>
      </c>
      <c r="E278" s="36">
        <v>38</v>
      </c>
      <c r="F278" s="38">
        <v>30778860</v>
      </c>
      <c r="G278" s="39" t="s">
        <v>2652</v>
      </c>
      <c r="H278" s="12"/>
      <c r="L278" s="12"/>
    </row>
    <row r="279" spans="1:12" ht="15.75" customHeight="1" x14ac:dyDescent="0.3">
      <c r="A279" s="29" t="s">
        <v>326</v>
      </c>
      <c r="B279" s="50" t="str">
        <f>VLOOKUP(A279,'Sales Order'!A$2:B$1029,1,0)</f>
        <v>SO0088</v>
      </c>
      <c r="C279" s="29" t="s">
        <v>55</v>
      </c>
      <c r="D279" s="50" t="str">
        <f>VLOOKUP(C279,Product!A$2:B$21,1,0)</f>
        <v>PD0011</v>
      </c>
      <c r="E279" s="36">
        <v>109</v>
      </c>
      <c r="F279" s="38">
        <v>244274450</v>
      </c>
      <c r="G279" s="39" t="s">
        <v>2653</v>
      </c>
      <c r="H279" s="12"/>
      <c r="L279" s="12"/>
    </row>
    <row r="280" spans="1:12" ht="15.75" customHeight="1" x14ac:dyDescent="0.3">
      <c r="A280" s="17" t="s">
        <v>327</v>
      </c>
      <c r="B280" s="50" t="str">
        <f>VLOOKUP(A280,'Sales Order'!A$2:B$1029,1,0)</f>
        <v>SO0089</v>
      </c>
      <c r="C280" s="29" t="s">
        <v>65</v>
      </c>
      <c r="D280" s="50" t="str">
        <f>VLOOKUP(C280,Product!A$2:B$21,1,0)</f>
        <v>PD0014</v>
      </c>
      <c r="E280" s="36">
        <v>63</v>
      </c>
      <c r="F280" s="38">
        <v>15307110</v>
      </c>
      <c r="G280" s="39" t="s">
        <v>2654</v>
      </c>
      <c r="H280" s="12"/>
      <c r="L280" s="12"/>
    </row>
    <row r="281" spans="1:12" ht="15.75" customHeight="1" x14ac:dyDescent="0.3">
      <c r="A281" s="29" t="s">
        <v>327</v>
      </c>
      <c r="B281" s="50" t="str">
        <f>VLOOKUP(A281,'Sales Order'!A$2:B$1029,1,0)</f>
        <v>SO0089</v>
      </c>
      <c r="C281" s="29" t="s">
        <v>40</v>
      </c>
      <c r="D281" s="50" t="str">
        <f>VLOOKUP(C281,Product!A$2:B$21,1,0)</f>
        <v>PD0006</v>
      </c>
      <c r="E281" s="36">
        <v>113</v>
      </c>
      <c r="F281" s="38">
        <v>21963810</v>
      </c>
      <c r="G281" s="39" t="s">
        <v>2655</v>
      </c>
      <c r="H281" s="12"/>
      <c r="L281" s="12"/>
    </row>
    <row r="282" spans="1:12" ht="15.75" customHeight="1" x14ac:dyDescent="0.3">
      <c r="A282" s="29" t="s">
        <v>327</v>
      </c>
      <c r="B282" s="50" t="str">
        <f>VLOOKUP(A282,'Sales Order'!A$2:B$1029,1,0)</f>
        <v>SO0089</v>
      </c>
      <c r="C282" s="29" t="s">
        <v>75</v>
      </c>
      <c r="D282" s="50" t="str">
        <f>VLOOKUP(C282,Product!A$2:B$21,1,0)</f>
        <v>PD0017</v>
      </c>
      <c r="E282" s="36">
        <v>106</v>
      </c>
      <c r="F282" s="38">
        <v>219102000</v>
      </c>
      <c r="G282" s="39" t="s">
        <v>2656</v>
      </c>
      <c r="H282" s="12"/>
      <c r="L282" s="12"/>
    </row>
    <row r="283" spans="1:12" ht="15.75" customHeight="1" x14ac:dyDescent="0.3">
      <c r="A283" s="17" t="s">
        <v>328</v>
      </c>
      <c r="B283" s="50" t="str">
        <f>VLOOKUP(A283,'Sales Order'!A$2:B$1029,1,0)</f>
        <v>SO0090</v>
      </c>
      <c r="C283" s="29" t="s">
        <v>83</v>
      </c>
      <c r="D283" s="50" t="str">
        <f>VLOOKUP(C283,Product!A$2:B$21,1,0)</f>
        <v>PD0020</v>
      </c>
      <c r="E283" s="36">
        <v>135</v>
      </c>
      <c r="F283" s="38">
        <v>36834750</v>
      </c>
      <c r="G283" s="39" t="s">
        <v>2657</v>
      </c>
      <c r="H283" s="12"/>
      <c r="L283" s="12"/>
    </row>
    <row r="284" spans="1:12" ht="15.75" customHeight="1" x14ac:dyDescent="0.3">
      <c r="A284" s="29" t="s">
        <v>328</v>
      </c>
      <c r="B284" s="50" t="str">
        <f>VLOOKUP(A284,'Sales Order'!A$2:B$1029,1,0)</f>
        <v>SO0090</v>
      </c>
      <c r="C284" s="29" t="s">
        <v>33</v>
      </c>
      <c r="D284" s="50" t="str">
        <f>VLOOKUP(C284,Product!A$2:B$21,1,0)</f>
        <v>PD0004</v>
      </c>
      <c r="E284" s="36">
        <v>77</v>
      </c>
      <c r="F284" s="38">
        <v>14907200</v>
      </c>
      <c r="G284" s="39" t="s">
        <v>2658</v>
      </c>
      <c r="H284" s="12"/>
      <c r="L284" s="12"/>
    </row>
    <row r="285" spans="1:12" ht="15.75" customHeight="1" x14ac:dyDescent="0.3">
      <c r="A285" s="29" t="s">
        <v>328</v>
      </c>
      <c r="B285" s="50" t="str">
        <f>VLOOKUP(A285,'Sales Order'!A$2:B$1029,1,0)</f>
        <v>SO0090</v>
      </c>
      <c r="C285" s="29" t="s">
        <v>69</v>
      </c>
      <c r="D285" s="50" t="str">
        <f>VLOOKUP(C285,Product!A$2:B$21,1,0)</f>
        <v>PD0015</v>
      </c>
      <c r="E285" s="36">
        <v>64</v>
      </c>
      <c r="F285" s="38">
        <v>6871104</v>
      </c>
      <c r="G285" s="39" t="s">
        <v>2659</v>
      </c>
      <c r="H285" s="12"/>
      <c r="L285" s="12"/>
    </row>
    <row r="286" spans="1:12" ht="15.75" customHeight="1" x14ac:dyDescent="0.3">
      <c r="A286" s="29" t="s">
        <v>328</v>
      </c>
      <c r="B286" s="50" t="str">
        <f>VLOOKUP(A286,'Sales Order'!A$2:B$1029,1,0)</f>
        <v>SO0090</v>
      </c>
      <c r="C286" s="29" t="s">
        <v>61</v>
      </c>
      <c r="D286" s="50" t="str">
        <f>VLOOKUP(C286,Product!A$2:B$21,1,0)</f>
        <v>PD0013</v>
      </c>
      <c r="E286" s="36">
        <v>29</v>
      </c>
      <c r="F286" s="38">
        <v>12918630</v>
      </c>
      <c r="G286" s="39" t="s">
        <v>2660</v>
      </c>
      <c r="H286" s="12"/>
      <c r="L286" s="12"/>
    </row>
    <row r="287" spans="1:12" ht="15.75" customHeight="1" x14ac:dyDescent="0.3">
      <c r="A287" s="29" t="s">
        <v>328</v>
      </c>
      <c r="B287" s="50" t="str">
        <f>VLOOKUP(A287,'Sales Order'!A$2:B$1029,1,0)</f>
        <v>SO0090</v>
      </c>
      <c r="C287" s="29" t="s">
        <v>81</v>
      </c>
      <c r="D287" s="50" t="str">
        <f>VLOOKUP(C287,Product!A$2:B$21,1,0)</f>
        <v>PD0019</v>
      </c>
      <c r="E287" s="36">
        <v>133</v>
      </c>
      <c r="F287" s="38">
        <v>288164450</v>
      </c>
      <c r="G287" s="39" t="s">
        <v>2661</v>
      </c>
      <c r="H287" s="12"/>
      <c r="L287" s="12"/>
    </row>
    <row r="288" spans="1:12" ht="15.75" customHeight="1" x14ac:dyDescent="0.3">
      <c r="A288" s="17" t="s">
        <v>329</v>
      </c>
      <c r="B288" s="50" t="str">
        <f>VLOOKUP(A288,'Sales Order'!A$2:B$1029,1,0)</f>
        <v>SO0091</v>
      </c>
      <c r="C288" s="29" t="s">
        <v>35</v>
      </c>
      <c r="D288" s="50" t="str">
        <f>VLOOKUP(C288,Product!A$2:B$21,1,0)</f>
        <v>PD0005</v>
      </c>
      <c r="E288" s="36">
        <v>110</v>
      </c>
      <c r="F288" s="38">
        <v>195574500</v>
      </c>
      <c r="G288" s="39" t="s">
        <v>2662</v>
      </c>
      <c r="H288" s="12"/>
      <c r="L288" s="12"/>
    </row>
    <row r="289" spans="1:12" ht="15.75" customHeight="1" x14ac:dyDescent="0.3">
      <c r="A289" s="29" t="s">
        <v>329</v>
      </c>
      <c r="B289" s="50" t="str">
        <f>VLOOKUP(A289,'Sales Order'!A$2:B$1029,1,0)</f>
        <v>SO0091</v>
      </c>
      <c r="C289" s="29" t="s">
        <v>65</v>
      </c>
      <c r="D289" s="50" t="str">
        <f>VLOOKUP(C289,Product!A$2:B$21,1,0)</f>
        <v>PD0014</v>
      </c>
      <c r="E289" s="36">
        <v>132</v>
      </c>
      <c r="F289" s="38">
        <v>27490320</v>
      </c>
      <c r="G289" s="39" t="s">
        <v>2663</v>
      </c>
      <c r="H289" s="12"/>
      <c r="L289" s="12"/>
    </row>
    <row r="290" spans="1:12" ht="15.75" customHeight="1" x14ac:dyDescent="0.3">
      <c r="A290" s="29" t="s">
        <v>330</v>
      </c>
      <c r="B290" s="50" t="str">
        <f>VLOOKUP(A290,'Sales Order'!A$2:B$1029,1,0)</f>
        <v>SO0092</v>
      </c>
      <c r="C290" s="29" t="s">
        <v>40</v>
      </c>
      <c r="D290" s="50" t="str">
        <f>VLOOKUP(C290,Product!A$2:B$21,1,0)</f>
        <v>PD0006</v>
      </c>
      <c r="E290" s="36">
        <v>66</v>
      </c>
      <c r="F290" s="38">
        <v>10345500</v>
      </c>
      <c r="G290" s="39" t="s">
        <v>2664</v>
      </c>
      <c r="H290" s="12"/>
      <c r="L290" s="12"/>
    </row>
    <row r="291" spans="1:12" ht="15.75" customHeight="1" x14ac:dyDescent="0.3">
      <c r="A291" s="29" t="s">
        <v>330</v>
      </c>
      <c r="B291" s="50" t="str">
        <f>VLOOKUP(A291,'Sales Order'!A$2:B$1029,1,0)</f>
        <v>SO0092</v>
      </c>
      <c r="C291" s="29" t="s">
        <v>78</v>
      </c>
      <c r="D291" s="50" t="str">
        <f>VLOOKUP(C291,Product!A$2:B$21,1,0)</f>
        <v>PD0018</v>
      </c>
      <c r="E291" s="36">
        <v>52</v>
      </c>
      <c r="F291" s="38">
        <v>24067680</v>
      </c>
      <c r="G291" s="39" t="s">
        <v>2665</v>
      </c>
      <c r="H291" s="12"/>
      <c r="L291" s="12"/>
    </row>
    <row r="292" spans="1:12" ht="15.75" customHeight="1" x14ac:dyDescent="0.3">
      <c r="A292" s="17" t="s">
        <v>331</v>
      </c>
      <c r="B292" s="50" t="str">
        <f>VLOOKUP(A292,'Sales Order'!A$2:B$1029,1,0)</f>
        <v>SO0093</v>
      </c>
      <c r="C292" s="29" t="s">
        <v>45</v>
      </c>
      <c r="D292" s="50" t="str">
        <f>VLOOKUP(C292,Product!A$2:B$21,1,0)</f>
        <v>PD0008</v>
      </c>
      <c r="E292" s="36">
        <v>116</v>
      </c>
      <c r="F292" s="38">
        <v>16246960</v>
      </c>
      <c r="G292" s="39" t="s">
        <v>2666</v>
      </c>
      <c r="H292" s="12"/>
      <c r="L292" s="12"/>
    </row>
    <row r="293" spans="1:12" ht="15.75" customHeight="1" x14ac:dyDescent="0.3">
      <c r="A293" s="29" t="s">
        <v>331</v>
      </c>
      <c r="B293" s="50" t="str">
        <f>VLOOKUP(A293,'Sales Order'!A$2:B$1029,1,0)</f>
        <v>SO0093</v>
      </c>
      <c r="C293" s="29" t="s">
        <v>58</v>
      </c>
      <c r="D293" s="50" t="str">
        <f>VLOOKUP(C293,Product!A$2:B$21,1,0)</f>
        <v>PD0012</v>
      </c>
      <c r="E293" s="36">
        <v>62</v>
      </c>
      <c r="F293" s="38">
        <v>269205860</v>
      </c>
      <c r="G293" s="39" t="s">
        <v>2667</v>
      </c>
      <c r="H293" s="12"/>
      <c r="L293" s="12"/>
    </row>
    <row r="294" spans="1:12" ht="15.75" customHeight="1" x14ac:dyDescent="0.3">
      <c r="A294" s="29" t="s">
        <v>331</v>
      </c>
      <c r="B294" s="50" t="str">
        <f>VLOOKUP(A294,'Sales Order'!A$2:B$1029,1,0)</f>
        <v>SO0093</v>
      </c>
      <c r="C294" s="29" t="s">
        <v>25</v>
      </c>
      <c r="D294" s="50" t="str">
        <f>VLOOKUP(C294,Product!A$2:B$21,1,0)</f>
        <v>PD0002</v>
      </c>
      <c r="E294" s="36">
        <v>116</v>
      </c>
      <c r="F294" s="38">
        <v>2041600</v>
      </c>
      <c r="G294" s="39" t="s">
        <v>2668</v>
      </c>
      <c r="H294" s="12"/>
      <c r="L294" s="12"/>
    </row>
    <row r="295" spans="1:12" ht="15.75" customHeight="1" x14ac:dyDescent="0.3">
      <c r="A295" s="29" t="s">
        <v>331</v>
      </c>
      <c r="B295" s="50" t="str">
        <f>VLOOKUP(A295,'Sales Order'!A$2:B$1029,1,0)</f>
        <v>SO0093</v>
      </c>
      <c r="C295" s="29" t="s">
        <v>65</v>
      </c>
      <c r="D295" s="50" t="str">
        <f>VLOOKUP(C295,Product!A$2:B$21,1,0)</f>
        <v>PD0014</v>
      </c>
      <c r="E295" s="36">
        <v>143</v>
      </c>
      <c r="F295" s="38">
        <v>32835660</v>
      </c>
      <c r="G295" s="39" t="s">
        <v>2669</v>
      </c>
      <c r="H295" s="12"/>
      <c r="L295" s="12"/>
    </row>
    <row r="296" spans="1:12" ht="15.75" customHeight="1" x14ac:dyDescent="0.3">
      <c r="A296" s="17" t="s">
        <v>332</v>
      </c>
      <c r="B296" s="50" t="str">
        <f>VLOOKUP(A296,'Sales Order'!A$2:B$1029,1,0)</f>
        <v>SO0094</v>
      </c>
      <c r="C296" s="29" t="s">
        <v>65</v>
      </c>
      <c r="D296" s="50" t="str">
        <f>VLOOKUP(C296,Product!A$2:B$21,1,0)</f>
        <v>PD0014</v>
      </c>
      <c r="E296" s="36">
        <v>37</v>
      </c>
      <c r="F296" s="38">
        <v>7508040</v>
      </c>
      <c r="G296" s="39" t="s">
        <v>2670</v>
      </c>
      <c r="H296" s="12"/>
      <c r="L296" s="12"/>
    </row>
    <row r="297" spans="1:12" ht="15.75" customHeight="1" x14ac:dyDescent="0.3">
      <c r="A297" s="29" t="s">
        <v>332</v>
      </c>
      <c r="B297" s="50" t="str">
        <f>VLOOKUP(A297,'Sales Order'!A$2:B$1029,1,0)</f>
        <v>SO0094</v>
      </c>
      <c r="C297" s="29" t="s">
        <v>33</v>
      </c>
      <c r="D297" s="50" t="str">
        <f>VLOOKUP(C297,Product!A$2:B$21,1,0)</f>
        <v>PD0004</v>
      </c>
      <c r="E297" s="36">
        <v>72</v>
      </c>
      <c r="F297" s="38">
        <v>11880000</v>
      </c>
      <c r="G297" s="39" t="s">
        <v>2671</v>
      </c>
      <c r="H297" s="12"/>
      <c r="L297" s="12"/>
    </row>
    <row r="298" spans="1:12" ht="15.75" customHeight="1" x14ac:dyDescent="0.3">
      <c r="A298" s="29" t="s">
        <v>332</v>
      </c>
      <c r="B298" s="50" t="str">
        <f>VLOOKUP(A298,'Sales Order'!A$2:B$1029,1,0)</f>
        <v>SO0094</v>
      </c>
      <c r="C298" s="29" t="s">
        <v>45</v>
      </c>
      <c r="D298" s="50" t="str">
        <f>VLOOKUP(C298,Product!A$2:B$21,1,0)</f>
        <v>PD0008</v>
      </c>
      <c r="E298" s="36">
        <v>129</v>
      </c>
      <c r="F298" s="38">
        <v>17298900</v>
      </c>
      <c r="G298" s="39" t="s">
        <v>2672</v>
      </c>
      <c r="H298" s="12"/>
      <c r="L298" s="12"/>
    </row>
    <row r="299" spans="1:12" ht="15.75" customHeight="1" x14ac:dyDescent="0.3">
      <c r="A299" s="29" t="s">
        <v>332</v>
      </c>
      <c r="B299" s="50" t="str">
        <f>VLOOKUP(A299,'Sales Order'!A$2:B$1029,1,0)</f>
        <v>SO0094</v>
      </c>
      <c r="C299" s="29" t="s">
        <v>35</v>
      </c>
      <c r="D299" s="50" t="str">
        <f>VLOOKUP(C299,Product!A$2:B$21,1,0)</f>
        <v>PD0005</v>
      </c>
      <c r="E299" s="36">
        <v>47</v>
      </c>
      <c r="F299" s="38">
        <v>80468700</v>
      </c>
      <c r="G299" s="39" t="s">
        <v>2673</v>
      </c>
      <c r="H299" s="12"/>
      <c r="L299" s="12"/>
    </row>
    <row r="300" spans="1:12" ht="15.75" customHeight="1" x14ac:dyDescent="0.3">
      <c r="A300" s="17" t="s">
        <v>333</v>
      </c>
      <c r="B300" s="50" t="str">
        <f>VLOOKUP(A300,'Sales Order'!A$2:B$1029,1,0)</f>
        <v>SO0095</v>
      </c>
      <c r="C300" s="29" t="s">
        <v>45</v>
      </c>
      <c r="D300" s="50" t="str">
        <f>VLOOKUP(C300,Product!A$2:B$21,1,0)</f>
        <v>PD0008</v>
      </c>
      <c r="E300" s="36">
        <v>140</v>
      </c>
      <c r="F300" s="38">
        <v>19191200</v>
      </c>
      <c r="G300" s="39" t="s">
        <v>2674</v>
      </c>
      <c r="H300" s="12"/>
      <c r="L300" s="12"/>
    </row>
    <row r="301" spans="1:12" ht="15.75" customHeight="1" x14ac:dyDescent="0.3">
      <c r="A301" s="29" t="s">
        <v>333</v>
      </c>
      <c r="B301" s="50" t="str">
        <f>VLOOKUP(A301,'Sales Order'!A$2:B$1029,1,0)</f>
        <v>SO0095</v>
      </c>
      <c r="C301" s="29" t="s">
        <v>61</v>
      </c>
      <c r="D301" s="50" t="str">
        <f>VLOOKUP(C301,Product!A$2:B$21,1,0)</f>
        <v>PD0013</v>
      </c>
      <c r="E301" s="36">
        <v>54</v>
      </c>
      <c r="F301" s="38">
        <v>21210120</v>
      </c>
      <c r="G301" s="39" t="s">
        <v>2675</v>
      </c>
      <c r="H301" s="12"/>
      <c r="L301" s="12"/>
    </row>
    <row r="302" spans="1:12" ht="15.75" customHeight="1" x14ac:dyDescent="0.3">
      <c r="A302" s="29" t="s">
        <v>333</v>
      </c>
      <c r="B302" s="50" t="str">
        <f>VLOOKUP(A302,'Sales Order'!A$2:B$1029,1,0)</f>
        <v>SO0095</v>
      </c>
      <c r="C302" s="29" t="s">
        <v>19</v>
      </c>
      <c r="D302" s="50" t="str">
        <f>VLOOKUP(C302,Product!A$2:B$21,1,0)</f>
        <v>PD0001</v>
      </c>
      <c r="E302" s="36">
        <v>78</v>
      </c>
      <c r="F302" s="38">
        <v>17674020</v>
      </c>
      <c r="G302" s="39" t="s">
        <v>2676</v>
      </c>
      <c r="H302" s="12"/>
      <c r="L302" s="12"/>
    </row>
    <row r="303" spans="1:12" ht="15.75" customHeight="1" x14ac:dyDescent="0.3">
      <c r="A303" s="29" t="s">
        <v>333</v>
      </c>
      <c r="B303" s="50" t="str">
        <f>VLOOKUP(A303,'Sales Order'!A$2:B$1029,1,0)</f>
        <v>SO0095</v>
      </c>
      <c r="C303" s="29" t="s">
        <v>40</v>
      </c>
      <c r="D303" s="50" t="str">
        <f>VLOOKUP(C303,Product!A$2:B$21,1,0)</f>
        <v>PD0006</v>
      </c>
      <c r="E303" s="36">
        <v>93</v>
      </c>
      <c r="F303" s="38">
        <v>14577750</v>
      </c>
      <c r="G303" s="39" t="s">
        <v>2677</v>
      </c>
      <c r="H303" s="12"/>
      <c r="L303" s="12"/>
    </row>
    <row r="304" spans="1:12" ht="15.75" customHeight="1" x14ac:dyDescent="0.3">
      <c r="A304" s="17" t="s">
        <v>334</v>
      </c>
      <c r="B304" s="50" t="str">
        <f>VLOOKUP(A304,'Sales Order'!A$2:B$1029,1,0)</f>
        <v>SO0096</v>
      </c>
      <c r="C304" s="29" t="s">
        <v>75</v>
      </c>
      <c r="D304" s="50" t="str">
        <f>VLOOKUP(C304,Product!A$2:B$21,1,0)</f>
        <v>PD0017</v>
      </c>
      <c r="E304" s="36">
        <v>118</v>
      </c>
      <c r="F304" s="38">
        <v>281430000</v>
      </c>
      <c r="G304" s="39" t="s">
        <v>2678</v>
      </c>
      <c r="H304" s="12"/>
      <c r="L304" s="12"/>
    </row>
    <row r="305" spans="1:12" ht="15.75" customHeight="1" x14ac:dyDescent="0.3">
      <c r="A305" s="29" t="s">
        <v>334</v>
      </c>
      <c r="B305" s="50" t="str">
        <f>VLOOKUP(A305,'Sales Order'!A$2:B$1029,1,0)</f>
        <v>SO0096</v>
      </c>
      <c r="C305" s="29" t="s">
        <v>69</v>
      </c>
      <c r="D305" s="50" t="str">
        <f>VLOOKUP(C305,Product!A$2:B$21,1,0)</f>
        <v>PD0015</v>
      </c>
      <c r="E305" s="36">
        <v>138</v>
      </c>
      <c r="F305" s="38">
        <v>16503696</v>
      </c>
      <c r="G305" s="39" t="s">
        <v>2679</v>
      </c>
      <c r="H305" s="12"/>
      <c r="L305" s="12"/>
    </row>
    <row r="306" spans="1:12" ht="15.75" customHeight="1" x14ac:dyDescent="0.3">
      <c r="A306" s="17" t="s">
        <v>335</v>
      </c>
      <c r="B306" s="50" t="str">
        <f>VLOOKUP(A306,'Sales Order'!A$2:B$1029,1,0)</f>
        <v>SO0097</v>
      </c>
      <c r="C306" s="29" t="s">
        <v>45</v>
      </c>
      <c r="D306" s="50" t="str">
        <f>VLOOKUP(C306,Product!A$2:B$21,1,0)</f>
        <v>PD0008</v>
      </c>
      <c r="E306" s="36">
        <v>104</v>
      </c>
      <c r="F306" s="38">
        <v>12086880</v>
      </c>
      <c r="G306" s="39" t="s">
        <v>2680</v>
      </c>
      <c r="H306" s="12"/>
      <c r="L306" s="12"/>
    </row>
    <row r="307" spans="1:12" ht="15.75" customHeight="1" x14ac:dyDescent="0.3">
      <c r="A307" s="29" t="s">
        <v>335</v>
      </c>
      <c r="B307" s="50" t="str">
        <f>VLOOKUP(A307,'Sales Order'!A$2:B$1029,1,0)</f>
        <v>SO0097</v>
      </c>
      <c r="C307" s="29" t="s">
        <v>52</v>
      </c>
      <c r="D307" s="50" t="str">
        <f>VLOOKUP(C307,Product!A$2:B$21,1,0)</f>
        <v>PD0010</v>
      </c>
      <c r="E307" s="36">
        <v>102</v>
      </c>
      <c r="F307" s="38">
        <v>27183000.000000004</v>
      </c>
      <c r="G307" s="39" t="s">
        <v>2681</v>
      </c>
      <c r="H307" s="12"/>
      <c r="L307" s="12"/>
    </row>
    <row r="308" spans="1:12" ht="15.75" customHeight="1" x14ac:dyDescent="0.3">
      <c r="A308" s="29" t="s">
        <v>335</v>
      </c>
      <c r="B308" s="50" t="str">
        <f>VLOOKUP(A308,'Sales Order'!A$2:B$1029,1,0)</f>
        <v>SO0097</v>
      </c>
      <c r="C308" s="29" t="s">
        <v>40</v>
      </c>
      <c r="D308" s="50" t="str">
        <f>VLOOKUP(C308,Product!A$2:B$21,1,0)</f>
        <v>PD0006</v>
      </c>
      <c r="E308" s="36">
        <v>101</v>
      </c>
      <c r="F308" s="38">
        <v>18998100</v>
      </c>
      <c r="G308" s="39" t="s">
        <v>2682</v>
      </c>
      <c r="H308" s="12"/>
      <c r="L308" s="12"/>
    </row>
    <row r="309" spans="1:12" ht="15.75" customHeight="1" x14ac:dyDescent="0.3">
      <c r="A309" s="17" t="s">
        <v>336</v>
      </c>
      <c r="B309" s="50" t="str">
        <f>VLOOKUP(A309,'Sales Order'!A$2:B$1029,1,0)</f>
        <v>SO0098</v>
      </c>
      <c r="C309" s="29" t="s">
        <v>61</v>
      </c>
      <c r="D309" s="50" t="str">
        <f>VLOOKUP(C309,Product!A$2:B$21,1,0)</f>
        <v>PD0013</v>
      </c>
      <c r="E309" s="36">
        <v>93</v>
      </c>
      <c r="F309" s="38">
        <v>35192130</v>
      </c>
      <c r="G309" s="39" t="s">
        <v>2683</v>
      </c>
      <c r="H309" s="12"/>
      <c r="L309" s="12"/>
    </row>
    <row r="310" spans="1:12" ht="15.75" customHeight="1" x14ac:dyDescent="0.3">
      <c r="A310" s="29" t="s">
        <v>336</v>
      </c>
      <c r="B310" s="50" t="str">
        <f>VLOOKUP(A310,'Sales Order'!A$2:B$1029,1,0)</f>
        <v>SO0098</v>
      </c>
      <c r="C310" s="29" t="s">
        <v>75</v>
      </c>
      <c r="D310" s="50" t="str">
        <f>VLOOKUP(C310,Product!A$2:B$21,1,0)</f>
        <v>PD0017</v>
      </c>
      <c r="E310" s="36">
        <v>73</v>
      </c>
      <c r="F310" s="38">
        <v>148956500</v>
      </c>
      <c r="G310" s="39" t="s">
        <v>2684</v>
      </c>
      <c r="H310" s="12"/>
      <c r="L310" s="12"/>
    </row>
    <row r="311" spans="1:12" ht="15.75" customHeight="1" x14ac:dyDescent="0.3">
      <c r="A311" s="29" t="s">
        <v>336</v>
      </c>
      <c r="B311" s="50" t="str">
        <f>VLOOKUP(A311,'Sales Order'!A$2:B$1029,1,0)</f>
        <v>SO0098</v>
      </c>
      <c r="C311" s="29" t="s">
        <v>35</v>
      </c>
      <c r="D311" s="50" t="str">
        <f>VLOOKUP(C311,Product!A$2:B$21,1,0)</f>
        <v>PD0005</v>
      </c>
      <c r="E311" s="36">
        <v>74</v>
      </c>
      <c r="F311" s="38">
        <v>134816900</v>
      </c>
      <c r="G311" s="39" t="s">
        <v>2685</v>
      </c>
      <c r="H311" s="12"/>
      <c r="L311" s="12"/>
    </row>
    <row r="312" spans="1:12" ht="15.75" customHeight="1" x14ac:dyDescent="0.3">
      <c r="A312" s="17" t="s">
        <v>337</v>
      </c>
      <c r="B312" s="50" t="str">
        <f>VLOOKUP(A312,'Sales Order'!A$2:B$1029,1,0)</f>
        <v>SO0099</v>
      </c>
      <c r="C312" s="29" t="s">
        <v>55</v>
      </c>
      <c r="D312" s="50" t="str">
        <f>VLOOKUP(C312,Product!A$2:B$21,1,0)</f>
        <v>PD0011</v>
      </c>
      <c r="E312" s="36">
        <v>122</v>
      </c>
      <c r="F312" s="38">
        <v>224482440</v>
      </c>
      <c r="G312" s="39" t="s">
        <v>2686</v>
      </c>
      <c r="H312" s="12"/>
      <c r="L312" s="12"/>
    </row>
    <row r="313" spans="1:12" ht="15.75" customHeight="1" x14ac:dyDescent="0.3">
      <c r="A313" s="29" t="s">
        <v>337</v>
      </c>
      <c r="B313" s="50" t="str">
        <f>VLOOKUP(A313,'Sales Order'!A$2:B$1029,1,0)</f>
        <v>SO0099</v>
      </c>
      <c r="C313" s="29" t="s">
        <v>25</v>
      </c>
      <c r="D313" s="50" t="str">
        <f>VLOOKUP(C313,Product!A$2:B$21,1,0)</f>
        <v>PD0002</v>
      </c>
      <c r="E313" s="36">
        <v>148</v>
      </c>
      <c r="F313" s="38">
        <v>2456800</v>
      </c>
      <c r="G313" s="39" t="s">
        <v>2687</v>
      </c>
      <c r="H313" s="12"/>
      <c r="L313" s="12"/>
    </row>
    <row r="314" spans="1:12" ht="15.75" customHeight="1" x14ac:dyDescent="0.3">
      <c r="A314" s="29" t="s">
        <v>337</v>
      </c>
      <c r="B314" s="50" t="str">
        <f>VLOOKUP(A314,'Sales Order'!A$2:B$1029,1,0)</f>
        <v>SO0099</v>
      </c>
      <c r="C314" s="29" t="s">
        <v>40</v>
      </c>
      <c r="D314" s="50" t="str">
        <f>VLOOKUP(C314,Product!A$2:B$21,1,0)</f>
        <v>PD0006</v>
      </c>
      <c r="E314" s="36">
        <v>58</v>
      </c>
      <c r="F314" s="38">
        <v>9818820</v>
      </c>
      <c r="G314" s="39" t="s">
        <v>2688</v>
      </c>
      <c r="H314" s="12"/>
      <c r="L314" s="12"/>
    </row>
    <row r="315" spans="1:12" ht="15.75" customHeight="1" x14ac:dyDescent="0.3">
      <c r="A315" s="17" t="s">
        <v>338</v>
      </c>
      <c r="B315" s="50" t="str">
        <f>VLOOKUP(A315,'Sales Order'!A$2:B$1029,1,0)</f>
        <v>SO0100</v>
      </c>
      <c r="C315" s="29" t="s">
        <v>58</v>
      </c>
      <c r="D315" s="50" t="str">
        <f>VLOOKUP(C315,Product!A$2:B$21,1,0)</f>
        <v>PD0012</v>
      </c>
      <c r="E315" s="36">
        <v>122</v>
      </c>
      <c r="F315" s="38">
        <v>598523460</v>
      </c>
      <c r="G315" s="39" t="s">
        <v>2689</v>
      </c>
      <c r="H315" s="12"/>
      <c r="L315" s="12"/>
    </row>
    <row r="316" spans="1:12" ht="15.75" customHeight="1" x14ac:dyDescent="0.3">
      <c r="A316" s="29" t="s">
        <v>338</v>
      </c>
      <c r="B316" s="50" t="str">
        <f>VLOOKUP(A316,'Sales Order'!A$2:B$1029,1,0)</f>
        <v>SO0100</v>
      </c>
      <c r="C316" s="29" t="s">
        <v>69</v>
      </c>
      <c r="D316" s="50" t="str">
        <f>VLOOKUP(C316,Product!A$2:B$21,1,0)</f>
        <v>PD0015</v>
      </c>
      <c r="E316" s="36">
        <v>81</v>
      </c>
      <c r="F316" s="38">
        <v>10347426</v>
      </c>
      <c r="G316" s="39" t="s">
        <v>2690</v>
      </c>
      <c r="H316" s="12"/>
      <c r="L316" s="12"/>
    </row>
    <row r="317" spans="1:12" ht="15.75" customHeight="1" x14ac:dyDescent="0.3">
      <c r="A317" s="29" t="s">
        <v>338</v>
      </c>
      <c r="B317" s="50" t="str">
        <f>VLOOKUP(A317,'Sales Order'!A$2:B$1029,1,0)</f>
        <v>SO0100</v>
      </c>
      <c r="C317" s="29" t="s">
        <v>48</v>
      </c>
      <c r="D317" s="50" t="str">
        <f>VLOOKUP(C317,Product!A$2:B$21,1,0)</f>
        <v>PD0009</v>
      </c>
      <c r="E317" s="36">
        <v>34</v>
      </c>
      <c r="F317" s="38">
        <v>3377220</v>
      </c>
      <c r="G317" s="39" t="s">
        <v>2691</v>
      </c>
      <c r="H317" s="12"/>
      <c r="L317" s="12"/>
    </row>
    <row r="318" spans="1:12" ht="15.75" customHeight="1" x14ac:dyDescent="0.3">
      <c r="A318" s="29" t="s">
        <v>338</v>
      </c>
      <c r="B318" s="50" t="str">
        <f>VLOOKUP(A318,'Sales Order'!A$2:B$1029,1,0)</f>
        <v>SO0100</v>
      </c>
      <c r="C318" s="29" t="s">
        <v>19</v>
      </c>
      <c r="D318" s="50" t="str">
        <f>VLOOKUP(C318,Product!A$2:B$21,1,0)</f>
        <v>PD0001</v>
      </c>
      <c r="E318" s="36">
        <v>46</v>
      </c>
      <c r="F318" s="38">
        <v>9506820</v>
      </c>
      <c r="G318" s="39" t="s">
        <v>2692</v>
      </c>
      <c r="H318" s="12"/>
      <c r="L318" s="12"/>
    </row>
    <row r="319" spans="1:12" ht="15.75" customHeight="1" x14ac:dyDescent="0.3">
      <c r="A319" s="17" t="s">
        <v>339</v>
      </c>
      <c r="B319" s="50" t="str">
        <f>VLOOKUP(A319,'Sales Order'!A$2:B$1029,1,0)</f>
        <v>SO0101</v>
      </c>
      <c r="C319" s="29" t="s">
        <v>58</v>
      </c>
      <c r="D319" s="50" t="str">
        <f>VLOOKUP(C319,Product!A$2:B$21,1,0)</f>
        <v>PD0012</v>
      </c>
      <c r="E319" s="36">
        <v>53</v>
      </c>
      <c r="F319" s="38">
        <v>242082270.00000003</v>
      </c>
      <c r="G319" s="39" t="s">
        <v>2693</v>
      </c>
      <c r="H319" s="12"/>
      <c r="L319" s="12"/>
    </row>
    <row r="320" spans="1:12" ht="15.75" customHeight="1" x14ac:dyDescent="0.3">
      <c r="A320" s="29" t="s">
        <v>339</v>
      </c>
      <c r="B320" s="50" t="str">
        <f>VLOOKUP(A320,'Sales Order'!A$2:B$1029,1,0)</f>
        <v>SO0101</v>
      </c>
      <c r="C320" s="29" t="s">
        <v>83</v>
      </c>
      <c r="D320" s="50" t="str">
        <f>VLOOKUP(C320,Product!A$2:B$21,1,0)</f>
        <v>PD0020</v>
      </c>
      <c r="E320" s="36">
        <v>54</v>
      </c>
      <c r="F320" s="38">
        <v>13000500</v>
      </c>
      <c r="G320" s="39" t="s">
        <v>2694</v>
      </c>
      <c r="H320" s="12"/>
      <c r="L320" s="12"/>
    </row>
    <row r="321" spans="1:12" ht="15.75" customHeight="1" x14ac:dyDescent="0.3">
      <c r="A321" s="29" t="s">
        <v>339</v>
      </c>
      <c r="B321" s="50" t="str">
        <f>VLOOKUP(A321,'Sales Order'!A$2:B$1029,1,0)</f>
        <v>SO0101</v>
      </c>
      <c r="C321" s="29" t="s">
        <v>48</v>
      </c>
      <c r="D321" s="50" t="str">
        <f>VLOOKUP(C321,Product!A$2:B$21,1,0)</f>
        <v>PD0009</v>
      </c>
      <c r="E321" s="36">
        <v>31</v>
      </c>
      <c r="F321" s="38">
        <v>3679080</v>
      </c>
      <c r="G321" s="39" t="s">
        <v>2695</v>
      </c>
      <c r="H321" s="12"/>
      <c r="L321" s="12"/>
    </row>
    <row r="322" spans="1:12" ht="15.75" customHeight="1" x14ac:dyDescent="0.3">
      <c r="A322" s="17" t="s">
        <v>340</v>
      </c>
      <c r="B322" s="50" t="str">
        <f>VLOOKUP(A322,'Sales Order'!A$2:B$1029,1,0)</f>
        <v>SO0102</v>
      </c>
      <c r="C322" s="29" t="s">
        <v>81</v>
      </c>
      <c r="D322" s="50" t="str">
        <f>VLOOKUP(C322,Product!A$2:B$21,1,0)</f>
        <v>PD0019</v>
      </c>
      <c r="E322" s="36">
        <v>29</v>
      </c>
      <c r="F322" s="38">
        <v>67268110</v>
      </c>
      <c r="G322" s="39" t="s">
        <v>2696</v>
      </c>
      <c r="H322" s="12"/>
      <c r="L322" s="12"/>
    </row>
    <row r="323" spans="1:12" ht="15.75" customHeight="1" x14ac:dyDescent="0.3">
      <c r="A323" s="29" t="s">
        <v>340</v>
      </c>
      <c r="B323" s="50" t="str">
        <f>VLOOKUP(A323,'Sales Order'!A$2:B$1029,1,0)</f>
        <v>SO0102</v>
      </c>
      <c r="C323" s="29" t="s">
        <v>33</v>
      </c>
      <c r="D323" s="50" t="str">
        <f>VLOOKUP(C323,Product!A$2:B$21,1,0)</f>
        <v>PD0004</v>
      </c>
      <c r="E323" s="36">
        <v>93</v>
      </c>
      <c r="F323" s="38">
        <v>16572600.000000002</v>
      </c>
      <c r="G323" s="39" t="s">
        <v>2697</v>
      </c>
      <c r="H323" s="12"/>
      <c r="L323" s="12"/>
    </row>
    <row r="324" spans="1:12" ht="15.75" customHeight="1" x14ac:dyDescent="0.3">
      <c r="A324" s="29" t="s">
        <v>341</v>
      </c>
      <c r="B324" s="50" t="str">
        <f>VLOOKUP(A324,'Sales Order'!A$2:B$1029,1,0)</f>
        <v>SO0103</v>
      </c>
      <c r="C324" s="29" t="s">
        <v>78</v>
      </c>
      <c r="D324" s="50" t="str">
        <f>VLOOKUP(C324,Product!A$2:B$21,1,0)</f>
        <v>PD0018</v>
      </c>
      <c r="E324" s="36">
        <v>147</v>
      </c>
      <c r="F324" s="38">
        <v>64909320</v>
      </c>
      <c r="G324" s="39" t="s">
        <v>2698</v>
      </c>
      <c r="H324" s="12"/>
      <c r="L324" s="12"/>
    </row>
    <row r="325" spans="1:12" ht="15.75" customHeight="1" x14ac:dyDescent="0.3">
      <c r="A325" s="29" t="s">
        <v>341</v>
      </c>
      <c r="B325" s="50" t="str">
        <f>VLOOKUP(A325,'Sales Order'!A$2:B$1029,1,0)</f>
        <v>SO0103</v>
      </c>
      <c r="C325" s="29" t="s">
        <v>25</v>
      </c>
      <c r="D325" s="50" t="str">
        <f>VLOOKUP(C325,Product!A$2:B$21,1,0)</f>
        <v>PD0002</v>
      </c>
      <c r="E325" s="36">
        <v>140</v>
      </c>
      <c r="F325" s="38">
        <v>2660000</v>
      </c>
      <c r="G325" s="39" t="s">
        <v>2699</v>
      </c>
      <c r="H325" s="12"/>
      <c r="L325" s="12"/>
    </row>
    <row r="326" spans="1:12" ht="15.75" customHeight="1" x14ac:dyDescent="0.3">
      <c r="A326" s="29" t="s">
        <v>341</v>
      </c>
      <c r="B326" s="50" t="str">
        <f>VLOOKUP(A326,'Sales Order'!A$2:B$1029,1,0)</f>
        <v>SO0103</v>
      </c>
      <c r="C326" s="29" t="s">
        <v>33</v>
      </c>
      <c r="D326" s="50" t="str">
        <f>VLOOKUP(C326,Product!A$2:B$21,1,0)</f>
        <v>PD0004</v>
      </c>
      <c r="E326" s="36">
        <v>80</v>
      </c>
      <c r="F326" s="38">
        <v>16192000</v>
      </c>
      <c r="G326" s="39" t="s">
        <v>2700</v>
      </c>
      <c r="H326" s="12"/>
      <c r="L326" s="12"/>
    </row>
    <row r="327" spans="1:12" ht="15.75" customHeight="1" x14ac:dyDescent="0.3">
      <c r="A327" s="29" t="s">
        <v>341</v>
      </c>
      <c r="B327" s="50" t="str">
        <f>VLOOKUP(A327,'Sales Order'!A$2:B$1029,1,0)</f>
        <v>SO0103</v>
      </c>
      <c r="C327" s="29" t="s">
        <v>69</v>
      </c>
      <c r="D327" s="50" t="str">
        <f>VLOOKUP(C327,Product!A$2:B$21,1,0)</f>
        <v>PD0015</v>
      </c>
      <c r="E327" s="36">
        <v>71</v>
      </c>
      <c r="F327" s="38">
        <v>7815609.0000000009</v>
      </c>
      <c r="G327" s="39" t="s">
        <v>2701</v>
      </c>
      <c r="H327" s="12"/>
      <c r="L327" s="12"/>
    </row>
    <row r="328" spans="1:12" ht="15.75" customHeight="1" x14ac:dyDescent="0.3">
      <c r="A328" s="17" t="s">
        <v>342</v>
      </c>
      <c r="B328" s="50" t="str">
        <f>VLOOKUP(A328,'Sales Order'!A$2:B$1029,1,0)</f>
        <v>SO0104</v>
      </c>
      <c r="C328" s="29" t="s">
        <v>25</v>
      </c>
      <c r="D328" s="50" t="str">
        <f>VLOOKUP(C328,Product!A$2:B$21,1,0)</f>
        <v>PD0002</v>
      </c>
      <c r="E328" s="36">
        <v>85</v>
      </c>
      <c r="F328" s="38">
        <v>1462000</v>
      </c>
      <c r="G328" s="39" t="s">
        <v>2702</v>
      </c>
      <c r="H328" s="12"/>
      <c r="L328" s="12"/>
    </row>
    <row r="329" spans="1:12" ht="15.75" customHeight="1" x14ac:dyDescent="0.3">
      <c r="A329" s="29" t="s">
        <v>342</v>
      </c>
      <c r="B329" s="50" t="str">
        <f>VLOOKUP(A329,'Sales Order'!A$2:B$1029,1,0)</f>
        <v>SO0104</v>
      </c>
      <c r="C329" s="29" t="s">
        <v>35</v>
      </c>
      <c r="D329" s="50" t="str">
        <f>VLOOKUP(C329,Product!A$2:B$21,1,0)</f>
        <v>PD0005</v>
      </c>
      <c r="E329" s="36">
        <v>103</v>
      </c>
      <c r="F329" s="38">
        <v>201215650</v>
      </c>
      <c r="G329" s="39" t="s">
        <v>2703</v>
      </c>
      <c r="H329" s="12"/>
      <c r="L329" s="12"/>
    </row>
    <row r="330" spans="1:12" ht="15.75" customHeight="1" x14ac:dyDescent="0.3">
      <c r="A330" s="17" t="s">
        <v>343</v>
      </c>
      <c r="B330" s="50" t="str">
        <f>VLOOKUP(A330,'Sales Order'!A$2:B$1029,1,0)</f>
        <v>SO0105</v>
      </c>
      <c r="C330" s="29" t="s">
        <v>58</v>
      </c>
      <c r="D330" s="50" t="str">
        <f>VLOOKUP(C330,Product!A$2:B$21,1,0)</f>
        <v>PD0012</v>
      </c>
      <c r="E330" s="36">
        <v>139</v>
      </c>
      <c r="F330" s="38">
        <v>587865750</v>
      </c>
      <c r="G330" s="39" t="s">
        <v>2704</v>
      </c>
      <c r="H330" s="12"/>
      <c r="L330" s="12"/>
    </row>
    <row r="331" spans="1:12" ht="15.75" customHeight="1" x14ac:dyDescent="0.3">
      <c r="A331" s="29" t="s">
        <v>343</v>
      </c>
      <c r="B331" s="50" t="str">
        <f>VLOOKUP(A331,'Sales Order'!A$2:B$1029,1,0)</f>
        <v>SO0105</v>
      </c>
      <c r="C331" s="29" t="s">
        <v>78</v>
      </c>
      <c r="D331" s="50" t="str">
        <f>VLOOKUP(C331,Product!A$2:B$21,1,0)</f>
        <v>PD0018</v>
      </c>
      <c r="E331" s="36">
        <v>53</v>
      </c>
      <c r="F331" s="38">
        <v>22274840</v>
      </c>
      <c r="G331" s="39" t="s">
        <v>2705</v>
      </c>
      <c r="H331" s="12"/>
      <c r="L331" s="12"/>
    </row>
    <row r="332" spans="1:12" ht="15.75" customHeight="1" x14ac:dyDescent="0.3">
      <c r="A332" s="17" t="s">
        <v>344</v>
      </c>
      <c r="B332" s="50" t="str">
        <f>VLOOKUP(A332,'Sales Order'!A$2:B$1029,1,0)</f>
        <v>SO0106</v>
      </c>
      <c r="C332" s="29" t="s">
        <v>28</v>
      </c>
      <c r="D332" s="50" t="str">
        <f>VLOOKUP(C332,Product!A$2:B$21,1,0)</f>
        <v>PD0003</v>
      </c>
      <c r="E332" s="36">
        <v>87</v>
      </c>
      <c r="F332" s="38">
        <v>70467390</v>
      </c>
      <c r="G332" s="39" t="s">
        <v>2706</v>
      </c>
      <c r="H332" s="12"/>
      <c r="L332" s="12"/>
    </row>
    <row r="333" spans="1:12" ht="15.75" customHeight="1" x14ac:dyDescent="0.3">
      <c r="A333" s="29" t="s">
        <v>344</v>
      </c>
      <c r="B333" s="50" t="str">
        <f>VLOOKUP(A333,'Sales Order'!A$2:B$1029,1,0)</f>
        <v>SO0106</v>
      </c>
      <c r="C333" s="29" t="s">
        <v>58</v>
      </c>
      <c r="D333" s="50" t="str">
        <f>VLOOKUP(C333,Product!A$2:B$21,1,0)</f>
        <v>PD0012</v>
      </c>
      <c r="E333" s="36">
        <v>131</v>
      </c>
      <c r="F333" s="38">
        <v>635289740</v>
      </c>
      <c r="G333" s="39" t="s">
        <v>2707</v>
      </c>
      <c r="H333" s="12"/>
      <c r="L333" s="12"/>
    </row>
    <row r="334" spans="1:12" ht="15.75" customHeight="1" x14ac:dyDescent="0.3">
      <c r="A334" s="29" t="s">
        <v>344</v>
      </c>
      <c r="B334" s="50" t="str">
        <f>VLOOKUP(A334,'Sales Order'!A$2:B$1029,1,0)</f>
        <v>SO0106</v>
      </c>
      <c r="C334" s="29" t="s">
        <v>72</v>
      </c>
      <c r="D334" s="50" t="str">
        <f>VLOOKUP(C334,Product!A$2:B$21,1,0)</f>
        <v>PD0016</v>
      </c>
      <c r="E334" s="36">
        <v>126</v>
      </c>
      <c r="F334" s="38">
        <v>30277800</v>
      </c>
      <c r="G334" s="39" t="s">
        <v>2708</v>
      </c>
      <c r="H334" s="12"/>
      <c r="L334" s="12"/>
    </row>
    <row r="335" spans="1:12" ht="15.75" customHeight="1" x14ac:dyDescent="0.3">
      <c r="A335" s="29" t="s">
        <v>344</v>
      </c>
      <c r="B335" s="50" t="str">
        <f>VLOOKUP(A335,'Sales Order'!A$2:B$1029,1,0)</f>
        <v>SO0106</v>
      </c>
      <c r="C335" s="29" t="s">
        <v>33</v>
      </c>
      <c r="D335" s="50" t="str">
        <f>VLOOKUP(C335,Product!A$2:B$21,1,0)</f>
        <v>PD0004</v>
      </c>
      <c r="E335" s="36">
        <v>57</v>
      </c>
      <c r="F335" s="38">
        <v>11787600</v>
      </c>
      <c r="G335" s="39" t="s">
        <v>2709</v>
      </c>
      <c r="H335" s="12"/>
      <c r="L335" s="12"/>
    </row>
    <row r="336" spans="1:12" ht="15.75" customHeight="1" x14ac:dyDescent="0.3">
      <c r="A336" s="29" t="s">
        <v>344</v>
      </c>
      <c r="B336" s="50" t="str">
        <f>VLOOKUP(A336,'Sales Order'!A$2:B$1029,1,0)</f>
        <v>SO0106</v>
      </c>
      <c r="C336" s="29" t="s">
        <v>35</v>
      </c>
      <c r="D336" s="50" t="str">
        <f>VLOOKUP(C336,Product!A$2:B$21,1,0)</f>
        <v>PD0005</v>
      </c>
      <c r="E336" s="36">
        <v>143</v>
      </c>
      <c r="F336" s="38">
        <v>295051900</v>
      </c>
      <c r="G336" s="39" t="s">
        <v>2710</v>
      </c>
      <c r="H336" s="12"/>
      <c r="L336" s="12"/>
    </row>
    <row r="337" spans="1:12" ht="15.75" customHeight="1" x14ac:dyDescent="0.3">
      <c r="A337" s="29" t="s">
        <v>344</v>
      </c>
      <c r="B337" s="50" t="str">
        <f>VLOOKUP(A337,'Sales Order'!A$2:B$1029,1,0)</f>
        <v>SO0106</v>
      </c>
      <c r="C337" s="29" t="s">
        <v>83</v>
      </c>
      <c r="D337" s="50" t="str">
        <f>VLOOKUP(C337,Product!A$2:B$21,1,0)</f>
        <v>PD0020</v>
      </c>
      <c r="E337" s="36">
        <v>76</v>
      </c>
      <c r="F337" s="38">
        <v>19272840</v>
      </c>
      <c r="G337" s="39" t="s">
        <v>2711</v>
      </c>
      <c r="H337" s="12"/>
      <c r="L337" s="12"/>
    </row>
    <row r="338" spans="1:12" ht="15.75" customHeight="1" x14ac:dyDescent="0.3">
      <c r="A338" s="17" t="s">
        <v>345</v>
      </c>
      <c r="B338" s="50" t="str">
        <f>VLOOKUP(A338,'Sales Order'!A$2:B$1029,1,0)</f>
        <v>SO0107</v>
      </c>
      <c r="C338" s="29" t="s">
        <v>40</v>
      </c>
      <c r="D338" s="50" t="str">
        <f>VLOOKUP(C338,Product!A$2:B$21,1,0)</f>
        <v>PD0006</v>
      </c>
      <c r="E338" s="36">
        <v>103</v>
      </c>
      <c r="F338" s="38">
        <v>19159030</v>
      </c>
      <c r="G338" s="39" t="s">
        <v>2712</v>
      </c>
      <c r="H338" s="12"/>
      <c r="L338" s="12"/>
    </row>
    <row r="339" spans="1:12" ht="15.75" customHeight="1" x14ac:dyDescent="0.3">
      <c r="A339" s="29" t="s">
        <v>345</v>
      </c>
      <c r="B339" s="50" t="str">
        <f>VLOOKUP(A339,'Sales Order'!A$2:B$1029,1,0)</f>
        <v>SO0107</v>
      </c>
      <c r="C339" s="29" t="s">
        <v>55</v>
      </c>
      <c r="D339" s="50" t="str">
        <f>VLOOKUP(C339,Product!A$2:B$21,1,0)</f>
        <v>PD0011</v>
      </c>
      <c r="E339" s="36">
        <v>69</v>
      </c>
      <c r="F339" s="38">
        <v>153004740</v>
      </c>
      <c r="G339" s="39" t="s">
        <v>2713</v>
      </c>
      <c r="H339" s="12"/>
      <c r="L339" s="12"/>
    </row>
    <row r="340" spans="1:12" ht="15.75" customHeight="1" x14ac:dyDescent="0.3">
      <c r="A340" s="29" t="s">
        <v>345</v>
      </c>
      <c r="B340" s="50" t="str">
        <f>VLOOKUP(A340,'Sales Order'!A$2:B$1029,1,0)</f>
        <v>SO0107</v>
      </c>
      <c r="C340" s="29" t="s">
        <v>61</v>
      </c>
      <c r="D340" s="50" t="str">
        <f>VLOOKUP(C340,Product!A$2:B$21,1,0)</f>
        <v>PD0013</v>
      </c>
      <c r="E340" s="36">
        <v>72</v>
      </c>
      <c r="F340" s="38">
        <v>32418720</v>
      </c>
      <c r="G340" s="39" t="s">
        <v>2714</v>
      </c>
      <c r="H340" s="12"/>
      <c r="L340" s="12"/>
    </row>
    <row r="341" spans="1:12" ht="15.75" customHeight="1" x14ac:dyDescent="0.3">
      <c r="A341" s="29" t="s">
        <v>345</v>
      </c>
      <c r="B341" s="50" t="str">
        <f>VLOOKUP(A341,'Sales Order'!A$2:B$1029,1,0)</f>
        <v>SO0107</v>
      </c>
      <c r="C341" s="29" t="s">
        <v>35</v>
      </c>
      <c r="D341" s="50" t="str">
        <f>VLOOKUP(C341,Product!A$2:B$21,1,0)</f>
        <v>PD0005</v>
      </c>
      <c r="E341" s="36">
        <v>92</v>
      </c>
      <c r="F341" s="38">
        <v>177707200</v>
      </c>
      <c r="G341" s="39" t="s">
        <v>2715</v>
      </c>
      <c r="H341" s="12"/>
      <c r="L341" s="12"/>
    </row>
    <row r="342" spans="1:12" ht="15.75" customHeight="1" x14ac:dyDescent="0.3">
      <c r="A342" s="17" t="s">
        <v>346</v>
      </c>
      <c r="B342" s="50" t="str">
        <f>VLOOKUP(A342,'Sales Order'!A$2:B$1029,1,0)</f>
        <v>SO0108</v>
      </c>
      <c r="C342" s="29" t="s">
        <v>19</v>
      </c>
      <c r="D342" s="50" t="str">
        <f>VLOOKUP(C342,Product!A$2:B$21,1,0)</f>
        <v>PD0001</v>
      </c>
      <c r="E342" s="36">
        <v>117</v>
      </c>
      <c r="F342" s="38">
        <v>23889060</v>
      </c>
      <c r="G342" s="39" t="s">
        <v>2716</v>
      </c>
      <c r="H342" s="12"/>
      <c r="L342" s="12"/>
    </row>
    <row r="343" spans="1:12" ht="15.75" customHeight="1" x14ac:dyDescent="0.3">
      <c r="A343" s="29" t="s">
        <v>346</v>
      </c>
      <c r="B343" s="50" t="str">
        <f>VLOOKUP(A343,'Sales Order'!A$2:B$1029,1,0)</f>
        <v>SO0108</v>
      </c>
      <c r="C343" s="29" t="s">
        <v>55</v>
      </c>
      <c r="D343" s="50" t="str">
        <f>VLOOKUP(C343,Product!A$2:B$21,1,0)</f>
        <v>PD0011</v>
      </c>
      <c r="E343" s="36">
        <v>64</v>
      </c>
      <c r="F343" s="38">
        <v>125310080</v>
      </c>
      <c r="G343" s="39" t="s">
        <v>2717</v>
      </c>
      <c r="H343" s="12"/>
      <c r="L343" s="12"/>
    </row>
    <row r="344" spans="1:12" ht="15.75" customHeight="1" x14ac:dyDescent="0.3">
      <c r="A344" s="29" t="s">
        <v>346</v>
      </c>
      <c r="B344" s="50" t="str">
        <f>VLOOKUP(A344,'Sales Order'!A$2:B$1029,1,0)</f>
        <v>SO0108</v>
      </c>
      <c r="C344" s="29" t="s">
        <v>28</v>
      </c>
      <c r="D344" s="50" t="str">
        <f>VLOOKUP(C344,Product!A$2:B$21,1,0)</f>
        <v>PD0003</v>
      </c>
      <c r="E344" s="36">
        <v>72</v>
      </c>
      <c r="F344" s="38">
        <v>63680400</v>
      </c>
      <c r="G344" s="39" t="s">
        <v>2718</v>
      </c>
      <c r="H344" s="12"/>
      <c r="L344" s="12"/>
    </row>
    <row r="345" spans="1:12" ht="15.75" customHeight="1" x14ac:dyDescent="0.3">
      <c r="A345" s="17" t="s">
        <v>347</v>
      </c>
      <c r="B345" s="50" t="str">
        <f>VLOOKUP(A345,'Sales Order'!A$2:B$1029,1,0)</f>
        <v>SO0109</v>
      </c>
      <c r="C345" s="29" t="s">
        <v>33</v>
      </c>
      <c r="D345" s="50" t="str">
        <f>VLOOKUP(C345,Product!A$2:B$21,1,0)</f>
        <v>PD0004</v>
      </c>
      <c r="E345" s="36">
        <v>26</v>
      </c>
      <c r="F345" s="38">
        <v>4576000</v>
      </c>
      <c r="G345" s="39" t="s">
        <v>2719</v>
      </c>
      <c r="H345" s="12"/>
      <c r="L345" s="12"/>
    </row>
    <row r="346" spans="1:12" ht="15.75" customHeight="1" x14ac:dyDescent="0.3">
      <c r="A346" s="29" t="s">
        <v>347</v>
      </c>
      <c r="B346" s="50" t="str">
        <f>VLOOKUP(A346,'Sales Order'!A$2:B$1029,1,0)</f>
        <v>SO0109</v>
      </c>
      <c r="C346" s="29" t="s">
        <v>61</v>
      </c>
      <c r="D346" s="50" t="str">
        <f>VLOOKUP(C346,Product!A$2:B$21,1,0)</f>
        <v>PD0013</v>
      </c>
      <c r="E346" s="36">
        <v>135</v>
      </c>
      <c r="F346" s="38">
        <v>53671950</v>
      </c>
      <c r="G346" s="39" t="s">
        <v>2720</v>
      </c>
      <c r="H346" s="12"/>
      <c r="L346" s="12"/>
    </row>
    <row r="347" spans="1:12" ht="15.75" customHeight="1" x14ac:dyDescent="0.3">
      <c r="A347" s="17" t="s">
        <v>348</v>
      </c>
      <c r="B347" s="50" t="str">
        <f>VLOOKUP(A347,'Sales Order'!A$2:B$1029,1,0)</f>
        <v>SO0110</v>
      </c>
      <c r="C347" s="29" t="s">
        <v>78</v>
      </c>
      <c r="D347" s="50" t="str">
        <f>VLOOKUP(C347,Product!A$2:B$21,1,0)</f>
        <v>PD0018</v>
      </c>
      <c r="E347" s="36">
        <v>142</v>
      </c>
      <c r="F347" s="38">
        <v>64212400</v>
      </c>
      <c r="G347" s="39" t="s">
        <v>2721</v>
      </c>
      <c r="H347" s="12"/>
      <c r="L347" s="12"/>
    </row>
    <row r="348" spans="1:12" ht="15.75" customHeight="1" x14ac:dyDescent="0.3">
      <c r="A348" s="29" t="s">
        <v>348</v>
      </c>
      <c r="B348" s="50" t="str">
        <f>VLOOKUP(A348,'Sales Order'!A$2:B$1029,1,0)</f>
        <v>SO0110</v>
      </c>
      <c r="C348" s="29" t="s">
        <v>55</v>
      </c>
      <c r="D348" s="50" t="str">
        <f>VLOOKUP(C348,Product!A$2:B$21,1,0)</f>
        <v>PD0011</v>
      </c>
      <c r="E348" s="36">
        <v>69</v>
      </c>
      <c r="F348" s="38">
        <v>148121610</v>
      </c>
      <c r="G348" s="39" t="s">
        <v>2722</v>
      </c>
      <c r="H348" s="12"/>
      <c r="L348" s="12"/>
    </row>
    <row r="349" spans="1:12" ht="15.75" customHeight="1" x14ac:dyDescent="0.3">
      <c r="A349" s="29" t="s">
        <v>348</v>
      </c>
      <c r="B349" s="50" t="str">
        <f>VLOOKUP(A349,'Sales Order'!A$2:B$1029,1,0)</f>
        <v>SO0110</v>
      </c>
      <c r="C349" s="29" t="s">
        <v>52</v>
      </c>
      <c r="D349" s="50" t="str">
        <f>VLOOKUP(C349,Product!A$2:B$21,1,0)</f>
        <v>PD0010</v>
      </c>
      <c r="E349" s="36">
        <v>133</v>
      </c>
      <c r="F349" s="38">
        <v>41063750</v>
      </c>
      <c r="G349" s="39" t="s">
        <v>2723</v>
      </c>
      <c r="H349" s="12"/>
      <c r="L349" s="12"/>
    </row>
    <row r="350" spans="1:12" ht="15.75" customHeight="1" x14ac:dyDescent="0.3">
      <c r="A350" s="17" t="s">
        <v>349</v>
      </c>
      <c r="B350" s="50" t="str">
        <f>VLOOKUP(A350,'Sales Order'!A$2:B$1029,1,0)</f>
        <v>SO0111</v>
      </c>
      <c r="C350" s="29" t="s">
        <v>69</v>
      </c>
      <c r="D350" s="50" t="str">
        <f>VLOOKUP(C350,Product!A$2:B$21,1,0)</f>
        <v>PD0015</v>
      </c>
      <c r="E350" s="36">
        <v>46</v>
      </c>
      <c r="F350" s="38">
        <v>5376204</v>
      </c>
      <c r="G350" s="39" t="s">
        <v>2724</v>
      </c>
      <c r="H350" s="12"/>
      <c r="L350" s="12"/>
    </row>
    <row r="351" spans="1:12" ht="15.75" customHeight="1" x14ac:dyDescent="0.3">
      <c r="A351" s="29" t="s">
        <v>349</v>
      </c>
      <c r="B351" s="50" t="str">
        <f>VLOOKUP(A351,'Sales Order'!A$2:B$1029,1,0)</f>
        <v>SO0111</v>
      </c>
      <c r="C351" s="29" t="s">
        <v>58</v>
      </c>
      <c r="D351" s="50" t="str">
        <f>VLOOKUP(C351,Product!A$2:B$21,1,0)</f>
        <v>PD0012</v>
      </c>
      <c r="E351" s="36">
        <v>145</v>
      </c>
      <c r="F351" s="38">
        <v>776772250</v>
      </c>
      <c r="G351" s="39" t="s">
        <v>2725</v>
      </c>
      <c r="H351" s="12"/>
      <c r="L351" s="12"/>
    </row>
    <row r="352" spans="1:12" ht="15.75" customHeight="1" x14ac:dyDescent="0.3">
      <c r="A352" s="29" t="s">
        <v>349</v>
      </c>
      <c r="B352" s="50" t="str">
        <f>VLOOKUP(A352,'Sales Order'!A$2:B$1029,1,0)</f>
        <v>SO0111</v>
      </c>
      <c r="C352" s="29" t="s">
        <v>52</v>
      </c>
      <c r="D352" s="50" t="str">
        <f>VLOOKUP(C352,Product!A$2:B$21,1,0)</f>
        <v>PD0010</v>
      </c>
      <c r="E352" s="36">
        <v>82</v>
      </c>
      <c r="F352" s="38">
        <v>20520500</v>
      </c>
      <c r="G352" s="39" t="s">
        <v>2726</v>
      </c>
      <c r="H352" s="12"/>
      <c r="L352" s="12"/>
    </row>
    <row r="353" spans="1:12" ht="15.75" customHeight="1" x14ac:dyDescent="0.3">
      <c r="A353" s="17" t="s">
        <v>351</v>
      </c>
      <c r="B353" s="50" t="str">
        <f>VLOOKUP(A353,'Sales Order'!A$2:B$1029,1,0)</f>
        <v>SO0113</v>
      </c>
      <c r="C353" s="29" t="s">
        <v>33</v>
      </c>
      <c r="D353" s="50" t="str">
        <f>VLOOKUP(C353,Product!A$2:B$21,1,0)</f>
        <v>PD0004</v>
      </c>
      <c r="E353" s="36">
        <v>73</v>
      </c>
      <c r="F353" s="38">
        <v>13811600</v>
      </c>
      <c r="G353" s="39" t="s">
        <v>2727</v>
      </c>
      <c r="H353" s="12"/>
      <c r="L353" s="12"/>
    </row>
    <row r="354" spans="1:12" ht="15.75" customHeight="1" x14ac:dyDescent="0.3">
      <c r="A354" s="29" t="s">
        <v>351</v>
      </c>
      <c r="B354" s="50" t="str">
        <f>VLOOKUP(A354,'Sales Order'!A$2:B$1029,1,0)</f>
        <v>SO0113</v>
      </c>
      <c r="C354" s="29" t="s">
        <v>61</v>
      </c>
      <c r="D354" s="50" t="str">
        <f>VLOOKUP(C354,Product!A$2:B$21,1,0)</f>
        <v>PD0013</v>
      </c>
      <c r="E354" s="36">
        <v>58</v>
      </c>
      <c r="F354" s="38">
        <v>24170340</v>
      </c>
      <c r="G354" s="39" t="s">
        <v>2728</v>
      </c>
      <c r="H354" s="12"/>
      <c r="L354" s="12"/>
    </row>
    <row r="355" spans="1:12" ht="15.75" customHeight="1" x14ac:dyDescent="0.3">
      <c r="A355" s="17" t="s">
        <v>352</v>
      </c>
      <c r="B355" s="50" t="str">
        <f>VLOOKUP(A355,'Sales Order'!A$2:B$1029,1,0)</f>
        <v>SO0114</v>
      </c>
      <c r="C355" s="29" t="s">
        <v>40</v>
      </c>
      <c r="D355" s="50" t="str">
        <f>VLOOKUP(C355,Product!A$2:B$21,1,0)</f>
        <v>PD0006</v>
      </c>
      <c r="E355" s="36">
        <v>145</v>
      </c>
      <c r="F355" s="38">
        <v>27577550</v>
      </c>
      <c r="G355" s="39" t="s">
        <v>2729</v>
      </c>
      <c r="H355" s="12"/>
      <c r="L355" s="12"/>
    </row>
    <row r="356" spans="1:12" ht="15.75" customHeight="1" x14ac:dyDescent="0.3">
      <c r="A356" s="29" t="s">
        <v>352</v>
      </c>
      <c r="B356" s="50" t="str">
        <f>VLOOKUP(A356,'Sales Order'!A$2:B$1029,1,0)</f>
        <v>SO0114</v>
      </c>
      <c r="C356" s="29" t="s">
        <v>75</v>
      </c>
      <c r="D356" s="50" t="str">
        <f>VLOOKUP(C356,Product!A$2:B$21,1,0)</f>
        <v>PD0017</v>
      </c>
      <c r="E356" s="36">
        <v>26</v>
      </c>
      <c r="F356" s="38">
        <v>64766000</v>
      </c>
      <c r="G356" s="39" t="s">
        <v>2730</v>
      </c>
      <c r="H356" s="12"/>
      <c r="L356" s="12"/>
    </row>
    <row r="357" spans="1:12" ht="15.75" customHeight="1" x14ac:dyDescent="0.3">
      <c r="A357" s="29" t="s">
        <v>352</v>
      </c>
      <c r="B357" s="50" t="str">
        <f>VLOOKUP(A357,'Sales Order'!A$2:B$1029,1,0)</f>
        <v>SO0114</v>
      </c>
      <c r="C357" s="29" t="s">
        <v>69</v>
      </c>
      <c r="D357" s="50" t="str">
        <f>VLOOKUP(C357,Product!A$2:B$21,1,0)</f>
        <v>PD0015</v>
      </c>
      <c r="E357" s="36">
        <v>134</v>
      </c>
      <c r="F357" s="38">
        <v>15843222</v>
      </c>
      <c r="G357" s="39" t="s">
        <v>2731</v>
      </c>
      <c r="H357" s="12"/>
      <c r="L357" s="12"/>
    </row>
    <row r="358" spans="1:12" ht="15.75" customHeight="1" x14ac:dyDescent="0.3">
      <c r="A358" s="17" t="s">
        <v>353</v>
      </c>
      <c r="B358" s="50" t="str">
        <f>VLOOKUP(A358,'Sales Order'!A$2:B$1029,1,0)</f>
        <v>SO0115</v>
      </c>
      <c r="C358" s="29" t="s">
        <v>25</v>
      </c>
      <c r="D358" s="50" t="str">
        <f>VLOOKUP(C358,Product!A$2:B$21,1,0)</f>
        <v>PD0002</v>
      </c>
      <c r="E358" s="36">
        <v>109</v>
      </c>
      <c r="F358" s="38">
        <v>2027399.9999999998</v>
      </c>
      <c r="G358" s="39" t="s">
        <v>2732</v>
      </c>
      <c r="H358" s="12"/>
      <c r="L358" s="12"/>
    </row>
    <row r="359" spans="1:12" ht="15.75" customHeight="1" x14ac:dyDescent="0.3">
      <c r="A359" s="29" t="s">
        <v>353</v>
      </c>
      <c r="B359" s="50" t="str">
        <f>VLOOKUP(A359,'Sales Order'!A$2:B$1029,1,0)</f>
        <v>SO0115</v>
      </c>
      <c r="C359" s="29" t="s">
        <v>83</v>
      </c>
      <c r="D359" s="50" t="str">
        <f>VLOOKUP(C359,Product!A$2:B$21,1,0)</f>
        <v>PD0020</v>
      </c>
      <c r="E359" s="36">
        <v>146</v>
      </c>
      <c r="F359" s="38">
        <v>41710740</v>
      </c>
      <c r="G359" s="39" t="s">
        <v>2733</v>
      </c>
      <c r="H359" s="12"/>
      <c r="L359" s="12"/>
    </row>
    <row r="360" spans="1:12" ht="15.75" customHeight="1" x14ac:dyDescent="0.3">
      <c r="A360" s="17" t="s">
        <v>354</v>
      </c>
      <c r="B360" s="50" t="str">
        <f>VLOOKUP(A360,'Sales Order'!A$2:B$1029,1,0)</f>
        <v>SO0116</v>
      </c>
      <c r="C360" s="29" t="s">
        <v>81</v>
      </c>
      <c r="D360" s="50" t="str">
        <f>VLOOKUP(C360,Product!A$2:B$21,1,0)</f>
        <v>PD0019</v>
      </c>
      <c r="E360" s="36">
        <v>143</v>
      </c>
      <c r="F360" s="38">
        <v>291605600</v>
      </c>
      <c r="G360" s="39" t="s">
        <v>2734</v>
      </c>
      <c r="H360" s="12"/>
      <c r="L360" s="12"/>
    </row>
    <row r="361" spans="1:12" ht="15.75" customHeight="1" x14ac:dyDescent="0.3">
      <c r="A361" s="29" t="s">
        <v>354</v>
      </c>
      <c r="B361" s="50" t="str">
        <f>VLOOKUP(A361,'Sales Order'!A$2:B$1029,1,0)</f>
        <v>SO0116</v>
      </c>
      <c r="C361" s="29" t="s">
        <v>55</v>
      </c>
      <c r="D361" s="50" t="str">
        <f>VLOOKUP(C361,Product!A$2:B$21,1,0)</f>
        <v>PD0011</v>
      </c>
      <c r="E361" s="36">
        <v>80</v>
      </c>
      <c r="F361" s="38">
        <v>150976000</v>
      </c>
      <c r="G361" s="39" t="s">
        <v>2735</v>
      </c>
      <c r="H361" s="12"/>
      <c r="L361" s="12"/>
    </row>
    <row r="362" spans="1:12" ht="15.75" customHeight="1" x14ac:dyDescent="0.3">
      <c r="A362" s="29" t="s">
        <v>354</v>
      </c>
      <c r="B362" s="50" t="str">
        <f>VLOOKUP(A362,'Sales Order'!A$2:B$1029,1,0)</f>
        <v>SO0116</v>
      </c>
      <c r="C362" s="29" t="s">
        <v>52</v>
      </c>
      <c r="D362" s="50" t="str">
        <f>VLOOKUP(C362,Product!A$2:B$21,1,0)</f>
        <v>PD0010</v>
      </c>
      <c r="E362" s="36">
        <v>65</v>
      </c>
      <c r="F362" s="38">
        <v>17956250</v>
      </c>
      <c r="G362" s="39" t="s">
        <v>2736</v>
      </c>
      <c r="H362" s="12"/>
      <c r="L362" s="12"/>
    </row>
    <row r="363" spans="1:12" ht="15.75" customHeight="1" x14ac:dyDescent="0.3">
      <c r="A363" s="17" t="s">
        <v>355</v>
      </c>
      <c r="B363" s="50" t="str">
        <f>VLOOKUP(A363,'Sales Order'!A$2:B$1029,1,0)</f>
        <v>SO0117</v>
      </c>
      <c r="C363" s="29" t="s">
        <v>72</v>
      </c>
      <c r="D363" s="50" t="str">
        <f>VLOOKUP(C363,Product!A$2:B$21,1,0)</f>
        <v>PD0016</v>
      </c>
      <c r="E363" s="36">
        <v>101</v>
      </c>
      <c r="F363" s="38">
        <v>21843270</v>
      </c>
      <c r="G363" s="39" t="s">
        <v>2737</v>
      </c>
      <c r="H363" s="12"/>
      <c r="L363" s="12"/>
    </row>
    <row r="364" spans="1:12" ht="15.75" customHeight="1" x14ac:dyDescent="0.3">
      <c r="A364" s="29" t="s">
        <v>355</v>
      </c>
      <c r="B364" s="50" t="str">
        <f>VLOOKUP(A364,'Sales Order'!A$2:B$1029,1,0)</f>
        <v>SO0117</v>
      </c>
      <c r="C364" s="29" t="s">
        <v>28</v>
      </c>
      <c r="D364" s="50" t="str">
        <f>VLOOKUP(C364,Product!A$2:B$21,1,0)</f>
        <v>PD0003</v>
      </c>
      <c r="E364" s="36">
        <v>33</v>
      </c>
      <c r="F364" s="38">
        <v>29186850</v>
      </c>
      <c r="G364" s="39" t="s">
        <v>2738</v>
      </c>
      <c r="H364" s="12"/>
      <c r="L364" s="12"/>
    </row>
    <row r="365" spans="1:12" ht="15.75" customHeight="1" x14ac:dyDescent="0.3">
      <c r="A365" s="29" t="s">
        <v>355</v>
      </c>
      <c r="B365" s="50" t="str">
        <f>VLOOKUP(A365,'Sales Order'!A$2:B$1029,1,0)</f>
        <v>SO0117</v>
      </c>
      <c r="C365" s="29" t="s">
        <v>58</v>
      </c>
      <c r="D365" s="50" t="str">
        <f>VLOOKUP(C365,Product!A$2:B$21,1,0)</f>
        <v>PD0012</v>
      </c>
      <c r="E365" s="36">
        <v>88</v>
      </c>
      <c r="F365" s="38">
        <v>372174000</v>
      </c>
      <c r="G365" s="39" t="s">
        <v>2739</v>
      </c>
      <c r="H365" s="12"/>
      <c r="L365" s="12"/>
    </row>
    <row r="366" spans="1:12" ht="15.75" customHeight="1" x14ac:dyDescent="0.3">
      <c r="A366" s="29" t="s">
        <v>355</v>
      </c>
      <c r="B366" s="50" t="str">
        <f>VLOOKUP(A366,'Sales Order'!A$2:B$1029,1,0)</f>
        <v>SO0117</v>
      </c>
      <c r="C366" s="29" t="s">
        <v>52</v>
      </c>
      <c r="D366" s="50" t="str">
        <f>VLOOKUP(C366,Product!A$2:B$21,1,0)</f>
        <v>PD0010</v>
      </c>
      <c r="E366" s="36">
        <v>49</v>
      </c>
      <c r="F366" s="38">
        <v>14173250</v>
      </c>
      <c r="G366" s="39" t="s">
        <v>2740</v>
      </c>
      <c r="H366" s="12"/>
      <c r="L366" s="12"/>
    </row>
    <row r="367" spans="1:12" ht="15.75" customHeight="1" x14ac:dyDescent="0.3">
      <c r="A367" s="29" t="s">
        <v>355</v>
      </c>
      <c r="B367" s="50" t="str">
        <f>VLOOKUP(A367,'Sales Order'!A$2:B$1029,1,0)</f>
        <v>SO0117</v>
      </c>
      <c r="C367" s="29" t="s">
        <v>35</v>
      </c>
      <c r="D367" s="50" t="str">
        <f>VLOOKUP(C367,Product!A$2:B$21,1,0)</f>
        <v>PD0005</v>
      </c>
      <c r="E367" s="36">
        <v>124</v>
      </c>
      <c r="F367" s="38">
        <v>247683800</v>
      </c>
      <c r="G367" s="39" t="s">
        <v>2741</v>
      </c>
      <c r="H367" s="12"/>
      <c r="L367" s="12"/>
    </row>
    <row r="368" spans="1:12" ht="15.75" customHeight="1" x14ac:dyDescent="0.3">
      <c r="A368" s="17" t="s">
        <v>356</v>
      </c>
      <c r="B368" s="50" t="str">
        <f>VLOOKUP(A368,'Sales Order'!A$2:B$1029,1,0)</f>
        <v>SO0118</v>
      </c>
      <c r="C368" s="29" t="s">
        <v>69</v>
      </c>
      <c r="D368" s="50" t="str">
        <f>VLOOKUP(C368,Product!A$2:B$21,1,0)</f>
        <v>PD0015</v>
      </c>
      <c r="E368" s="36">
        <v>139</v>
      </c>
      <c r="F368" s="38">
        <v>14734278</v>
      </c>
      <c r="G368" s="39" t="s">
        <v>2742</v>
      </c>
      <c r="H368" s="12"/>
      <c r="L368" s="12"/>
    </row>
    <row r="369" spans="1:12" ht="15.75" customHeight="1" x14ac:dyDescent="0.3">
      <c r="A369" s="29" t="s">
        <v>356</v>
      </c>
      <c r="B369" s="50" t="str">
        <f>VLOOKUP(A369,'Sales Order'!A$2:B$1029,1,0)</f>
        <v>SO0118</v>
      </c>
      <c r="C369" s="29" t="s">
        <v>33</v>
      </c>
      <c r="D369" s="50" t="str">
        <f>VLOOKUP(C369,Product!A$2:B$21,1,0)</f>
        <v>PD0004</v>
      </c>
      <c r="E369" s="36">
        <v>95</v>
      </c>
      <c r="F369" s="38">
        <v>17138000</v>
      </c>
      <c r="G369" s="39" t="s">
        <v>2743</v>
      </c>
      <c r="H369" s="12"/>
      <c r="L369" s="12"/>
    </row>
    <row r="370" spans="1:12" ht="15.75" customHeight="1" x14ac:dyDescent="0.3">
      <c r="A370" s="29" t="s">
        <v>356</v>
      </c>
      <c r="B370" s="50" t="str">
        <f>VLOOKUP(A370,'Sales Order'!A$2:B$1029,1,0)</f>
        <v>SO0118</v>
      </c>
      <c r="C370" s="29" t="s">
        <v>52</v>
      </c>
      <c r="D370" s="50" t="str">
        <f>VLOOKUP(C370,Product!A$2:B$21,1,0)</f>
        <v>PD0010</v>
      </c>
      <c r="E370" s="36">
        <v>119</v>
      </c>
      <c r="F370" s="38">
        <v>35194250</v>
      </c>
      <c r="G370" s="39" t="s">
        <v>2744</v>
      </c>
      <c r="H370" s="12"/>
      <c r="L370" s="12"/>
    </row>
    <row r="371" spans="1:12" ht="15.75" customHeight="1" x14ac:dyDescent="0.3">
      <c r="A371" s="17" t="s">
        <v>357</v>
      </c>
      <c r="B371" s="50" t="str">
        <f>VLOOKUP(A371,'Sales Order'!A$2:B$1029,1,0)</f>
        <v>SO0119</v>
      </c>
      <c r="C371" s="29" t="s">
        <v>75</v>
      </c>
      <c r="D371" s="50" t="str">
        <f>VLOOKUP(C371,Product!A$2:B$21,1,0)</f>
        <v>PD0017</v>
      </c>
      <c r="E371" s="36">
        <v>43</v>
      </c>
      <c r="F371" s="38">
        <v>86602000</v>
      </c>
      <c r="G371" s="39" t="s">
        <v>2745</v>
      </c>
      <c r="H371" s="12"/>
      <c r="L371" s="12"/>
    </row>
    <row r="372" spans="1:12" ht="15.75" customHeight="1" x14ac:dyDescent="0.3">
      <c r="A372" s="29" t="s">
        <v>357</v>
      </c>
      <c r="B372" s="50" t="str">
        <f>VLOOKUP(A372,'Sales Order'!A$2:B$1029,1,0)</f>
        <v>SO0119</v>
      </c>
      <c r="C372" s="29" t="s">
        <v>78</v>
      </c>
      <c r="D372" s="50" t="str">
        <f>VLOOKUP(C372,Product!A$2:B$21,1,0)</f>
        <v>PD0018</v>
      </c>
      <c r="E372" s="36">
        <v>141</v>
      </c>
      <c r="F372" s="38">
        <v>67510800</v>
      </c>
      <c r="G372" s="39" t="s">
        <v>2746</v>
      </c>
      <c r="H372" s="12"/>
      <c r="L372" s="12"/>
    </row>
    <row r="373" spans="1:12" ht="15.75" customHeight="1" x14ac:dyDescent="0.3">
      <c r="A373" s="29" t="s">
        <v>357</v>
      </c>
      <c r="B373" s="50" t="str">
        <f>VLOOKUP(A373,'Sales Order'!A$2:B$1029,1,0)</f>
        <v>SO0119</v>
      </c>
      <c r="C373" s="29" t="s">
        <v>58</v>
      </c>
      <c r="D373" s="50" t="str">
        <f>VLOOKUP(C373,Product!A$2:B$21,1,0)</f>
        <v>PD0012</v>
      </c>
      <c r="E373" s="36">
        <v>101</v>
      </c>
      <c r="F373" s="38">
        <v>518280490</v>
      </c>
      <c r="G373" s="39" t="s">
        <v>2747</v>
      </c>
      <c r="H373" s="12"/>
      <c r="L373" s="12"/>
    </row>
    <row r="374" spans="1:12" ht="15.75" customHeight="1" x14ac:dyDescent="0.3">
      <c r="A374" s="29" t="s">
        <v>358</v>
      </c>
      <c r="B374" s="50" t="str">
        <f>VLOOKUP(A374,'Sales Order'!A$2:B$1029,1,0)</f>
        <v>SO0120</v>
      </c>
      <c r="C374" s="29" t="s">
        <v>52</v>
      </c>
      <c r="D374" s="50" t="str">
        <f>VLOOKUP(C374,Product!A$2:B$21,1,0)</f>
        <v>PD0010</v>
      </c>
      <c r="E374" s="36">
        <v>147</v>
      </c>
      <c r="F374" s="38">
        <v>39175500</v>
      </c>
      <c r="G374" s="39" t="s">
        <v>2748</v>
      </c>
      <c r="H374" s="12"/>
      <c r="L374" s="12"/>
    </row>
    <row r="375" spans="1:12" ht="15.75" customHeight="1" x14ac:dyDescent="0.3">
      <c r="A375" s="29" t="s">
        <v>358</v>
      </c>
      <c r="B375" s="50" t="str">
        <f>VLOOKUP(A375,'Sales Order'!A$2:B$1029,1,0)</f>
        <v>SO0120</v>
      </c>
      <c r="C375" s="29" t="s">
        <v>40</v>
      </c>
      <c r="D375" s="50" t="str">
        <f>VLOOKUP(C375,Product!A$2:B$21,1,0)</f>
        <v>PD0006</v>
      </c>
      <c r="E375" s="36">
        <v>55</v>
      </c>
      <c r="F375" s="38">
        <v>9081050</v>
      </c>
      <c r="G375" s="39" t="s">
        <v>2749</v>
      </c>
      <c r="H375" s="12"/>
      <c r="L375" s="12"/>
    </row>
    <row r="376" spans="1:12" ht="15.75" customHeight="1" x14ac:dyDescent="0.3">
      <c r="A376" s="29" t="s">
        <v>358</v>
      </c>
      <c r="B376" s="50" t="str">
        <f>VLOOKUP(A376,'Sales Order'!A$2:B$1029,1,0)</f>
        <v>SO0120</v>
      </c>
      <c r="C376" s="29" t="s">
        <v>81</v>
      </c>
      <c r="D376" s="50" t="str">
        <f>VLOOKUP(C376,Product!A$2:B$21,1,0)</f>
        <v>PD0019</v>
      </c>
      <c r="E376" s="36">
        <v>113</v>
      </c>
      <c r="F376" s="38">
        <v>236190340.00000003</v>
      </c>
      <c r="G376" s="39" t="s">
        <v>2750</v>
      </c>
      <c r="H376" s="12"/>
      <c r="L376" s="12"/>
    </row>
    <row r="377" spans="1:12" ht="15.75" customHeight="1" x14ac:dyDescent="0.3">
      <c r="A377" s="29" t="s">
        <v>358</v>
      </c>
      <c r="B377" s="50" t="str">
        <f>VLOOKUP(A377,'Sales Order'!A$2:B$1029,1,0)</f>
        <v>SO0120</v>
      </c>
      <c r="C377" s="29" t="s">
        <v>69</v>
      </c>
      <c r="D377" s="50" t="str">
        <f>VLOOKUP(C377,Product!A$2:B$21,1,0)</f>
        <v>PD0015</v>
      </c>
      <c r="E377" s="36">
        <v>68</v>
      </c>
      <c r="F377" s="38">
        <v>6930900</v>
      </c>
      <c r="G377" s="39" t="s">
        <v>2751</v>
      </c>
      <c r="H377" s="12"/>
      <c r="L377" s="12"/>
    </row>
    <row r="378" spans="1:12" ht="15.75" customHeight="1" x14ac:dyDescent="0.3">
      <c r="A378" s="29" t="s">
        <v>358</v>
      </c>
      <c r="B378" s="50" t="str">
        <f>VLOOKUP(A378,'Sales Order'!A$2:B$1029,1,0)</f>
        <v>SO0120</v>
      </c>
      <c r="C378" s="29" t="s">
        <v>43</v>
      </c>
      <c r="D378" s="50" t="str">
        <f>VLOOKUP(C378,Product!A$2:B$21,1,0)</f>
        <v>PD0007</v>
      </c>
      <c r="E378" s="36">
        <v>60</v>
      </c>
      <c r="F378" s="38">
        <v>165120000</v>
      </c>
      <c r="G378" s="39" t="s">
        <v>2752</v>
      </c>
      <c r="H378" s="12"/>
      <c r="L378" s="12"/>
    </row>
    <row r="379" spans="1:12" ht="15.75" customHeight="1" x14ac:dyDescent="0.3">
      <c r="A379" s="17" t="s">
        <v>359</v>
      </c>
      <c r="B379" s="50" t="str">
        <f>VLOOKUP(A379,'Sales Order'!A$2:B$1029,1,0)</f>
        <v>SO0121</v>
      </c>
      <c r="C379" s="29" t="s">
        <v>55</v>
      </c>
      <c r="D379" s="50" t="str">
        <f>VLOOKUP(C379,Product!A$2:B$21,1,0)</f>
        <v>PD0011</v>
      </c>
      <c r="E379" s="36">
        <v>84</v>
      </c>
      <c r="F379" s="38">
        <v>148617000</v>
      </c>
      <c r="G379" s="39" t="s">
        <v>2753</v>
      </c>
      <c r="H379" s="12"/>
      <c r="L379" s="12"/>
    </row>
    <row r="380" spans="1:12" ht="15.75" customHeight="1" x14ac:dyDescent="0.3">
      <c r="A380" s="29" t="s">
        <v>360</v>
      </c>
      <c r="B380" s="50" t="str">
        <f>VLOOKUP(A380,'Sales Order'!A$2:B$1029,1,0)</f>
        <v>SO0122</v>
      </c>
      <c r="C380" s="29" t="s">
        <v>48</v>
      </c>
      <c r="D380" s="50" t="str">
        <f>VLOOKUP(C380,Product!A$2:B$21,1,0)</f>
        <v>PD0009</v>
      </c>
      <c r="E380" s="36">
        <v>136</v>
      </c>
      <c r="F380" s="38">
        <v>15263280</v>
      </c>
      <c r="G380" s="39" t="s">
        <v>2754</v>
      </c>
      <c r="H380" s="12"/>
      <c r="L380" s="12"/>
    </row>
    <row r="381" spans="1:12" ht="15.75" customHeight="1" x14ac:dyDescent="0.3">
      <c r="A381" s="29" t="s">
        <v>360</v>
      </c>
      <c r="B381" s="50" t="str">
        <f>VLOOKUP(A381,'Sales Order'!A$2:B$1029,1,0)</f>
        <v>SO0122</v>
      </c>
      <c r="C381" s="29" t="s">
        <v>72</v>
      </c>
      <c r="D381" s="50" t="str">
        <f>VLOOKUP(C381,Product!A$2:B$21,1,0)</f>
        <v>PD0016</v>
      </c>
      <c r="E381" s="36">
        <v>141</v>
      </c>
      <c r="F381" s="38">
        <v>29741130</v>
      </c>
      <c r="G381" s="39" t="s">
        <v>2755</v>
      </c>
      <c r="H381" s="12"/>
      <c r="L381" s="12"/>
    </row>
    <row r="382" spans="1:12" ht="15.75" customHeight="1" x14ac:dyDescent="0.3">
      <c r="A382" s="29" t="s">
        <v>360</v>
      </c>
      <c r="B382" s="50" t="str">
        <f>VLOOKUP(A382,'Sales Order'!A$2:B$1029,1,0)</f>
        <v>SO0122</v>
      </c>
      <c r="C382" s="29" t="s">
        <v>61</v>
      </c>
      <c r="D382" s="50" t="str">
        <f>VLOOKUP(C382,Product!A$2:B$21,1,0)</f>
        <v>PD0013</v>
      </c>
      <c r="E382" s="36">
        <v>66</v>
      </c>
      <c r="F382" s="38">
        <v>28452600</v>
      </c>
      <c r="G382" s="39" t="s">
        <v>2756</v>
      </c>
      <c r="H382" s="12"/>
      <c r="L382" s="12"/>
    </row>
    <row r="383" spans="1:12" ht="15.75" customHeight="1" x14ac:dyDescent="0.3">
      <c r="A383" s="29" t="s">
        <v>360</v>
      </c>
      <c r="B383" s="50" t="str">
        <f>VLOOKUP(A383,'Sales Order'!A$2:B$1029,1,0)</f>
        <v>SO0122</v>
      </c>
      <c r="C383" s="29" t="s">
        <v>40</v>
      </c>
      <c r="D383" s="50" t="str">
        <f>VLOOKUP(C383,Product!A$2:B$21,1,0)</f>
        <v>PD0006</v>
      </c>
      <c r="E383" s="36">
        <v>120</v>
      </c>
      <c r="F383" s="38">
        <v>20314800</v>
      </c>
      <c r="G383" s="39" t="s">
        <v>2757</v>
      </c>
      <c r="H383" s="12"/>
      <c r="L383" s="12"/>
    </row>
    <row r="384" spans="1:12" ht="15.75" customHeight="1" x14ac:dyDescent="0.3">
      <c r="A384" s="17" t="s">
        <v>361</v>
      </c>
      <c r="B384" s="50" t="str">
        <f>VLOOKUP(A384,'Sales Order'!A$2:B$1029,1,0)</f>
        <v>SO0123</v>
      </c>
      <c r="C384" s="29" t="s">
        <v>61</v>
      </c>
      <c r="D384" s="50" t="str">
        <f>VLOOKUP(C384,Product!A$2:B$21,1,0)</f>
        <v>PD0013</v>
      </c>
      <c r="E384" s="36">
        <v>144</v>
      </c>
      <c r="F384" s="38">
        <v>58629600</v>
      </c>
      <c r="G384" s="39" t="s">
        <v>2758</v>
      </c>
      <c r="H384" s="12"/>
      <c r="L384" s="12"/>
    </row>
    <row r="385" spans="1:12" ht="15.75" customHeight="1" x14ac:dyDescent="0.3">
      <c r="A385" s="29" t="s">
        <v>361</v>
      </c>
      <c r="B385" s="50" t="str">
        <f>VLOOKUP(A385,'Sales Order'!A$2:B$1029,1,0)</f>
        <v>SO0123</v>
      </c>
      <c r="C385" s="29" t="s">
        <v>48</v>
      </c>
      <c r="D385" s="50" t="str">
        <f>VLOOKUP(C385,Product!A$2:B$21,1,0)</f>
        <v>PD0009</v>
      </c>
      <c r="E385" s="36">
        <v>63</v>
      </c>
      <c r="F385" s="38">
        <v>6826680</v>
      </c>
      <c r="G385" s="39" t="s">
        <v>2759</v>
      </c>
      <c r="H385" s="12"/>
      <c r="L385" s="12"/>
    </row>
    <row r="386" spans="1:12" ht="15.75" customHeight="1" x14ac:dyDescent="0.3">
      <c r="A386" s="29" t="s">
        <v>361</v>
      </c>
      <c r="B386" s="50" t="str">
        <f>VLOOKUP(A386,'Sales Order'!A$2:B$1029,1,0)</f>
        <v>SO0123</v>
      </c>
      <c r="C386" s="29" t="s">
        <v>33</v>
      </c>
      <c r="D386" s="50" t="str">
        <f>VLOOKUP(C386,Product!A$2:B$21,1,0)</f>
        <v>PD0004</v>
      </c>
      <c r="E386" s="36">
        <v>137</v>
      </c>
      <c r="F386" s="38">
        <v>25016200</v>
      </c>
      <c r="G386" s="39" t="s">
        <v>2760</v>
      </c>
      <c r="H386" s="12"/>
      <c r="L386" s="12"/>
    </row>
    <row r="387" spans="1:12" ht="15.75" customHeight="1" x14ac:dyDescent="0.3">
      <c r="A387" s="29" t="s">
        <v>361</v>
      </c>
      <c r="B387" s="50" t="str">
        <f>VLOOKUP(A387,'Sales Order'!A$2:B$1029,1,0)</f>
        <v>SO0123</v>
      </c>
      <c r="C387" s="29" t="s">
        <v>83</v>
      </c>
      <c r="D387" s="50" t="str">
        <f>VLOOKUP(C387,Product!A$2:B$21,1,0)</f>
        <v>PD0020</v>
      </c>
      <c r="E387" s="36">
        <v>58</v>
      </c>
      <c r="F387" s="38">
        <v>15452940</v>
      </c>
      <c r="G387" s="39" t="s">
        <v>2761</v>
      </c>
      <c r="H387" s="12"/>
      <c r="L387" s="12"/>
    </row>
    <row r="388" spans="1:12" ht="15.75" customHeight="1" x14ac:dyDescent="0.3">
      <c r="A388" s="17" t="s">
        <v>362</v>
      </c>
      <c r="B388" s="50" t="str">
        <f>VLOOKUP(A388,'Sales Order'!A$2:B$1029,1,0)</f>
        <v>SO0124</v>
      </c>
      <c r="C388" s="29" t="s">
        <v>35</v>
      </c>
      <c r="D388" s="50" t="str">
        <f>VLOOKUP(C388,Product!A$2:B$21,1,0)</f>
        <v>PD0005</v>
      </c>
      <c r="E388" s="36">
        <v>73</v>
      </c>
      <c r="F388" s="38">
        <v>123380950</v>
      </c>
      <c r="G388" s="39" t="s">
        <v>2762</v>
      </c>
      <c r="H388" s="12"/>
      <c r="L388" s="12"/>
    </row>
    <row r="389" spans="1:12" ht="15.75" customHeight="1" x14ac:dyDescent="0.3">
      <c r="A389" s="17" t="s">
        <v>363</v>
      </c>
      <c r="B389" s="50" t="str">
        <f>VLOOKUP(A389,'Sales Order'!A$2:B$1029,1,0)</f>
        <v>SO0125</v>
      </c>
      <c r="C389" s="29" t="s">
        <v>25</v>
      </c>
      <c r="D389" s="50" t="str">
        <f>VLOOKUP(C389,Product!A$2:B$21,1,0)</f>
        <v>PD0002</v>
      </c>
      <c r="E389" s="36">
        <v>66</v>
      </c>
      <c r="F389" s="38">
        <v>1095600</v>
      </c>
      <c r="G389" s="39" t="s">
        <v>2763</v>
      </c>
      <c r="H389" s="12"/>
      <c r="L389" s="12"/>
    </row>
    <row r="390" spans="1:12" ht="15.75" customHeight="1" x14ac:dyDescent="0.3">
      <c r="A390" s="29" t="s">
        <v>363</v>
      </c>
      <c r="B390" s="50" t="str">
        <f>VLOOKUP(A390,'Sales Order'!A$2:B$1029,1,0)</f>
        <v>SO0125</v>
      </c>
      <c r="C390" s="29" t="s">
        <v>33</v>
      </c>
      <c r="D390" s="50" t="str">
        <f>VLOOKUP(C390,Product!A$2:B$21,1,0)</f>
        <v>PD0004</v>
      </c>
      <c r="E390" s="36">
        <v>66</v>
      </c>
      <c r="F390" s="38">
        <v>13213200</v>
      </c>
      <c r="G390" s="39" t="s">
        <v>2764</v>
      </c>
      <c r="H390" s="12"/>
      <c r="L390" s="12"/>
    </row>
    <row r="391" spans="1:12" ht="15.75" customHeight="1" x14ac:dyDescent="0.3">
      <c r="A391" s="29" t="s">
        <v>363</v>
      </c>
      <c r="B391" s="50" t="str">
        <f>VLOOKUP(A391,'Sales Order'!A$2:B$1029,1,0)</f>
        <v>SO0125</v>
      </c>
      <c r="C391" s="29" t="s">
        <v>35</v>
      </c>
      <c r="D391" s="50" t="str">
        <f>VLOOKUP(C391,Product!A$2:B$21,1,0)</f>
        <v>PD0005</v>
      </c>
      <c r="E391" s="36">
        <v>30</v>
      </c>
      <c r="F391" s="38">
        <v>61240499.999999993</v>
      </c>
      <c r="G391" s="39" t="s">
        <v>2765</v>
      </c>
      <c r="H391" s="12"/>
      <c r="L391" s="12"/>
    </row>
    <row r="392" spans="1:12" ht="15.75" customHeight="1" x14ac:dyDescent="0.3">
      <c r="A392" s="29" t="s">
        <v>363</v>
      </c>
      <c r="B392" s="50" t="str">
        <f>VLOOKUP(A392,'Sales Order'!A$2:B$1029,1,0)</f>
        <v>SO0125</v>
      </c>
      <c r="C392" s="29" t="s">
        <v>48</v>
      </c>
      <c r="D392" s="50" t="str">
        <f>VLOOKUP(C392,Product!A$2:B$21,1,0)</f>
        <v>PD0009</v>
      </c>
      <c r="E392" s="36">
        <v>29</v>
      </c>
      <c r="F392" s="38">
        <v>3366900</v>
      </c>
      <c r="G392" s="39" t="s">
        <v>2766</v>
      </c>
      <c r="H392" s="12"/>
      <c r="L392" s="12"/>
    </row>
    <row r="393" spans="1:12" ht="15.75" customHeight="1" x14ac:dyDescent="0.3">
      <c r="A393" s="17" t="s">
        <v>364</v>
      </c>
      <c r="B393" s="50" t="str">
        <f>VLOOKUP(A393,'Sales Order'!A$2:B$1029,1,0)</f>
        <v>SO0126</v>
      </c>
      <c r="C393" s="29" t="s">
        <v>72</v>
      </c>
      <c r="D393" s="50" t="str">
        <f>VLOOKUP(C393,Product!A$2:B$21,1,0)</f>
        <v>PD0016</v>
      </c>
      <c r="E393" s="36">
        <v>38</v>
      </c>
      <c r="F393" s="38">
        <v>8928480</v>
      </c>
      <c r="G393" s="39" t="s">
        <v>2767</v>
      </c>
      <c r="H393" s="12"/>
      <c r="L393" s="12"/>
    </row>
    <row r="394" spans="1:12" ht="15.75" customHeight="1" x14ac:dyDescent="0.3">
      <c r="A394" s="29" t="s">
        <v>364</v>
      </c>
      <c r="B394" s="50" t="str">
        <f>VLOOKUP(A394,'Sales Order'!A$2:B$1029,1,0)</f>
        <v>SO0126</v>
      </c>
      <c r="C394" s="29" t="s">
        <v>61</v>
      </c>
      <c r="D394" s="50" t="str">
        <f>VLOOKUP(C394,Product!A$2:B$21,1,0)</f>
        <v>PD0013</v>
      </c>
      <c r="E394" s="36">
        <v>98</v>
      </c>
      <c r="F394" s="38">
        <v>41778380</v>
      </c>
      <c r="G394" s="39" t="s">
        <v>2768</v>
      </c>
      <c r="H394" s="12"/>
      <c r="L394" s="12"/>
    </row>
    <row r="395" spans="1:12" ht="15.75" customHeight="1" x14ac:dyDescent="0.3">
      <c r="A395" s="17" t="s">
        <v>365</v>
      </c>
      <c r="B395" s="50" t="str">
        <f>VLOOKUP(A395,'Sales Order'!A$2:B$1029,1,0)</f>
        <v>SO0127</v>
      </c>
      <c r="C395" s="29" t="s">
        <v>75</v>
      </c>
      <c r="D395" s="50" t="str">
        <f>VLOOKUP(C395,Product!A$2:B$21,1,0)</f>
        <v>PD0017</v>
      </c>
      <c r="E395" s="36">
        <v>115</v>
      </c>
      <c r="F395" s="38">
        <v>274275000</v>
      </c>
      <c r="G395" s="39" t="s">
        <v>2769</v>
      </c>
      <c r="H395" s="12"/>
      <c r="L395" s="12"/>
    </row>
    <row r="396" spans="1:12" ht="15.75" customHeight="1" x14ac:dyDescent="0.3">
      <c r="A396" s="17" t="s">
        <v>366</v>
      </c>
      <c r="B396" s="50" t="str">
        <f>VLOOKUP(A396,'Sales Order'!A$2:B$1029,1,0)</f>
        <v>SO0128</v>
      </c>
      <c r="C396" s="29" t="s">
        <v>83</v>
      </c>
      <c r="D396" s="50" t="str">
        <f>VLOOKUP(C396,Product!A$2:B$21,1,0)</f>
        <v>PD0020</v>
      </c>
      <c r="E396" s="36">
        <v>146</v>
      </c>
      <c r="F396" s="38">
        <v>42179400</v>
      </c>
      <c r="G396" s="39" t="s">
        <v>2770</v>
      </c>
      <c r="H396" s="12"/>
      <c r="L396" s="12"/>
    </row>
    <row r="397" spans="1:12" ht="15.75" customHeight="1" x14ac:dyDescent="0.3">
      <c r="A397" s="29" t="s">
        <v>366</v>
      </c>
      <c r="B397" s="50" t="str">
        <f>VLOOKUP(A397,'Sales Order'!A$2:B$1029,1,0)</f>
        <v>SO0128</v>
      </c>
      <c r="C397" s="29" t="s">
        <v>19</v>
      </c>
      <c r="D397" s="50" t="str">
        <f>VLOOKUP(C397,Product!A$2:B$21,1,0)</f>
        <v>PD0001</v>
      </c>
      <c r="E397" s="36">
        <v>85</v>
      </c>
      <c r="F397" s="38">
        <v>17778600</v>
      </c>
      <c r="G397" s="39" t="s">
        <v>2771</v>
      </c>
      <c r="H397" s="12"/>
      <c r="L397" s="12"/>
    </row>
    <row r="398" spans="1:12" ht="15.75" customHeight="1" x14ac:dyDescent="0.3">
      <c r="A398" s="29" t="s">
        <v>366</v>
      </c>
      <c r="B398" s="50" t="str">
        <f>VLOOKUP(A398,'Sales Order'!A$2:B$1029,1,0)</f>
        <v>SO0128</v>
      </c>
      <c r="C398" s="29" t="s">
        <v>61</v>
      </c>
      <c r="D398" s="50" t="str">
        <f>VLOOKUP(C398,Product!A$2:B$21,1,0)</f>
        <v>PD0013</v>
      </c>
      <c r="E398" s="36">
        <v>117</v>
      </c>
      <c r="F398" s="38">
        <v>52680420</v>
      </c>
      <c r="G398" s="39" t="s">
        <v>2772</v>
      </c>
      <c r="H398" s="12"/>
      <c r="L398" s="12"/>
    </row>
    <row r="399" spans="1:12" ht="15.75" customHeight="1" x14ac:dyDescent="0.3">
      <c r="A399" s="17" t="s">
        <v>367</v>
      </c>
      <c r="B399" s="50" t="str">
        <f>VLOOKUP(A399,'Sales Order'!A$2:B$1029,1,0)</f>
        <v>SO0129</v>
      </c>
      <c r="C399" s="29" t="s">
        <v>75</v>
      </c>
      <c r="D399" s="50" t="str">
        <f>VLOOKUP(C399,Product!A$2:B$21,1,0)</f>
        <v>PD0017</v>
      </c>
      <c r="E399" s="36">
        <v>62</v>
      </c>
      <c r="F399" s="38">
        <v>154442000</v>
      </c>
      <c r="G399" s="39" t="s">
        <v>2773</v>
      </c>
      <c r="H399" s="12"/>
      <c r="L399" s="12"/>
    </row>
    <row r="400" spans="1:12" ht="15.75" customHeight="1" x14ac:dyDescent="0.3">
      <c r="A400" s="17" t="s">
        <v>368</v>
      </c>
      <c r="B400" s="50" t="str">
        <f>VLOOKUP(A400,'Sales Order'!A$2:B$1029,1,0)</f>
        <v>SO0130</v>
      </c>
      <c r="C400" s="29" t="s">
        <v>19</v>
      </c>
      <c r="D400" s="50" t="str">
        <f>VLOOKUP(C400,Product!A$2:B$21,1,0)</f>
        <v>PD0001</v>
      </c>
      <c r="E400" s="36">
        <v>56</v>
      </c>
      <c r="F400" s="38">
        <v>11294640</v>
      </c>
      <c r="G400" s="39" t="s">
        <v>2774</v>
      </c>
      <c r="H400" s="12"/>
      <c r="L400" s="12"/>
    </row>
    <row r="401" spans="1:12" ht="15.75" customHeight="1" x14ac:dyDescent="0.3">
      <c r="A401" s="29" t="s">
        <v>368</v>
      </c>
      <c r="B401" s="50" t="str">
        <f>VLOOKUP(A401,'Sales Order'!A$2:B$1029,1,0)</f>
        <v>SO0130</v>
      </c>
      <c r="C401" s="29" t="s">
        <v>78</v>
      </c>
      <c r="D401" s="50" t="str">
        <f>VLOOKUP(C401,Product!A$2:B$21,1,0)</f>
        <v>PD0018</v>
      </c>
      <c r="E401" s="36">
        <v>95</v>
      </c>
      <c r="F401" s="38">
        <v>39421200</v>
      </c>
      <c r="G401" s="39" t="s">
        <v>2775</v>
      </c>
      <c r="H401" s="12"/>
      <c r="L401" s="12"/>
    </row>
    <row r="402" spans="1:12" ht="15.75" customHeight="1" x14ac:dyDescent="0.3">
      <c r="A402" s="29" t="s">
        <v>368</v>
      </c>
      <c r="B402" s="50" t="str">
        <f>VLOOKUP(A402,'Sales Order'!A$2:B$1029,1,0)</f>
        <v>SO0130</v>
      </c>
      <c r="C402" s="29" t="s">
        <v>69</v>
      </c>
      <c r="D402" s="50" t="str">
        <f>VLOOKUP(C402,Product!A$2:B$21,1,0)</f>
        <v>PD0015</v>
      </c>
      <c r="E402" s="36">
        <v>42</v>
      </c>
      <c r="F402" s="38">
        <v>4965786</v>
      </c>
      <c r="G402" s="39" t="s">
        <v>2776</v>
      </c>
      <c r="H402" s="12"/>
      <c r="L402" s="12"/>
    </row>
    <row r="403" spans="1:12" ht="15.75" customHeight="1" x14ac:dyDescent="0.3">
      <c r="A403" s="29" t="s">
        <v>368</v>
      </c>
      <c r="B403" s="50" t="str">
        <f>VLOOKUP(A403,'Sales Order'!A$2:B$1029,1,0)</f>
        <v>SO0130</v>
      </c>
      <c r="C403" s="29" t="s">
        <v>33</v>
      </c>
      <c r="D403" s="50" t="str">
        <f>VLOOKUP(C403,Product!A$2:B$21,1,0)</f>
        <v>PD0004</v>
      </c>
      <c r="E403" s="36">
        <v>150</v>
      </c>
      <c r="F403" s="38">
        <v>24750000</v>
      </c>
      <c r="G403" s="39" t="s">
        <v>2777</v>
      </c>
      <c r="H403" s="12"/>
      <c r="L403" s="12"/>
    </row>
    <row r="404" spans="1:12" ht="15.75" customHeight="1" x14ac:dyDescent="0.3">
      <c r="A404" s="29" t="s">
        <v>368</v>
      </c>
      <c r="B404" s="50" t="str">
        <f>VLOOKUP(A404,'Sales Order'!A$2:B$1029,1,0)</f>
        <v>SO0130</v>
      </c>
      <c r="C404" s="29" t="s">
        <v>61</v>
      </c>
      <c r="D404" s="50" t="str">
        <f>VLOOKUP(C404,Product!A$2:B$21,1,0)</f>
        <v>PD0013</v>
      </c>
      <c r="E404" s="36">
        <v>148</v>
      </c>
      <c r="F404" s="38">
        <v>61676040</v>
      </c>
      <c r="G404" s="39" t="s">
        <v>2778</v>
      </c>
      <c r="H404" s="12"/>
      <c r="L404" s="12"/>
    </row>
    <row r="405" spans="1:12" ht="15.75" customHeight="1" x14ac:dyDescent="0.3">
      <c r="A405" s="29" t="s">
        <v>369</v>
      </c>
      <c r="B405" s="50" t="str">
        <f>VLOOKUP(A405,'Sales Order'!A$2:B$1029,1,0)</f>
        <v>SO0131</v>
      </c>
      <c r="C405" s="29" t="s">
        <v>28</v>
      </c>
      <c r="D405" s="50" t="str">
        <f>VLOOKUP(C405,Product!A$2:B$21,1,0)</f>
        <v>PD0003</v>
      </c>
      <c r="E405" s="36">
        <v>125</v>
      </c>
      <c r="F405" s="38">
        <v>90772500</v>
      </c>
      <c r="G405" s="39" t="s">
        <v>2779</v>
      </c>
      <c r="H405" s="12"/>
      <c r="L405" s="12"/>
    </row>
    <row r="406" spans="1:12" ht="15.75" customHeight="1" x14ac:dyDescent="0.3">
      <c r="A406" s="29" t="s">
        <v>369</v>
      </c>
      <c r="B406" s="50" t="str">
        <f>VLOOKUP(A406,'Sales Order'!A$2:B$1029,1,0)</f>
        <v>SO0131</v>
      </c>
      <c r="C406" s="29" t="s">
        <v>40</v>
      </c>
      <c r="D406" s="50" t="str">
        <f>VLOOKUP(C406,Product!A$2:B$21,1,0)</f>
        <v>PD0006</v>
      </c>
      <c r="E406" s="36">
        <v>110</v>
      </c>
      <c r="F406" s="38">
        <v>20691000</v>
      </c>
      <c r="G406" s="39" t="s">
        <v>2780</v>
      </c>
      <c r="H406" s="12"/>
      <c r="L406" s="12"/>
    </row>
    <row r="407" spans="1:12" ht="15.75" customHeight="1" x14ac:dyDescent="0.3">
      <c r="A407" s="17" t="s">
        <v>370</v>
      </c>
      <c r="B407" s="50" t="str">
        <f>VLOOKUP(A407,'Sales Order'!A$2:B$1029,1,0)</f>
        <v>SO0132</v>
      </c>
      <c r="C407" s="29" t="s">
        <v>69</v>
      </c>
      <c r="D407" s="50" t="str">
        <f>VLOOKUP(C407,Product!A$2:B$21,1,0)</f>
        <v>PD0015</v>
      </c>
      <c r="E407" s="36">
        <v>47</v>
      </c>
      <c r="F407" s="38">
        <v>6004062</v>
      </c>
      <c r="G407" s="39" t="s">
        <v>2781</v>
      </c>
      <c r="H407" s="12"/>
      <c r="L407" s="12"/>
    </row>
    <row r="408" spans="1:12" ht="15.75" customHeight="1" x14ac:dyDescent="0.3">
      <c r="A408" s="29" t="s">
        <v>370</v>
      </c>
      <c r="B408" s="50" t="str">
        <f>VLOOKUP(A408,'Sales Order'!A$2:B$1029,1,0)</f>
        <v>SO0132</v>
      </c>
      <c r="C408" s="29" t="s">
        <v>75</v>
      </c>
      <c r="D408" s="50" t="str">
        <f>VLOOKUP(C408,Product!A$2:B$21,1,0)</f>
        <v>PD0017</v>
      </c>
      <c r="E408" s="36">
        <v>69</v>
      </c>
      <c r="F408" s="38">
        <v>157251000</v>
      </c>
      <c r="G408" s="39" t="s">
        <v>2782</v>
      </c>
      <c r="H408" s="12"/>
      <c r="L408" s="12"/>
    </row>
    <row r="409" spans="1:12" ht="15.75" customHeight="1" x14ac:dyDescent="0.3">
      <c r="A409" s="29" t="s">
        <v>370</v>
      </c>
      <c r="B409" s="50" t="str">
        <f>VLOOKUP(A409,'Sales Order'!A$2:B$1029,1,0)</f>
        <v>SO0132</v>
      </c>
      <c r="C409" s="29" t="s">
        <v>28</v>
      </c>
      <c r="D409" s="50" t="str">
        <f>VLOOKUP(C409,Product!A$2:B$21,1,0)</f>
        <v>PD0003</v>
      </c>
      <c r="E409" s="36">
        <v>63</v>
      </c>
      <c r="F409" s="38">
        <v>46335870</v>
      </c>
      <c r="G409" s="39" t="s">
        <v>2783</v>
      </c>
      <c r="H409" s="12"/>
      <c r="L409" s="12"/>
    </row>
    <row r="410" spans="1:12" ht="15.75" customHeight="1" x14ac:dyDescent="0.3">
      <c r="A410" s="29" t="s">
        <v>370</v>
      </c>
      <c r="B410" s="50" t="str">
        <f>VLOOKUP(A410,'Sales Order'!A$2:B$1029,1,0)</f>
        <v>SO0132</v>
      </c>
      <c r="C410" s="29" t="s">
        <v>72</v>
      </c>
      <c r="D410" s="50" t="str">
        <f>VLOOKUP(C410,Product!A$2:B$21,1,0)</f>
        <v>PD0016</v>
      </c>
      <c r="E410" s="36">
        <v>132</v>
      </c>
      <c r="F410" s="38">
        <v>31014720</v>
      </c>
      <c r="G410" s="39" t="s">
        <v>2784</v>
      </c>
      <c r="H410" s="12"/>
      <c r="L410" s="12"/>
    </row>
    <row r="411" spans="1:12" ht="15.75" customHeight="1" x14ac:dyDescent="0.3">
      <c r="A411" s="17" t="s">
        <v>371</v>
      </c>
      <c r="B411" s="50" t="str">
        <f>VLOOKUP(A411,'Sales Order'!A$2:B$1029,1,0)</f>
        <v>SO0133</v>
      </c>
      <c r="C411" s="29" t="s">
        <v>75</v>
      </c>
      <c r="D411" s="50" t="str">
        <f>VLOOKUP(C411,Product!A$2:B$21,1,0)</f>
        <v>PD0017</v>
      </c>
      <c r="E411" s="36">
        <v>60</v>
      </c>
      <c r="F411" s="38">
        <v>143100000</v>
      </c>
      <c r="G411" s="39" t="s">
        <v>2785</v>
      </c>
      <c r="H411" s="12"/>
      <c r="L411" s="12"/>
    </row>
    <row r="412" spans="1:12" ht="15.75" customHeight="1" x14ac:dyDescent="0.3">
      <c r="A412" s="29" t="s">
        <v>371</v>
      </c>
      <c r="B412" s="50" t="str">
        <f>VLOOKUP(A412,'Sales Order'!A$2:B$1029,1,0)</f>
        <v>SO0133</v>
      </c>
      <c r="C412" s="29" t="s">
        <v>69</v>
      </c>
      <c r="D412" s="50" t="str">
        <f>VLOOKUP(C412,Product!A$2:B$21,1,0)</f>
        <v>PD0015</v>
      </c>
      <c r="E412" s="36">
        <v>123</v>
      </c>
      <c r="F412" s="38">
        <v>13539717</v>
      </c>
      <c r="G412" s="39" t="s">
        <v>2786</v>
      </c>
      <c r="H412" s="12"/>
      <c r="L412" s="12"/>
    </row>
    <row r="413" spans="1:12" ht="15.75" customHeight="1" x14ac:dyDescent="0.3">
      <c r="A413" s="29" t="s">
        <v>371</v>
      </c>
      <c r="B413" s="50" t="str">
        <f>VLOOKUP(A413,'Sales Order'!A$2:B$1029,1,0)</f>
        <v>SO0133</v>
      </c>
      <c r="C413" s="29" t="s">
        <v>40</v>
      </c>
      <c r="D413" s="50" t="str">
        <f>VLOOKUP(C413,Product!A$2:B$21,1,0)</f>
        <v>PD0006</v>
      </c>
      <c r="E413" s="36">
        <v>29</v>
      </c>
      <c r="F413" s="38">
        <v>4606360</v>
      </c>
      <c r="G413" s="39" t="s">
        <v>2787</v>
      </c>
      <c r="H413" s="12"/>
      <c r="L413" s="12"/>
    </row>
    <row r="414" spans="1:12" ht="15.75" customHeight="1" x14ac:dyDescent="0.3">
      <c r="A414" s="17" t="s">
        <v>372</v>
      </c>
      <c r="B414" s="50" t="str">
        <f>VLOOKUP(A414,'Sales Order'!A$2:B$1029,1,0)</f>
        <v>SO0134</v>
      </c>
      <c r="C414" s="29" t="s">
        <v>52</v>
      </c>
      <c r="D414" s="50" t="str">
        <f>VLOOKUP(C414,Product!A$2:B$21,1,0)</f>
        <v>PD0010</v>
      </c>
      <c r="E414" s="36">
        <v>86</v>
      </c>
      <c r="F414" s="38">
        <v>26552500</v>
      </c>
      <c r="G414" s="39" t="s">
        <v>2788</v>
      </c>
      <c r="H414" s="12"/>
      <c r="L414" s="12"/>
    </row>
    <row r="415" spans="1:12" ht="15.75" customHeight="1" x14ac:dyDescent="0.3">
      <c r="A415" s="29" t="s">
        <v>372</v>
      </c>
      <c r="B415" s="50" t="str">
        <f>VLOOKUP(A415,'Sales Order'!A$2:B$1029,1,0)</f>
        <v>SO0134</v>
      </c>
      <c r="C415" s="29" t="s">
        <v>40</v>
      </c>
      <c r="D415" s="50" t="str">
        <f>VLOOKUP(C415,Product!A$2:B$21,1,0)</f>
        <v>PD0006</v>
      </c>
      <c r="E415" s="36">
        <v>27</v>
      </c>
      <c r="F415" s="38">
        <v>4401540</v>
      </c>
      <c r="G415" s="39" t="s">
        <v>2789</v>
      </c>
      <c r="H415" s="12"/>
      <c r="L415" s="12"/>
    </row>
    <row r="416" spans="1:12" ht="15.75" customHeight="1" x14ac:dyDescent="0.3">
      <c r="A416" s="29" t="s">
        <v>372</v>
      </c>
      <c r="B416" s="50" t="str">
        <f>VLOOKUP(A416,'Sales Order'!A$2:B$1029,1,0)</f>
        <v>SO0134</v>
      </c>
      <c r="C416" s="29" t="s">
        <v>78</v>
      </c>
      <c r="D416" s="50" t="str">
        <f>VLOOKUP(C416,Product!A$2:B$21,1,0)</f>
        <v>PD0018</v>
      </c>
      <c r="E416" s="36">
        <v>90</v>
      </c>
      <c r="F416" s="38">
        <v>37346400</v>
      </c>
      <c r="G416" s="39" t="s">
        <v>2790</v>
      </c>
      <c r="H416" s="12"/>
      <c r="L416" s="12"/>
    </row>
    <row r="417" spans="1:12" ht="15.75" customHeight="1" x14ac:dyDescent="0.3">
      <c r="A417" s="29" t="s">
        <v>372</v>
      </c>
      <c r="B417" s="50" t="str">
        <f>VLOOKUP(A417,'Sales Order'!A$2:B$1029,1,0)</f>
        <v>SO0134</v>
      </c>
      <c r="C417" s="29" t="s">
        <v>65</v>
      </c>
      <c r="D417" s="50" t="str">
        <f>VLOOKUP(C417,Product!A$2:B$21,1,0)</f>
        <v>PD0014</v>
      </c>
      <c r="E417" s="36">
        <v>148</v>
      </c>
      <c r="F417" s="38">
        <v>34378920</v>
      </c>
      <c r="G417" s="39" t="s">
        <v>2791</v>
      </c>
      <c r="H417" s="12"/>
      <c r="L417" s="12"/>
    </row>
    <row r="418" spans="1:12" ht="15.75" customHeight="1" x14ac:dyDescent="0.3">
      <c r="A418" s="17" t="s">
        <v>373</v>
      </c>
      <c r="B418" s="50" t="str">
        <f>VLOOKUP(A418,'Sales Order'!A$2:B$1029,1,0)</f>
        <v>SO0135</v>
      </c>
      <c r="C418" s="29" t="s">
        <v>45</v>
      </c>
      <c r="D418" s="50" t="str">
        <f>VLOOKUP(C418,Product!A$2:B$21,1,0)</f>
        <v>PD0008</v>
      </c>
      <c r="E418" s="36">
        <v>40</v>
      </c>
      <c r="F418" s="38">
        <v>5304400</v>
      </c>
      <c r="G418" s="39" t="s">
        <v>2792</v>
      </c>
      <c r="H418" s="12"/>
      <c r="L418" s="12"/>
    </row>
    <row r="419" spans="1:12" ht="15.75" customHeight="1" x14ac:dyDescent="0.3">
      <c r="A419" s="17" t="s">
        <v>374</v>
      </c>
      <c r="B419" s="50" t="str">
        <f>VLOOKUP(A419,'Sales Order'!A$2:B$1029,1,0)</f>
        <v>SO0136</v>
      </c>
      <c r="C419" s="29" t="s">
        <v>28</v>
      </c>
      <c r="D419" s="50" t="str">
        <f>VLOOKUP(C419,Product!A$2:B$21,1,0)</f>
        <v>PD0003</v>
      </c>
      <c r="E419" s="36">
        <v>122</v>
      </c>
      <c r="F419" s="38">
        <v>106767080</v>
      </c>
      <c r="G419" s="39" t="s">
        <v>2793</v>
      </c>
      <c r="H419" s="12"/>
      <c r="L419" s="12"/>
    </row>
    <row r="420" spans="1:12" ht="15.75" customHeight="1" x14ac:dyDescent="0.3">
      <c r="A420" s="17" t="s">
        <v>375</v>
      </c>
      <c r="B420" s="50" t="str">
        <f>VLOOKUP(A420,'Sales Order'!A$2:B$1029,1,0)</f>
        <v>SO0137</v>
      </c>
      <c r="C420" s="29" t="s">
        <v>28</v>
      </c>
      <c r="D420" s="50" t="str">
        <f>VLOOKUP(C420,Product!A$2:B$21,1,0)</f>
        <v>PD0003</v>
      </c>
      <c r="E420" s="36">
        <v>32</v>
      </c>
      <c r="F420" s="38">
        <v>25025280</v>
      </c>
      <c r="G420" s="39" t="s">
        <v>2794</v>
      </c>
      <c r="H420" s="12"/>
      <c r="L420" s="12"/>
    </row>
    <row r="421" spans="1:12" ht="15.75" customHeight="1" x14ac:dyDescent="0.3">
      <c r="A421" s="29" t="s">
        <v>375</v>
      </c>
      <c r="B421" s="50" t="str">
        <f>VLOOKUP(A421,'Sales Order'!A$2:B$1029,1,0)</f>
        <v>SO0137</v>
      </c>
      <c r="C421" s="29" t="s">
        <v>33</v>
      </c>
      <c r="D421" s="50" t="str">
        <f>VLOOKUP(C421,Product!A$2:B$21,1,0)</f>
        <v>PD0004</v>
      </c>
      <c r="E421" s="36">
        <v>47</v>
      </c>
      <c r="F421" s="38">
        <v>7961800</v>
      </c>
      <c r="G421" s="39" t="s">
        <v>2795</v>
      </c>
      <c r="H421" s="12"/>
      <c r="L421" s="12"/>
    </row>
    <row r="422" spans="1:12" ht="15.75" customHeight="1" x14ac:dyDescent="0.3">
      <c r="A422" s="29" t="s">
        <v>375</v>
      </c>
      <c r="B422" s="50" t="str">
        <f>VLOOKUP(A422,'Sales Order'!A$2:B$1029,1,0)</f>
        <v>SO0137</v>
      </c>
      <c r="C422" s="29" t="s">
        <v>43</v>
      </c>
      <c r="D422" s="50" t="str">
        <f>VLOOKUP(C422,Product!A$2:B$21,1,0)</f>
        <v>PD0007</v>
      </c>
      <c r="E422" s="36">
        <v>110</v>
      </c>
      <c r="F422" s="38">
        <v>316800000</v>
      </c>
      <c r="G422" s="39" t="s">
        <v>2796</v>
      </c>
      <c r="H422" s="12"/>
      <c r="L422" s="12"/>
    </row>
    <row r="423" spans="1:12" ht="15.75" customHeight="1" x14ac:dyDescent="0.3">
      <c r="A423" s="29" t="s">
        <v>375</v>
      </c>
      <c r="B423" s="50" t="str">
        <f>VLOOKUP(A423,'Sales Order'!A$2:B$1029,1,0)</f>
        <v>SO0137</v>
      </c>
      <c r="C423" s="29" t="s">
        <v>65</v>
      </c>
      <c r="D423" s="50" t="str">
        <f>VLOOKUP(C423,Product!A$2:B$21,1,0)</f>
        <v>PD0014</v>
      </c>
      <c r="E423" s="36">
        <v>37</v>
      </c>
      <c r="F423" s="38">
        <v>9286260</v>
      </c>
      <c r="G423" s="39" t="s">
        <v>2797</v>
      </c>
      <c r="H423" s="12"/>
      <c r="L423" s="12"/>
    </row>
    <row r="424" spans="1:12" ht="15.75" customHeight="1" x14ac:dyDescent="0.3">
      <c r="A424" s="29" t="s">
        <v>375</v>
      </c>
      <c r="B424" s="50" t="str">
        <f>VLOOKUP(A424,'Sales Order'!A$2:B$1029,1,0)</f>
        <v>SO0137</v>
      </c>
      <c r="C424" s="29" t="s">
        <v>35</v>
      </c>
      <c r="D424" s="50" t="str">
        <f>VLOOKUP(C424,Product!A$2:B$21,1,0)</f>
        <v>PD0005</v>
      </c>
      <c r="E424" s="36">
        <v>48</v>
      </c>
      <c r="F424" s="38">
        <v>79020000</v>
      </c>
      <c r="G424" s="39" t="s">
        <v>2798</v>
      </c>
      <c r="H424" s="12"/>
      <c r="L424" s="12"/>
    </row>
    <row r="425" spans="1:12" ht="15.75" customHeight="1" x14ac:dyDescent="0.3">
      <c r="A425" s="17" t="s">
        <v>376</v>
      </c>
      <c r="B425" s="50" t="str">
        <f>VLOOKUP(A425,'Sales Order'!A$2:B$1029,1,0)</f>
        <v>SO0138</v>
      </c>
      <c r="C425" s="29" t="s">
        <v>78</v>
      </c>
      <c r="D425" s="50" t="str">
        <f>VLOOKUP(C425,Product!A$2:B$21,1,0)</f>
        <v>PD0018</v>
      </c>
      <c r="E425" s="36">
        <v>150</v>
      </c>
      <c r="F425" s="38">
        <v>64638000.000000007</v>
      </c>
      <c r="G425" s="39" t="s">
        <v>2799</v>
      </c>
      <c r="H425" s="12"/>
      <c r="L425" s="12"/>
    </row>
    <row r="426" spans="1:12" ht="15.75" customHeight="1" x14ac:dyDescent="0.3">
      <c r="A426" s="29" t="s">
        <v>376</v>
      </c>
      <c r="B426" s="50" t="str">
        <f>VLOOKUP(A426,'Sales Order'!A$2:B$1029,1,0)</f>
        <v>SO0138</v>
      </c>
      <c r="C426" s="29" t="s">
        <v>55</v>
      </c>
      <c r="D426" s="50" t="str">
        <f>VLOOKUP(C426,Product!A$2:B$21,1,0)</f>
        <v>PD0011</v>
      </c>
      <c r="E426" s="36">
        <v>146</v>
      </c>
      <c r="F426" s="38">
        <v>327193300</v>
      </c>
      <c r="G426" s="39" t="s">
        <v>2800</v>
      </c>
      <c r="H426" s="12"/>
      <c r="L426" s="12"/>
    </row>
    <row r="427" spans="1:12" ht="15.75" customHeight="1" x14ac:dyDescent="0.3">
      <c r="A427" s="17" t="s">
        <v>377</v>
      </c>
      <c r="B427" s="50" t="str">
        <f>VLOOKUP(A427,'Sales Order'!A$2:B$1029,1,0)</f>
        <v>SO0139</v>
      </c>
      <c r="C427" s="29" t="s">
        <v>55</v>
      </c>
      <c r="D427" s="50" t="str">
        <f>VLOOKUP(C427,Product!A$2:B$21,1,0)</f>
        <v>PD0011</v>
      </c>
      <c r="E427" s="36">
        <v>118</v>
      </c>
      <c r="F427" s="38">
        <v>247742180</v>
      </c>
      <c r="G427" s="39" t="s">
        <v>2801</v>
      </c>
      <c r="H427" s="12"/>
      <c r="L427" s="12"/>
    </row>
    <row r="428" spans="1:12" ht="15.75" customHeight="1" x14ac:dyDescent="0.3">
      <c r="A428" s="29" t="s">
        <v>377</v>
      </c>
      <c r="B428" s="50" t="str">
        <f>VLOOKUP(A428,'Sales Order'!A$2:B$1029,1,0)</f>
        <v>SO0139</v>
      </c>
      <c r="C428" s="29" t="s">
        <v>33</v>
      </c>
      <c r="D428" s="50" t="str">
        <f>VLOOKUP(C428,Product!A$2:B$21,1,0)</f>
        <v>PD0004</v>
      </c>
      <c r="E428" s="36">
        <v>100</v>
      </c>
      <c r="F428" s="38">
        <v>20020000</v>
      </c>
      <c r="G428" s="39" t="s">
        <v>2802</v>
      </c>
      <c r="H428" s="12"/>
      <c r="L428" s="12"/>
    </row>
    <row r="429" spans="1:12" ht="15.75" customHeight="1" x14ac:dyDescent="0.3">
      <c r="A429" s="29" t="s">
        <v>377</v>
      </c>
      <c r="B429" s="50" t="str">
        <f>VLOOKUP(A429,'Sales Order'!A$2:B$1029,1,0)</f>
        <v>SO0139</v>
      </c>
      <c r="C429" s="29" t="s">
        <v>28</v>
      </c>
      <c r="D429" s="50" t="str">
        <f>VLOOKUP(C429,Product!A$2:B$21,1,0)</f>
        <v>PD0003</v>
      </c>
      <c r="E429" s="36">
        <v>57</v>
      </c>
      <c r="F429" s="38">
        <v>46698960</v>
      </c>
      <c r="G429" s="39" t="s">
        <v>2803</v>
      </c>
      <c r="H429" s="12"/>
      <c r="L429" s="12"/>
    </row>
    <row r="430" spans="1:12" ht="15.75" customHeight="1" x14ac:dyDescent="0.3">
      <c r="A430" s="17" t="s">
        <v>378</v>
      </c>
      <c r="B430" s="50" t="str">
        <f>VLOOKUP(A430,'Sales Order'!A$2:B$1029,1,0)</f>
        <v>SO0140</v>
      </c>
      <c r="C430" s="29" t="s">
        <v>72</v>
      </c>
      <c r="D430" s="50" t="str">
        <f>VLOOKUP(C430,Product!A$2:B$21,1,0)</f>
        <v>PD0016</v>
      </c>
      <c r="E430" s="36">
        <v>28</v>
      </c>
      <c r="F430" s="38">
        <v>5831280</v>
      </c>
      <c r="G430" s="39" t="s">
        <v>2804</v>
      </c>
      <c r="H430" s="12"/>
      <c r="L430" s="12"/>
    </row>
    <row r="431" spans="1:12" ht="15.75" customHeight="1" x14ac:dyDescent="0.3">
      <c r="A431" s="17" t="s">
        <v>379</v>
      </c>
      <c r="B431" s="50" t="str">
        <f>VLOOKUP(A431,'Sales Order'!A$2:B$1029,1,0)</f>
        <v>SO0141</v>
      </c>
      <c r="C431" s="29" t="s">
        <v>83</v>
      </c>
      <c r="D431" s="50" t="str">
        <f>VLOOKUP(C431,Product!A$2:B$21,1,0)</f>
        <v>PD0020</v>
      </c>
      <c r="E431" s="36">
        <v>115</v>
      </c>
      <c r="F431" s="38">
        <v>27686250</v>
      </c>
      <c r="G431" s="39" t="s">
        <v>2805</v>
      </c>
      <c r="H431" s="12"/>
      <c r="L431" s="12"/>
    </row>
    <row r="432" spans="1:12" ht="15.75" customHeight="1" x14ac:dyDescent="0.3">
      <c r="A432" s="29" t="s">
        <v>379</v>
      </c>
      <c r="B432" s="50" t="str">
        <f>VLOOKUP(A432,'Sales Order'!A$2:B$1029,1,0)</f>
        <v>SO0141</v>
      </c>
      <c r="C432" s="29" t="s">
        <v>52</v>
      </c>
      <c r="D432" s="50" t="str">
        <f>VLOOKUP(C432,Product!A$2:B$21,1,0)</f>
        <v>PD0010</v>
      </c>
      <c r="E432" s="36">
        <v>98</v>
      </c>
      <c r="F432" s="38">
        <v>26117000.000000004</v>
      </c>
      <c r="G432" s="39" t="s">
        <v>2806</v>
      </c>
      <c r="H432" s="12"/>
      <c r="L432" s="12"/>
    </row>
    <row r="433" spans="1:12" ht="15.75" customHeight="1" x14ac:dyDescent="0.3">
      <c r="A433" s="17" t="s">
        <v>380</v>
      </c>
      <c r="B433" s="50" t="str">
        <f>VLOOKUP(A433,'Sales Order'!A$2:B$1029,1,0)</f>
        <v>SO0142</v>
      </c>
      <c r="C433" s="29" t="s">
        <v>28</v>
      </c>
      <c r="D433" s="50" t="str">
        <f>VLOOKUP(C433,Product!A$2:B$21,1,0)</f>
        <v>PD0003</v>
      </c>
      <c r="E433" s="36">
        <v>67</v>
      </c>
      <c r="F433" s="38">
        <v>53644220</v>
      </c>
      <c r="G433" s="39" t="s">
        <v>2807</v>
      </c>
      <c r="H433" s="12"/>
      <c r="L433" s="12"/>
    </row>
    <row r="434" spans="1:12" ht="15.75" customHeight="1" x14ac:dyDescent="0.3">
      <c r="A434" s="29" t="s">
        <v>380</v>
      </c>
      <c r="B434" s="50" t="str">
        <f>VLOOKUP(A434,'Sales Order'!A$2:B$1029,1,0)</f>
        <v>SO0142</v>
      </c>
      <c r="C434" s="29" t="s">
        <v>72</v>
      </c>
      <c r="D434" s="50" t="str">
        <f>VLOOKUP(C434,Product!A$2:B$21,1,0)</f>
        <v>PD0016</v>
      </c>
      <c r="E434" s="36">
        <v>64</v>
      </c>
      <c r="F434" s="38">
        <v>15037440</v>
      </c>
      <c r="G434" s="39" t="s">
        <v>2808</v>
      </c>
      <c r="H434" s="12"/>
      <c r="L434" s="12"/>
    </row>
    <row r="435" spans="1:12" ht="15.75" customHeight="1" x14ac:dyDescent="0.3">
      <c r="A435" s="29" t="s">
        <v>380</v>
      </c>
      <c r="B435" s="50" t="str">
        <f>VLOOKUP(A435,'Sales Order'!A$2:B$1029,1,0)</f>
        <v>SO0142</v>
      </c>
      <c r="C435" s="29" t="s">
        <v>75</v>
      </c>
      <c r="D435" s="50" t="str">
        <f>VLOOKUP(C435,Product!A$2:B$21,1,0)</f>
        <v>PD0017</v>
      </c>
      <c r="E435" s="36">
        <v>66</v>
      </c>
      <c r="F435" s="38">
        <v>146916000</v>
      </c>
      <c r="G435" s="39" t="s">
        <v>2809</v>
      </c>
      <c r="H435" s="12"/>
      <c r="L435" s="12"/>
    </row>
    <row r="436" spans="1:12" ht="15.75" customHeight="1" x14ac:dyDescent="0.3">
      <c r="A436" s="29" t="s">
        <v>380</v>
      </c>
      <c r="B436" s="50" t="str">
        <f>VLOOKUP(A436,'Sales Order'!A$2:B$1029,1,0)</f>
        <v>SO0142</v>
      </c>
      <c r="C436" s="29" t="s">
        <v>65</v>
      </c>
      <c r="D436" s="50" t="str">
        <f>VLOOKUP(C436,Product!A$2:B$21,1,0)</f>
        <v>PD0014</v>
      </c>
      <c r="E436" s="36">
        <v>47</v>
      </c>
      <c r="F436" s="38">
        <v>10792140</v>
      </c>
      <c r="G436" s="39" t="s">
        <v>2810</v>
      </c>
      <c r="H436" s="12"/>
      <c r="L436" s="12"/>
    </row>
    <row r="437" spans="1:12" ht="15.75" customHeight="1" x14ac:dyDescent="0.3">
      <c r="A437" s="17" t="s">
        <v>381</v>
      </c>
      <c r="B437" s="50" t="str">
        <f>VLOOKUP(A437,'Sales Order'!A$2:B$1029,1,0)</f>
        <v>SO0143</v>
      </c>
      <c r="C437" s="29" t="s">
        <v>40</v>
      </c>
      <c r="D437" s="50" t="str">
        <f>VLOOKUP(C437,Product!A$2:B$21,1,0)</f>
        <v>PD0006</v>
      </c>
      <c r="E437" s="36">
        <v>44</v>
      </c>
      <c r="F437" s="38">
        <v>8092480</v>
      </c>
      <c r="G437" s="39" t="s">
        <v>2811</v>
      </c>
      <c r="H437" s="12"/>
      <c r="L437" s="12"/>
    </row>
    <row r="438" spans="1:12" ht="15.75" customHeight="1" x14ac:dyDescent="0.3">
      <c r="A438" s="29" t="s">
        <v>381</v>
      </c>
      <c r="B438" s="50" t="str">
        <f>VLOOKUP(A438,'Sales Order'!A$2:B$1029,1,0)</f>
        <v>SO0143</v>
      </c>
      <c r="C438" s="29" t="s">
        <v>28</v>
      </c>
      <c r="D438" s="50" t="str">
        <f>VLOOKUP(C438,Product!A$2:B$21,1,0)</f>
        <v>PD0003</v>
      </c>
      <c r="E438" s="36">
        <v>128</v>
      </c>
      <c r="F438" s="38">
        <v>97717760</v>
      </c>
      <c r="G438" s="39" t="s">
        <v>2812</v>
      </c>
      <c r="H438" s="12"/>
      <c r="L438" s="12"/>
    </row>
    <row r="439" spans="1:12" ht="15.75" customHeight="1" x14ac:dyDescent="0.3">
      <c r="A439" s="17" t="s">
        <v>382</v>
      </c>
      <c r="B439" s="50" t="str">
        <f>VLOOKUP(A439,'Sales Order'!A$2:B$1029,1,0)</f>
        <v>SO0144</v>
      </c>
      <c r="C439" s="29" t="s">
        <v>81</v>
      </c>
      <c r="D439" s="50" t="str">
        <f>VLOOKUP(C439,Product!A$2:B$21,1,0)</f>
        <v>PD0019</v>
      </c>
      <c r="E439" s="36">
        <v>63</v>
      </c>
      <c r="F439" s="38">
        <v>133287210</v>
      </c>
      <c r="G439" s="39" t="s">
        <v>2813</v>
      </c>
      <c r="H439" s="12"/>
      <c r="L439" s="12"/>
    </row>
    <row r="440" spans="1:12" ht="15.75" customHeight="1" x14ac:dyDescent="0.3">
      <c r="A440" s="29" t="s">
        <v>382</v>
      </c>
      <c r="B440" s="50" t="str">
        <f>VLOOKUP(A440,'Sales Order'!A$2:B$1029,1,0)</f>
        <v>SO0144</v>
      </c>
      <c r="C440" s="29" t="s">
        <v>35</v>
      </c>
      <c r="D440" s="50" t="str">
        <f>VLOOKUP(C440,Product!A$2:B$21,1,0)</f>
        <v>PD0005</v>
      </c>
      <c r="E440" s="36">
        <v>90</v>
      </c>
      <c r="F440" s="38">
        <v>160015500</v>
      </c>
      <c r="G440" s="39" t="s">
        <v>2814</v>
      </c>
      <c r="H440" s="12"/>
      <c r="L440" s="12"/>
    </row>
    <row r="441" spans="1:12" ht="15.75" customHeight="1" x14ac:dyDescent="0.3">
      <c r="A441" s="17" t="s">
        <v>383</v>
      </c>
      <c r="B441" s="50" t="str">
        <f>VLOOKUP(A441,'Sales Order'!A$2:B$1029,1,0)</f>
        <v>SO0145</v>
      </c>
      <c r="C441" s="29" t="s">
        <v>19</v>
      </c>
      <c r="D441" s="50" t="str">
        <f>VLOOKUP(C441,Product!A$2:B$21,1,0)</f>
        <v>PD0001</v>
      </c>
      <c r="E441" s="36">
        <v>116</v>
      </c>
      <c r="F441" s="38">
        <v>23684880</v>
      </c>
      <c r="G441" s="39" t="s">
        <v>2815</v>
      </c>
      <c r="H441" s="12"/>
      <c r="L441" s="12"/>
    </row>
    <row r="442" spans="1:12" ht="15.75" customHeight="1" x14ac:dyDescent="0.3">
      <c r="A442" s="29" t="s">
        <v>383</v>
      </c>
      <c r="B442" s="50" t="str">
        <f>VLOOKUP(A442,'Sales Order'!A$2:B$1029,1,0)</f>
        <v>SO0145</v>
      </c>
      <c r="C442" s="29" t="s">
        <v>78</v>
      </c>
      <c r="D442" s="50" t="str">
        <f>VLOOKUP(C442,Product!A$2:B$21,1,0)</f>
        <v>PD0018</v>
      </c>
      <c r="E442" s="36">
        <v>45</v>
      </c>
      <c r="F442" s="38">
        <v>21785400</v>
      </c>
      <c r="G442" s="39" t="s">
        <v>2816</v>
      </c>
      <c r="H442" s="12"/>
      <c r="L442" s="12"/>
    </row>
    <row r="443" spans="1:12" ht="15.75" customHeight="1" x14ac:dyDescent="0.3">
      <c r="A443" s="29" t="s">
        <v>383</v>
      </c>
      <c r="B443" s="50" t="str">
        <f>VLOOKUP(A443,'Sales Order'!A$2:B$1029,1,0)</f>
        <v>SO0145</v>
      </c>
      <c r="C443" s="29" t="s">
        <v>25</v>
      </c>
      <c r="D443" s="50" t="str">
        <f>VLOOKUP(C443,Product!A$2:B$21,1,0)</f>
        <v>PD0002</v>
      </c>
      <c r="E443" s="36">
        <v>92</v>
      </c>
      <c r="F443" s="38">
        <v>1453600</v>
      </c>
      <c r="G443" s="39" t="s">
        <v>2817</v>
      </c>
      <c r="H443" s="12"/>
      <c r="L443" s="12"/>
    </row>
    <row r="444" spans="1:12" ht="15.75" customHeight="1" x14ac:dyDescent="0.3">
      <c r="A444" s="29" t="s">
        <v>383</v>
      </c>
      <c r="B444" s="50" t="str">
        <f>VLOOKUP(A444,'Sales Order'!A$2:B$1029,1,0)</f>
        <v>SO0145</v>
      </c>
      <c r="C444" s="29" t="s">
        <v>72</v>
      </c>
      <c r="D444" s="50" t="str">
        <f>VLOOKUP(C444,Product!A$2:B$21,1,0)</f>
        <v>PD0016</v>
      </c>
      <c r="E444" s="36">
        <v>123</v>
      </c>
      <c r="F444" s="38">
        <v>29556900</v>
      </c>
      <c r="G444" s="39" t="s">
        <v>2818</v>
      </c>
      <c r="H444" s="12"/>
      <c r="L444" s="12"/>
    </row>
    <row r="445" spans="1:12" ht="15.75" customHeight="1" x14ac:dyDescent="0.3">
      <c r="A445" s="29" t="s">
        <v>384</v>
      </c>
      <c r="B445" s="50" t="str">
        <f>VLOOKUP(A445,'Sales Order'!A$2:B$1029,1,0)</f>
        <v>SO0146</v>
      </c>
      <c r="C445" s="29" t="s">
        <v>72</v>
      </c>
      <c r="D445" s="50" t="str">
        <f>VLOOKUP(C445,Product!A$2:B$21,1,0)</f>
        <v>PD0016</v>
      </c>
      <c r="E445" s="36">
        <v>130</v>
      </c>
      <c r="F445" s="38">
        <v>26032500</v>
      </c>
      <c r="G445" s="39" t="s">
        <v>2819</v>
      </c>
      <c r="H445" s="12"/>
      <c r="L445" s="12"/>
    </row>
    <row r="446" spans="1:12" ht="15.75" customHeight="1" x14ac:dyDescent="0.3">
      <c r="A446" s="17" t="s">
        <v>385</v>
      </c>
      <c r="B446" s="50" t="str">
        <f>VLOOKUP(A446,'Sales Order'!A$2:B$1029,1,0)</f>
        <v>SO0147</v>
      </c>
      <c r="C446" s="29" t="s">
        <v>48</v>
      </c>
      <c r="D446" s="50" t="str">
        <f>VLOOKUP(C446,Product!A$2:B$21,1,0)</f>
        <v>PD0009</v>
      </c>
      <c r="E446" s="36">
        <v>63</v>
      </c>
      <c r="F446" s="38">
        <v>6989220</v>
      </c>
      <c r="G446" s="39" t="s">
        <v>2820</v>
      </c>
      <c r="H446" s="12"/>
      <c r="L446" s="12"/>
    </row>
    <row r="447" spans="1:12" ht="15.75" customHeight="1" x14ac:dyDescent="0.3">
      <c r="A447" s="29" t="s">
        <v>385</v>
      </c>
      <c r="B447" s="50" t="str">
        <f>VLOOKUP(A447,'Sales Order'!A$2:B$1029,1,0)</f>
        <v>SO0147</v>
      </c>
      <c r="C447" s="29" t="s">
        <v>83</v>
      </c>
      <c r="D447" s="50" t="str">
        <f>VLOOKUP(C447,Product!A$2:B$21,1,0)</f>
        <v>PD0020</v>
      </c>
      <c r="E447" s="36">
        <v>35</v>
      </c>
      <c r="F447" s="38">
        <v>9999150</v>
      </c>
      <c r="G447" s="39" t="s">
        <v>2821</v>
      </c>
      <c r="H447" s="12"/>
      <c r="L447" s="12"/>
    </row>
    <row r="448" spans="1:12" ht="15.75" customHeight="1" x14ac:dyDescent="0.3">
      <c r="A448" s="29" t="s">
        <v>385</v>
      </c>
      <c r="B448" s="50" t="str">
        <f>VLOOKUP(A448,'Sales Order'!A$2:B$1029,1,0)</f>
        <v>SO0147</v>
      </c>
      <c r="C448" s="29" t="s">
        <v>78</v>
      </c>
      <c r="D448" s="50" t="str">
        <f>VLOOKUP(C448,Product!A$2:B$21,1,0)</f>
        <v>PD0018</v>
      </c>
      <c r="E448" s="36">
        <v>35</v>
      </c>
      <c r="F448" s="38">
        <v>13965000</v>
      </c>
      <c r="G448" s="39" t="s">
        <v>2822</v>
      </c>
      <c r="H448" s="12"/>
      <c r="L448" s="12"/>
    </row>
    <row r="449" spans="1:12" ht="15.75" customHeight="1" x14ac:dyDescent="0.3">
      <c r="A449" s="29" t="s">
        <v>385</v>
      </c>
      <c r="B449" s="50" t="str">
        <f>VLOOKUP(A449,'Sales Order'!A$2:B$1029,1,0)</f>
        <v>SO0147</v>
      </c>
      <c r="C449" s="29" t="s">
        <v>52</v>
      </c>
      <c r="D449" s="50" t="str">
        <f>VLOOKUP(C449,Product!A$2:B$21,1,0)</f>
        <v>PD0010</v>
      </c>
      <c r="E449" s="36">
        <v>51</v>
      </c>
      <c r="F449" s="38">
        <v>13094250</v>
      </c>
      <c r="G449" s="39" t="s">
        <v>2823</v>
      </c>
      <c r="H449" s="12"/>
      <c r="L449" s="12"/>
    </row>
    <row r="450" spans="1:12" ht="15.75" customHeight="1" x14ac:dyDescent="0.3">
      <c r="A450" s="29" t="s">
        <v>385</v>
      </c>
      <c r="B450" s="50" t="str">
        <f>VLOOKUP(A450,'Sales Order'!A$2:B$1029,1,0)</f>
        <v>SO0147</v>
      </c>
      <c r="C450" s="29" t="s">
        <v>45</v>
      </c>
      <c r="D450" s="50" t="str">
        <f>VLOOKUP(C450,Product!A$2:B$21,1,0)</f>
        <v>PD0008</v>
      </c>
      <c r="E450" s="36">
        <v>116</v>
      </c>
      <c r="F450" s="38">
        <v>16419800</v>
      </c>
      <c r="G450" s="39" t="s">
        <v>2824</v>
      </c>
      <c r="H450" s="12"/>
      <c r="L450" s="12"/>
    </row>
    <row r="451" spans="1:12" ht="15.75" customHeight="1" x14ac:dyDescent="0.3">
      <c r="A451" s="17" t="s">
        <v>386</v>
      </c>
      <c r="B451" s="50" t="str">
        <f>VLOOKUP(A451,'Sales Order'!A$2:B$1029,1,0)</f>
        <v>SO0148</v>
      </c>
      <c r="C451" s="29" t="s">
        <v>75</v>
      </c>
      <c r="D451" s="50" t="str">
        <f>VLOOKUP(C451,Product!A$2:B$21,1,0)</f>
        <v>PD0017</v>
      </c>
      <c r="E451" s="36">
        <v>118</v>
      </c>
      <c r="F451" s="38">
        <v>272049000</v>
      </c>
      <c r="G451" s="39" t="s">
        <v>2825</v>
      </c>
      <c r="H451" s="12"/>
      <c r="L451" s="12"/>
    </row>
    <row r="452" spans="1:12" ht="15.75" customHeight="1" x14ac:dyDescent="0.3">
      <c r="A452" s="29" t="s">
        <v>386</v>
      </c>
      <c r="B452" s="50" t="str">
        <f>VLOOKUP(A452,'Sales Order'!A$2:B$1029,1,0)</f>
        <v>SO0148</v>
      </c>
      <c r="C452" s="29" t="s">
        <v>33</v>
      </c>
      <c r="D452" s="50" t="str">
        <f>VLOOKUP(C452,Product!A$2:B$21,1,0)</f>
        <v>PD0004</v>
      </c>
      <c r="E452" s="36">
        <v>105</v>
      </c>
      <c r="F452" s="38">
        <v>19635000</v>
      </c>
      <c r="G452" s="39" t="s">
        <v>2826</v>
      </c>
      <c r="H452" s="12"/>
      <c r="L452" s="12"/>
    </row>
    <row r="453" spans="1:12" ht="15.75" customHeight="1" x14ac:dyDescent="0.3">
      <c r="A453" s="29" t="s">
        <v>386</v>
      </c>
      <c r="B453" s="50" t="str">
        <f>VLOOKUP(A453,'Sales Order'!A$2:B$1029,1,0)</f>
        <v>SO0148</v>
      </c>
      <c r="C453" s="29" t="s">
        <v>58</v>
      </c>
      <c r="D453" s="50" t="str">
        <f>VLOOKUP(C453,Product!A$2:B$21,1,0)</f>
        <v>PD0012</v>
      </c>
      <c r="E453" s="36">
        <v>117</v>
      </c>
      <c r="F453" s="38">
        <v>613579590</v>
      </c>
      <c r="G453" s="39" t="s">
        <v>2827</v>
      </c>
      <c r="H453" s="12"/>
      <c r="L453" s="12"/>
    </row>
    <row r="454" spans="1:12" ht="15.75" customHeight="1" x14ac:dyDescent="0.3">
      <c r="A454" s="29" t="s">
        <v>386</v>
      </c>
      <c r="B454" s="50" t="str">
        <f>VLOOKUP(A454,'Sales Order'!A$2:B$1029,1,0)</f>
        <v>SO0148</v>
      </c>
      <c r="C454" s="29" t="s">
        <v>72</v>
      </c>
      <c r="D454" s="50" t="str">
        <f>VLOOKUP(C454,Product!A$2:B$21,1,0)</f>
        <v>PD0016</v>
      </c>
      <c r="E454" s="36">
        <v>86</v>
      </c>
      <c r="F454" s="38">
        <v>18139980</v>
      </c>
      <c r="G454" s="39" t="s">
        <v>2828</v>
      </c>
      <c r="H454" s="12"/>
      <c r="L454" s="12"/>
    </row>
    <row r="455" spans="1:12" ht="15.75" customHeight="1" x14ac:dyDescent="0.3">
      <c r="A455" s="17" t="s">
        <v>387</v>
      </c>
      <c r="B455" s="50" t="str">
        <f>VLOOKUP(A455,'Sales Order'!A$2:B$1029,1,0)</f>
        <v>SO0149</v>
      </c>
      <c r="C455" s="29" t="s">
        <v>43</v>
      </c>
      <c r="D455" s="50" t="str">
        <f>VLOOKUP(C455,Product!A$2:B$21,1,0)</f>
        <v>PD0007</v>
      </c>
      <c r="E455" s="36">
        <v>105</v>
      </c>
      <c r="F455" s="38">
        <v>262080000</v>
      </c>
      <c r="G455" s="39" t="s">
        <v>2829</v>
      </c>
      <c r="H455" s="12"/>
      <c r="L455" s="12"/>
    </row>
    <row r="456" spans="1:12" ht="15.75" customHeight="1" x14ac:dyDescent="0.3">
      <c r="A456" s="17" t="s">
        <v>388</v>
      </c>
      <c r="B456" s="50" t="str">
        <f>VLOOKUP(A456,'Sales Order'!A$2:B$1029,1,0)</f>
        <v>SO0150</v>
      </c>
      <c r="C456" s="29" t="s">
        <v>78</v>
      </c>
      <c r="D456" s="50" t="str">
        <f>VLOOKUP(C456,Product!A$2:B$21,1,0)</f>
        <v>PD0018</v>
      </c>
      <c r="E456" s="36">
        <v>52</v>
      </c>
      <c r="F456" s="38">
        <v>21577920</v>
      </c>
      <c r="G456" s="39" t="s">
        <v>2830</v>
      </c>
      <c r="H456" s="12"/>
      <c r="L456" s="12"/>
    </row>
    <row r="457" spans="1:12" ht="15.75" customHeight="1" x14ac:dyDescent="0.3">
      <c r="A457" s="29" t="s">
        <v>388</v>
      </c>
      <c r="B457" s="50" t="str">
        <f>VLOOKUP(A457,'Sales Order'!A$2:B$1029,1,0)</f>
        <v>SO0150</v>
      </c>
      <c r="C457" s="29" t="s">
        <v>35</v>
      </c>
      <c r="D457" s="50" t="str">
        <f>VLOOKUP(C457,Product!A$2:B$21,1,0)</f>
        <v>PD0005</v>
      </c>
      <c r="E457" s="36">
        <v>125</v>
      </c>
      <c r="F457" s="38">
        <v>230475000</v>
      </c>
      <c r="G457" s="39" t="s">
        <v>2831</v>
      </c>
      <c r="H457" s="12"/>
      <c r="L457" s="12"/>
    </row>
    <row r="458" spans="1:12" ht="15.75" customHeight="1" x14ac:dyDescent="0.3">
      <c r="A458" s="29" t="s">
        <v>388</v>
      </c>
      <c r="B458" s="50" t="str">
        <f>VLOOKUP(A458,'Sales Order'!A$2:B$1029,1,0)</f>
        <v>SO0150</v>
      </c>
      <c r="C458" s="29" t="s">
        <v>58</v>
      </c>
      <c r="D458" s="50" t="str">
        <f>VLOOKUP(C458,Product!A$2:B$21,1,0)</f>
        <v>PD0012</v>
      </c>
      <c r="E458" s="36">
        <v>110</v>
      </c>
      <c r="F458" s="38">
        <v>570666800</v>
      </c>
      <c r="G458" s="39" t="s">
        <v>2832</v>
      </c>
      <c r="H458" s="12"/>
      <c r="L458" s="12"/>
    </row>
    <row r="459" spans="1:12" ht="15.75" customHeight="1" x14ac:dyDescent="0.3">
      <c r="A459" s="29" t="s">
        <v>388</v>
      </c>
      <c r="B459" s="50" t="str">
        <f>VLOOKUP(A459,'Sales Order'!A$2:B$1029,1,0)</f>
        <v>SO0150</v>
      </c>
      <c r="C459" s="29" t="s">
        <v>25</v>
      </c>
      <c r="D459" s="50" t="str">
        <f>VLOOKUP(C459,Product!A$2:B$21,1,0)</f>
        <v>PD0002</v>
      </c>
      <c r="E459" s="36">
        <v>64</v>
      </c>
      <c r="F459" s="38">
        <v>960000</v>
      </c>
      <c r="G459" s="39" t="s">
        <v>2833</v>
      </c>
      <c r="H459" s="12"/>
      <c r="L459" s="12"/>
    </row>
    <row r="460" spans="1:12" ht="15.75" customHeight="1" x14ac:dyDescent="0.3">
      <c r="A460" s="29" t="s">
        <v>388</v>
      </c>
      <c r="B460" s="50" t="str">
        <f>VLOOKUP(A460,'Sales Order'!A$2:B$1029,1,0)</f>
        <v>SO0150</v>
      </c>
      <c r="C460" s="29" t="s">
        <v>45</v>
      </c>
      <c r="D460" s="50" t="str">
        <f>VLOOKUP(C460,Product!A$2:B$21,1,0)</f>
        <v>PD0008</v>
      </c>
      <c r="E460" s="36">
        <v>102</v>
      </c>
      <c r="F460" s="38">
        <v>14134139.999999998</v>
      </c>
      <c r="G460" s="39" t="s">
        <v>2834</v>
      </c>
      <c r="H460" s="12"/>
      <c r="L460" s="12"/>
    </row>
    <row r="461" spans="1:12" ht="15.75" customHeight="1" x14ac:dyDescent="0.3">
      <c r="A461" s="17" t="s">
        <v>389</v>
      </c>
      <c r="B461" s="50" t="str">
        <f>VLOOKUP(A461,'Sales Order'!A$2:B$1029,1,0)</f>
        <v>SO0151</v>
      </c>
      <c r="C461" s="29" t="s">
        <v>55</v>
      </c>
      <c r="D461" s="50" t="str">
        <f>VLOOKUP(C461,Product!A$2:B$21,1,0)</f>
        <v>PD0011</v>
      </c>
      <c r="E461" s="36">
        <v>27</v>
      </c>
      <c r="F461" s="38">
        <v>56686770</v>
      </c>
      <c r="G461" s="39" t="s">
        <v>2835</v>
      </c>
      <c r="H461" s="12"/>
      <c r="L461" s="12"/>
    </row>
    <row r="462" spans="1:12" ht="15.75" customHeight="1" x14ac:dyDescent="0.3">
      <c r="A462" s="29" t="s">
        <v>389</v>
      </c>
      <c r="B462" s="50" t="str">
        <f>VLOOKUP(A462,'Sales Order'!A$2:B$1029,1,0)</f>
        <v>SO0151</v>
      </c>
      <c r="C462" s="29" t="s">
        <v>19</v>
      </c>
      <c r="D462" s="50" t="str">
        <f>VLOOKUP(C462,Product!A$2:B$21,1,0)</f>
        <v>PD0001</v>
      </c>
      <c r="E462" s="36">
        <v>119</v>
      </c>
      <c r="F462" s="38">
        <v>24890040</v>
      </c>
      <c r="G462" s="39" t="s">
        <v>2836</v>
      </c>
      <c r="H462" s="12"/>
      <c r="L462" s="12"/>
    </row>
    <row r="463" spans="1:12" ht="15.75" customHeight="1" x14ac:dyDescent="0.3">
      <c r="A463" s="29" t="s">
        <v>389</v>
      </c>
      <c r="B463" s="50" t="str">
        <f>VLOOKUP(A463,'Sales Order'!A$2:B$1029,1,0)</f>
        <v>SO0151</v>
      </c>
      <c r="C463" s="29" t="s">
        <v>35</v>
      </c>
      <c r="D463" s="50" t="str">
        <f>VLOOKUP(C463,Product!A$2:B$21,1,0)</f>
        <v>PD0005</v>
      </c>
      <c r="E463" s="36">
        <v>66</v>
      </c>
      <c r="F463" s="38">
        <v>128934300</v>
      </c>
      <c r="G463" s="39" t="s">
        <v>2837</v>
      </c>
      <c r="H463" s="12"/>
      <c r="L463" s="12"/>
    </row>
    <row r="464" spans="1:12" ht="15.75" customHeight="1" x14ac:dyDescent="0.3">
      <c r="A464" s="17" t="s">
        <v>390</v>
      </c>
      <c r="B464" s="50" t="str">
        <f>VLOOKUP(A464,'Sales Order'!A$2:B$1029,1,0)</f>
        <v>SO0152</v>
      </c>
      <c r="C464" s="29" t="s">
        <v>25</v>
      </c>
      <c r="D464" s="50" t="str">
        <f>VLOOKUP(C464,Product!A$2:B$21,1,0)</f>
        <v>PD0002</v>
      </c>
      <c r="E464" s="36">
        <v>108</v>
      </c>
      <c r="F464" s="38">
        <v>1641600</v>
      </c>
      <c r="G464" s="39" t="s">
        <v>2838</v>
      </c>
      <c r="H464" s="12"/>
      <c r="L464" s="12"/>
    </row>
    <row r="465" spans="1:12" ht="15.75" customHeight="1" x14ac:dyDescent="0.3">
      <c r="A465" s="29" t="s">
        <v>390</v>
      </c>
      <c r="B465" s="50" t="str">
        <f>VLOOKUP(A465,'Sales Order'!A$2:B$1029,1,0)</f>
        <v>SO0152</v>
      </c>
      <c r="C465" s="29" t="s">
        <v>19</v>
      </c>
      <c r="D465" s="50" t="str">
        <f>VLOOKUP(C465,Product!A$2:B$21,1,0)</f>
        <v>PD0001</v>
      </c>
      <c r="E465" s="36">
        <v>85</v>
      </c>
      <c r="F465" s="38">
        <v>18413550</v>
      </c>
      <c r="G465" s="39" t="s">
        <v>2839</v>
      </c>
      <c r="H465" s="12"/>
      <c r="L465" s="12"/>
    </row>
    <row r="466" spans="1:12" ht="15.75" customHeight="1" x14ac:dyDescent="0.3">
      <c r="A466" s="17" t="s">
        <v>391</v>
      </c>
      <c r="B466" s="50" t="str">
        <f>VLOOKUP(A466,'Sales Order'!A$2:B$1029,1,0)</f>
        <v>SO0153</v>
      </c>
      <c r="C466" s="29" t="s">
        <v>55</v>
      </c>
      <c r="D466" s="50" t="str">
        <f>VLOOKUP(C466,Product!A$2:B$21,1,0)</f>
        <v>PD0011</v>
      </c>
      <c r="E466" s="36">
        <v>71</v>
      </c>
      <c r="F466" s="38">
        <v>135666090</v>
      </c>
      <c r="G466" s="39" t="s">
        <v>2840</v>
      </c>
      <c r="H466" s="12"/>
      <c r="L466" s="12"/>
    </row>
    <row r="467" spans="1:12" ht="15.75" customHeight="1" x14ac:dyDescent="0.3">
      <c r="A467" s="29" t="s">
        <v>391</v>
      </c>
      <c r="B467" s="50" t="str">
        <f>VLOOKUP(A467,'Sales Order'!A$2:B$1029,1,0)</f>
        <v>SO0153</v>
      </c>
      <c r="C467" s="29" t="s">
        <v>40</v>
      </c>
      <c r="D467" s="50" t="str">
        <f>VLOOKUP(C467,Product!A$2:B$21,1,0)</f>
        <v>PD0006</v>
      </c>
      <c r="E467" s="36">
        <v>141</v>
      </c>
      <c r="F467" s="38">
        <v>26816790</v>
      </c>
      <c r="G467" s="39" t="s">
        <v>2841</v>
      </c>
      <c r="H467" s="12"/>
      <c r="L467" s="12"/>
    </row>
    <row r="468" spans="1:12" ht="15.75" customHeight="1" x14ac:dyDescent="0.3">
      <c r="A468" s="29" t="s">
        <v>391</v>
      </c>
      <c r="B468" s="50" t="str">
        <f>VLOOKUP(A468,'Sales Order'!A$2:B$1029,1,0)</f>
        <v>SO0153</v>
      </c>
      <c r="C468" s="29" t="s">
        <v>72</v>
      </c>
      <c r="D468" s="50" t="str">
        <f>VLOOKUP(C468,Product!A$2:B$21,1,0)</f>
        <v>PD0016</v>
      </c>
      <c r="E468" s="36">
        <v>51</v>
      </c>
      <c r="F468" s="38">
        <v>12936150</v>
      </c>
      <c r="G468" s="39" t="s">
        <v>2842</v>
      </c>
      <c r="H468" s="12"/>
      <c r="L468" s="12"/>
    </row>
    <row r="469" spans="1:12" ht="15.75" customHeight="1" x14ac:dyDescent="0.3">
      <c r="A469" s="29" t="s">
        <v>391</v>
      </c>
      <c r="B469" s="50" t="str">
        <f>VLOOKUP(A469,'Sales Order'!A$2:B$1029,1,0)</f>
        <v>SO0153</v>
      </c>
      <c r="C469" s="29" t="s">
        <v>65</v>
      </c>
      <c r="D469" s="50" t="str">
        <f>VLOOKUP(C469,Product!A$2:B$21,1,0)</f>
        <v>PD0014</v>
      </c>
      <c r="E469" s="36">
        <v>29</v>
      </c>
      <c r="F469" s="38">
        <v>6968700</v>
      </c>
      <c r="G469" s="39" t="s">
        <v>2843</v>
      </c>
      <c r="H469" s="12"/>
      <c r="L469" s="12"/>
    </row>
    <row r="470" spans="1:12" ht="15.75" customHeight="1" x14ac:dyDescent="0.3">
      <c r="A470" s="17" t="s">
        <v>392</v>
      </c>
      <c r="B470" s="50" t="str">
        <f>VLOOKUP(A470,'Sales Order'!A$2:B$1029,1,0)</f>
        <v>SO0154</v>
      </c>
      <c r="C470" s="29" t="s">
        <v>75</v>
      </c>
      <c r="D470" s="50" t="str">
        <f>VLOOKUP(C470,Product!A$2:B$21,1,0)</f>
        <v>PD0017</v>
      </c>
      <c r="E470" s="36">
        <v>74</v>
      </c>
      <c r="F470" s="38">
        <v>164724000</v>
      </c>
      <c r="G470" s="39" t="s">
        <v>2844</v>
      </c>
      <c r="H470" s="12"/>
      <c r="L470" s="12"/>
    </row>
    <row r="471" spans="1:12" ht="15.75" customHeight="1" x14ac:dyDescent="0.3">
      <c r="A471" s="29" t="s">
        <v>392</v>
      </c>
      <c r="B471" s="50" t="str">
        <f>VLOOKUP(A471,'Sales Order'!A$2:B$1029,1,0)</f>
        <v>SO0154</v>
      </c>
      <c r="C471" s="29" t="s">
        <v>72</v>
      </c>
      <c r="D471" s="50" t="str">
        <f>VLOOKUP(C471,Product!A$2:B$21,1,0)</f>
        <v>PD0016</v>
      </c>
      <c r="E471" s="36">
        <v>123</v>
      </c>
      <c r="F471" s="38">
        <v>29228490</v>
      </c>
      <c r="G471" s="39" t="s">
        <v>2845</v>
      </c>
      <c r="H471" s="12"/>
      <c r="L471" s="12"/>
    </row>
    <row r="472" spans="1:12" ht="15.75" customHeight="1" x14ac:dyDescent="0.3">
      <c r="A472" s="29" t="s">
        <v>392</v>
      </c>
      <c r="B472" s="50" t="str">
        <f>VLOOKUP(A472,'Sales Order'!A$2:B$1029,1,0)</f>
        <v>SO0154</v>
      </c>
      <c r="C472" s="29" t="s">
        <v>65</v>
      </c>
      <c r="D472" s="50" t="str">
        <f>VLOOKUP(C472,Product!A$2:B$21,1,0)</f>
        <v>PD0014</v>
      </c>
      <c r="E472" s="36">
        <v>141</v>
      </c>
      <c r="F472" s="38">
        <v>28988190</v>
      </c>
      <c r="G472" s="39" t="s">
        <v>2846</v>
      </c>
      <c r="H472" s="12"/>
      <c r="L472" s="12"/>
    </row>
    <row r="473" spans="1:12" ht="15.75" customHeight="1" x14ac:dyDescent="0.3">
      <c r="A473" s="17" t="s">
        <v>393</v>
      </c>
      <c r="B473" s="50" t="str">
        <f>VLOOKUP(A473,'Sales Order'!A$2:B$1029,1,0)</f>
        <v>SO0155</v>
      </c>
      <c r="C473" s="29" t="s">
        <v>83</v>
      </c>
      <c r="D473" s="50" t="str">
        <f>VLOOKUP(C473,Product!A$2:B$21,1,0)</f>
        <v>PD0020</v>
      </c>
      <c r="E473" s="36">
        <v>143</v>
      </c>
      <c r="F473" s="38">
        <v>42689790</v>
      </c>
      <c r="G473" s="39" t="s">
        <v>2847</v>
      </c>
      <c r="H473" s="12"/>
      <c r="L473" s="12"/>
    </row>
    <row r="474" spans="1:12" ht="15.75" customHeight="1" x14ac:dyDescent="0.3">
      <c r="A474" s="29" t="s">
        <v>393</v>
      </c>
      <c r="B474" s="50" t="str">
        <f>VLOOKUP(A474,'Sales Order'!A$2:B$1029,1,0)</f>
        <v>SO0155</v>
      </c>
      <c r="C474" s="29" t="s">
        <v>72</v>
      </c>
      <c r="D474" s="50" t="str">
        <f>VLOOKUP(C474,Product!A$2:B$21,1,0)</f>
        <v>PD0016</v>
      </c>
      <c r="E474" s="36">
        <v>93</v>
      </c>
      <c r="F474" s="38">
        <v>19616490</v>
      </c>
      <c r="G474" s="39" t="s">
        <v>2848</v>
      </c>
      <c r="H474" s="12"/>
      <c r="L474" s="12"/>
    </row>
    <row r="475" spans="1:12" ht="15.75" customHeight="1" x14ac:dyDescent="0.3">
      <c r="A475" s="17" t="s">
        <v>394</v>
      </c>
      <c r="B475" s="50" t="str">
        <f>VLOOKUP(A475,'Sales Order'!A$2:B$1029,1,0)</f>
        <v>SO0156</v>
      </c>
      <c r="C475" s="29" t="s">
        <v>81</v>
      </c>
      <c r="D475" s="50" t="str">
        <f>VLOOKUP(C475,Product!A$2:B$21,1,0)</f>
        <v>PD0019</v>
      </c>
      <c r="E475" s="36">
        <v>93</v>
      </c>
      <c r="F475" s="38">
        <v>201498450</v>
      </c>
      <c r="G475" s="39" t="s">
        <v>2849</v>
      </c>
      <c r="H475" s="12"/>
      <c r="L475" s="12"/>
    </row>
    <row r="476" spans="1:12" ht="15.75" customHeight="1" x14ac:dyDescent="0.3">
      <c r="A476" s="17" t="s">
        <v>395</v>
      </c>
      <c r="B476" s="50" t="str">
        <f>VLOOKUP(A476,'Sales Order'!A$2:B$1029,1,0)</f>
        <v>SO0157</v>
      </c>
      <c r="C476" s="29" t="s">
        <v>75</v>
      </c>
      <c r="D476" s="50" t="str">
        <f>VLOOKUP(C476,Product!A$2:B$21,1,0)</f>
        <v>PD0017</v>
      </c>
      <c r="E476" s="36">
        <v>101</v>
      </c>
      <c r="F476" s="38">
        <v>248914499.99999997</v>
      </c>
      <c r="G476" s="39" t="s">
        <v>2850</v>
      </c>
      <c r="H476" s="12"/>
      <c r="L476" s="12"/>
    </row>
    <row r="477" spans="1:12" ht="15.75" customHeight="1" x14ac:dyDescent="0.3">
      <c r="A477" s="29" t="s">
        <v>395</v>
      </c>
      <c r="B477" s="50" t="str">
        <f>VLOOKUP(A477,'Sales Order'!A$2:B$1029,1,0)</f>
        <v>SO0157</v>
      </c>
      <c r="C477" s="29" t="s">
        <v>28</v>
      </c>
      <c r="D477" s="50" t="str">
        <f>VLOOKUP(C477,Product!A$2:B$21,1,0)</f>
        <v>PD0003</v>
      </c>
      <c r="E477" s="36">
        <v>78</v>
      </c>
      <c r="F477" s="38">
        <v>56642040</v>
      </c>
      <c r="G477" s="39" t="s">
        <v>2851</v>
      </c>
      <c r="H477" s="12"/>
      <c r="L477" s="12"/>
    </row>
    <row r="478" spans="1:12" ht="15.75" customHeight="1" x14ac:dyDescent="0.3">
      <c r="A478" s="17" t="s">
        <v>397</v>
      </c>
      <c r="B478" s="50" t="str">
        <f>VLOOKUP(A478,'Sales Order'!A$2:B$1029,1,0)</f>
        <v>SO0159</v>
      </c>
      <c r="C478" s="29" t="s">
        <v>19</v>
      </c>
      <c r="D478" s="50" t="str">
        <f>VLOOKUP(C478,Product!A$2:B$21,1,0)</f>
        <v>PD0001</v>
      </c>
      <c r="E478" s="36">
        <v>131</v>
      </c>
      <c r="F478" s="38">
        <v>27726150</v>
      </c>
      <c r="G478" s="39" t="s">
        <v>2852</v>
      </c>
      <c r="H478" s="12"/>
      <c r="L478" s="12"/>
    </row>
    <row r="479" spans="1:12" ht="15.75" customHeight="1" x14ac:dyDescent="0.3">
      <c r="A479" s="29" t="s">
        <v>397</v>
      </c>
      <c r="B479" s="50" t="str">
        <f>VLOOKUP(A479,'Sales Order'!A$2:B$1029,1,0)</f>
        <v>SO0159</v>
      </c>
      <c r="C479" s="29" t="s">
        <v>81</v>
      </c>
      <c r="D479" s="50" t="str">
        <f>VLOOKUP(C479,Product!A$2:B$21,1,0)</f>
        <v>PD0019</v>
      </c>
      <c r="E479" s="36">
        <v>132</v>
      </c>
      <c r="F479" s="38">
        <v>292727160</v>
      </c>
      <c r="G479" s="39" t="s">
        <v>2853</v>
      </c>
      <c r="H479" s="12"/>
      <c r="L479" s="12"/>
    </row>
    <row r="480" spans="1:12" ht="15.75" customHeight="1" x14ac:dyDescent="0.3">
      <c r="A480" s="29" t="s">
        <v>397</v>
      </c>
      <c r="B480" s="50" t="str">
        <f>VLOOKUP(A480,'Sales Order'!A$2:B$1029,1,0)</f>
        <v>SO0159</v>
      </c>
      <c r="C480" s="29" t="s">
        <v>78</v>
      </c>
      <c r="D480" s="50" t="str">
        <f>VLOOKUP(C480,Product!A$2:B$21,1,0)</f>
        <v>PD0018</v>
      </c>
      <c r="E480" s="36">
        <v>29</v>
      </c>
      <c r="F480" s="38">
        <v>11571000</v>
      </c>
      <c r="G480" s="39" t="s">
        <v>2854</v>
      </c>
      <c r="H480" s="12"/>
      <c r="L480" s="12"/>
    </row>
    <row r="481" spans="1:12" ht="15.75" customHeight="1" x14ac:dyDescent="0.3">
      <c r="A481" s="29" t="s">
        <v>397</v>
      </c>
      <c r="B481" s="50" t="str">
        <f>VLOOKUP(A481,'Sales Order'!A$2:B$1029,1,0)</f>
        <v>SO0159</v>
      </c>
      <c r="C481" s="29" t="s">
        <v>61</v>
      </c>
      <c r="D481" s="50" t="str">
        <f>VLOOKUP(C481,Product!A$2:B$21,1,0)</f>
        <v>PD0013</v>
      </c>
      <c r="E481" s="36">
        <v>120</v>
      </c>
      <c r="F481" s="38">
        <v>47708400</v>
      </c>
      <c r="G481" s="39" t="s">
        <v>2855</v>
      </c>
      <c r="H481" s="12"/>
      <c r="L481" s="12"/>
    </row>
    <row r="482" spans="1:12" ht="15.75" customHeight="1" x14ac:dyDescent="0.3">
      <c r="A482" s="29" t="s">
        <v>397</v>
      </c>
      <c r="B482" s="50" t="str">
        <f>VLOOKUP(A482,'Sales Order'!A$2:B$1029,1,0)</f>
        <v>SO0159</v>
      </c>
      <c r="C482" s="29" t="s">
        <v>33</v>
      </c>
      <c r="D482" s="50" t="str">
        <f>VLOOKUP(C482,Product!A$2:B$21,1,0)</f>
        <v>PD0004</v>
      </c>
      <c r="E482" s="36">
        <v>140</v>
      </c>
      <c r="F482" s="38">
        <v>25872000</v>
      </c>
      <c r="G482" s="39" t="s">
        <v>2856</v>
      </c>
      <c r="H482" s="12"/>
      <c r="L482" s="12"/>
    </row>
    <row r="483" spans="1:12" ht="15.75" customHeight="1" x14ac:dyDescent="0.3">
      <c r="A483" s="17" t="s">
        <v>398</v>
      </c>
      <c r="B483" s="50" t="str">
        <f>VLOOKUP(A483,'Sales Order'!A$2:B$1029,1,0)</f>
        <v>SO0160</v>
      </c>
      <c r="C483" s="29" t="s">
        <v>65</v>
      </c>
      <c r="D483" s="50" t="str">
        <f>VLOOKUP(C483,Product!A$2:B$21,1,0)</f>
        <v>PD0014</v>
      </c>
      <c r="E483" s="36">
        <v>131</v>
      </c>
      <c r="F483" s="38">
        <v>27981600</v>
      </c>
      <c r="G483" s="39" t="s">
        <v>2857</v>
      </c>
      <c r="H483" s="12"/>
      <c r="L483" s="12"/>
    </row>
    <row r="484" spans="1:12" ht="15.75" customHeight="1" x14ac:dyDescent="0.3">
      <c r="A484" s="29" t="s">
        <v>398</v>
      </c>
      <c r="B484" s="50" t="str">
        <f>VLOOKUP(A484,'Sales Order'!A$2:B$1029,1,0)</f>
        <v>SO0160</v>
      </c>
      <c r="C484" s="29" t="s">
        <v>19</v>
      </c>
      <c r="D484" s="50" t="str">
        <f>VLOOKUP(C484,Product!A$2:B$21,1,0)</f>
        <v>PD0001</v>
      </c>
      <c r="E484" s="36">
        <v>30</v>
      </c>
      <c r="F484" s="38">
        <v>6573600</v>
      </c>
      <c r="G484" s="39" t="s">
        <v>2858</v>
      </c>
      <c r="H484" s="12"/>
      <c r="L484" s="12"/>
    </row>
    <row r="485" spans="1:12" ht="15.75" customHeight="1" x14ac:dyDescent="0.3">
      <c r="A485" s="29" t="s">
        <v>398</v>
      </c>
      <c r="B485" s="50" t="str">
        <f>VLOOKUP(A485,'Sales Order'!A$2:B$1029,1,0)</f>
        <v>SO0160</v>
      </c>
      <c r="C485" s="29" t="s">
        <v>72</v>
      </c>
      <c r="D485" s="50" t="str">
        <f>VLOOKUP(C485,Product!A$2:B$21,1,0)</f>
        <v>PD0016</v>
      </c>
      <c r="E485" s="36">
        <v>133</v>
      </c>
      <c r="F485" s="38">
        <v>31604790</v>
      </c>
      <c r="G485" s="39" t="s">
        <v>2859</v>
      </c>
      <c r="H485" s="12"/>
      <c r="L485" s="12"/>
    </row>
    <row r="486" spans="1:12" ht="15.75" customHeight="1" x14ac:dyDescent="0.3">
      <c r="A486" s="29" t="s">
        <v>398</v>
      </c>
      <c r="B486" s="50" t="str">
        <f>VLOOKUP(A486,'Sales Order'!A$2:B$1029,1,0)</f>
        <v>SO0160</v>
      </c>
      <c r="C486" s="29" t="s">
        <v>43</v>
      </c>
      <c r="D486" s="50" t="str">
        <f>VLOOKUP(C486,Product!A$2:B$21,1,0)</f>
        <v>PD0007</v>
      </c>
      <c r="E486" s="36">
        <v>104</v>
      </c>
      <c r="F486" s="38">
        <v>299520000</v>
      </c>
      <c r="G486" s="39" t="s">
        <v>2860</v>
      </c>
      <c r="H486" s="12"/>
      <c r="L486" s="12"/>
    </row>
    <row r="487" spans="1:12" ht="15.75" customHeight="1" x14ac:dyDescent="0.3">
      <c r="A487" s="29" t="s">
        <v>399</v>
      </c>
      <c r="B487" s="50" t="str">
        <f>VLOOKUP(A487,'Sales Order'!A$2:B$1029,1,0)</f>
        <v>SO0161</v>
      </c>
      <c r="C487" s="29" t="s">
        <v>45</v>
      </c>
      <c r="D487" s="50" t="str">
        <f>VLOOKUP(C487,Product!A$2:B$21,1,0)</f>
        <v>PD0008</v>
      </c>
      <c r="E487" s="36">
        <v>28</v>
      </c>
      <c r="F487" s="38">
        <v>3796520</v>
      </c>
      <c r="G487" s="39" t="s">
        <v>2861</v>
      </c>
      <c r="H487" s="12"/>
      <c r="L487" s="12"/>
    </row>
    <row r="488" spans="1:12" ht="15.75" customHeight="1" x14ac:dyDescent="0.3">
      <c r="A488" s="29" t="s">
        <v>399</v>
      </c>
      <c r="B488" s="50" t="str">
        <f>VLOOKUP(A488,'Sales Order'!A$2:B$1029,1,0)</f>
        <v>SO0161</v>
      </c>
      <c r="C488" s="29" t="s">
        <v>55</v>
      </c>
      <c r="D488" s="50" t="str">
        <f>VLOOKUP(C488,Product!A$2:B$21,1,0)</f>
        <v>PD0011</v>
      </c>
      <c r="E488" s="36">
        <v>128</v>
      </c>
      <c r="F488" s="38">
        <v>265717760</v>
      </c>
      <c r="G488" s="39" t="s">
        <v>2862</v>
      </c>
      <c r="H488" s="12"/>
      <c r="L488" s="12"/>
    </row>
    <row r="489" spans="1:12" ht="15.75" customHeight="1" x14ac:dyDescent="0.3">
      <c r="A489" s="29" t="s">
        <v>399</v>
      </c>
      <c r="B489" s="50" t="str">
        <f>VLOOKUP(A489,'Sales Order'!A$2:B$1029,1,0)</f>
        <v>SO0161</v>
      </c>
      <c r="C489" s="29" t="s">
        <v>33</v>
      </c>
      <c r="D489" s="50" t="str">
        <f>VLOOKUP(C489,Product!A$2:B$21,1,0)</f>
        <v>PD0004</v>
      </c>
      <c r="E489" s="36">
        <v>96</v>
      </c>
      <c r="F489" s="38">
        <v>19852800</v>
      </c>
      <c r="G489" s="39" t="s">
        <v>2863</v>
      </c>
      <c r="H489" s="12"/>
      <c r="L489" s="12"/>
    </row>
    <row r="490" spans="1:12" ht="15.75" customHeight="1" x14ac:dyDescent="0.3">
      <c r="A490" s="17" t="s">
        <v>401</v>
      </c>
      <c r="B490" s="50" t="str">
        <f>VLOOKUP(A490,'Sales Order'!A$2:B$1029,1,0)</f>
        <v>SO0163</v>
      </c>
      <c r="C490" s="29" t="s">
        <v>78</v>
      </c>
      <c r="D490" s="50" t="str">
        <f>VLOOKUP(C490,Product!A$2:B$21,1,0)</f>
        <v>PD0018</v>
      </c>
      <c r="E490" s="36">
        <v>98</v>
      </c>
      <c r="F490" s="38">
        <v>46922400</v>
      </c>
      <c r="G490" s="39" t="s">
        <v>2864</v>
      </c>
      <c r="H490" s="12"/>
      <c r="L490" s="12"/>
    </row>
    <row r="491" spans="1:12" ht="15.75" customHeight="1" x14ac:dyDescent="0.3">
      <c r="A491" s="17" t="s">
        <v>402</v>
      </c>
      <c r="B491" s="50" t="str">
        <f>VLOOKUP(A491,'Sales Order'!A$2:B$1029,1,0)</f>
        <v>SO0164</v>
      </c>
      <c r="C491" s="29" t="s">
        <v>81</v>
      </c>
      <c r="D491" s="50" t="str">
        <f>VLOOKUP(C491,Product!A$2:B$21,1,0)</f>
        <v>PD0019</v>
      </c>
      <c r="E491" s="36">
        <v>40</v>
      </c>
      <c r="F491" s="38">
        <v>95842400</v>
      </c>
      <c r="G491" s="39" t="s">
        <v>2865</v>
      </c>
      <c r="H491" s="12"/>
      <c r="L491" s="12"/>
    </row>
    <row r="492" spans="1:12" ht="15.75" customHeight="1" x14ac:dyDescent="0.3">
      <c r="A492" s="29" t="s">
        <v>402</v>
      </c>
      <c r="B492" s="50" t="str">
        <f>VLOOKUP(A492,'Sales Order'!A$2:B$1029,1,0)</f>
        <v>SO0164</v>
      </c>
      <c r="C492" s="29" t="s">
        <v>83</v>
      </c>
      <c r="D492" s="50" t="str">
        <f>VLOOKUP(C492,Product!A$2:B$21,1,0)</f>
        <v>PD0020</v>
      </c>
      <c r="E492" s="36">
        <v>137</v>
      </c>
      <c r="F492" s="38">
        <v>35181600</v>
      </c>
      <c r="G492" s="39" t="s">
        <v>2866</v>
      </c>
      <c r="H492" s="12"/>
      <c r="L492" s="12"/>
    </row>
    <row r="493" spans="1:12" ht="15.75" customHeight="1" x14ac:dyDescent="0.3">
      <c r="A493" s="29" t="s">
        <v>402</v>
      </c>
      <c r="B493" s="50" t="str">
        <f>VLOOKUP(A493,'Sales Order'!A$2:B$1029,1,0)</f>
        <v>SO0164</v>
      </c>
      <c r="C493" s="29" t="s">
        <v>48</v>
      </c>
      <c r="D493" s="50" t="str">
        <f>VLOOKUP(C493,Product!A$2:B$21,1,0)</f>
        <v>PD0009</v>
      </c>
      <c r="E493" s="36">
        <v>90</v>
      </c>
      <c r="F493" s="38">
        <v>10913400</v>
      </c>
      <c r="G493" s="39" t="s">
        <v>2867</v>
      </c>
      <c r="H493" s="12"/>
      <c r="L493" s="12"/>
    </row>
    <row r="494" spans="1:12" ht="15.75" customHeight="1" x14ac:dyDescent="0.3">
      <c r="A494" s="29" t="s">
        <v>402</v>
      </c>
      <c r="B494" s="50" t="str">
        <f>VLOOKUP(A494,'Sales Order'!A$2:B$1029,1,0)</f>
        <v>SO0164</v>
      </c>
      <c r="C494" s="29" t="s">
        <v>45</v>
      </c>
      <c r="D494" s="50" t="str">
        <f>VLOOKUP(C494,Product!A$2:B$21,1,0)</f>
        <v>PD0008</v>
      </c>
      <c r="E494" s="36">
        <v>54</v>
      </c>
      <c r="F494" s="38">
        <v>6114960</v>
      </c>
      <c r="G494" s="39" t="s">
        <v>2868</v>
      </c>
      <c r="H494" s="12"/>
      <c r="L494" s="12"/>
    </row>
    <row r="495" spans="1:12" ht="15.75" customHeight="1" x14ac:dyDescent="0.3">
      <c r="A495" s="17" t="s">
        <v>403</v>
      </c>
      <c r="B495" s="50" t="str">
        <f>VLOOKUP(A495,'Sales Order'!A$2:B$1029,1,0)</f>
        <v>SO0165</v>
      </c>
      <c r="C495" s="29" t="s">
        <v>81</v>
      </c>
      <c r="D495" s="50" t="str">
        <f>VLOOKUP(C495,Product!A$2:B$21,1,0)</f>
        <v>PD0019</v>
      </c>
      <c r="E495" s="36">
        <v>135</v>
      </c>
      <c r="F495" s="38">
        <v>323468100</v>
      </c>
      <c r="G495" s="39" t="s">
        <v>2869</v>
      </c>
      <c r="H495" s="12"/>
      <c r="L495" s="12"/>
    </row>
    <row r="496" spans="1:12" ht="15.75" customHeight="1" x14ac:dyDescent="0.3">
      <c r="A496" s="29" t="s">
        <v>403</v>
      </c>
      <c r="B496" s="50" t="str">
        <f>VLOOKUP(A496,'Sales Order'!A$2:B$1029,1,0)</f>
        <v>SO0165</v>
      </c>
      <c r="C496" s="29" t="s">
        <v>83</v>
      </c>
      <c r="D496" s="50" t="str">
        <f>VLOOKUP(C496,Product!A$2:B$21,1,0)</f>
        <v>PD0020</v>
      </c>
      <c r="E496" s="36">
        <v>34</v>
      </c>
      <c r="F496" s="38">
        <v>9167760</v>
      </c>
      <c r="G496" s="39" t="s">
        <v>2870</v>
      </c>
      <c r="H496" s="12"/>
      <c r="L496" s="12"/>
    </row>
    <row r="497" spans="1:12" ht="15.75" customHeight="1" x14ac:dyDescent="0.3">
      <c r="A497" s="29" t="s">
        <v>403</v>
      </c>
      <c r="B497" s="50" t="str">
        <f>VLOOKUP(A497,'Sales Order'!A$2:B$1029,1,0)</f>
        <v>SO0165</v>
      </c>
      <c r="C497" s="29" t="s">
        <v>52</v>
      </c>
      <c r="D497" s="50" t="str">
        <f>VLOOKUP(C497,Product!A$2:B$21,1,0)</f>
        <v>PD0010</v>
      </c>
      <c r="E497" s="36">
        <v>31</v>
      </c>
      <c r="F497" s="38">
        <v>8362250</v>
      </c>
      <c r="G497" s="39" t="s">
        <v>2871</v>
      </c>
      <c r="H497" s="12"/>
      <c r="L497" s="12"/>
    </row>
    <row r="498" spans="1:12" ht="15.75" customHeight="1" x14ac:dyDescent="0.3">
      <c r="A498" s="29" t="s">
        <v>403</v>
      </c>
      <c r="B498" s="50" t="str">
        <f>VLOOKUP(A498,'Sales Order'!A$2:B$1029,1,0)</f>
        <v>SO0165</v>
      </c>
      <c r="C498" s="29" t="s">
        <v>35</v>
      </c>
      <c r="D498" s="50" t="str">
        <f>VLOOKUP(C498,Product!A$2:B$21,1,0)</f>
        <v>PD0005</v>
      </c>
      <c r="E498" s="36">
        <v>114</v>
      </c>
      <c r="F498" s="38">
        <v>220202400</v>
      </c>
      <c r="G498" s="39" t="s">
        <v>2872</v>
      </c>
      <c r="H498" s="12"/>
      <c r="L498" s="12"/>
    </row>
    <row r="499" spans="1:12" ht="15.75" customHeight="1" x14ac:dyDescent="0.3">
      <c r="A499" s="29" t="s">
        <v>403</v>
      </c>
      <c r="B499" s="50" t="str">
        <f>VLOOKUP(A499,'Sales Order'!A$2:B$1029,1,0)</f>
        <v>SO0165</v>
      </c>
      <c r="C499" s="29" t="s">
        <v>72</v>
      </c>
      <c r="D499" s="50" t="str">
        <f>VLOOKUP(C499,Product!A$2:B$21,1,0)</f>
        <v>PD0016</v>
      </c>
      <c r="E499" s="36">
        <v>102</v>
      </c>
      <c r="F499" s="38">
        <v>20425500</v>
      </c>
      <c r="G499" s="39" t="s">
        <v>2873</v>
      </c>
      <c r="H499" s="12"/>
      <c r="L499" s="12"/>
    </row>
    <row r="500" spans="1:12" ht="15.75" customHeight="1" x14ac:dyDescent="0.3">
      <c r="A500" s="17" t="s">
        <v>404</v>
      </c>
      <c r="B500" s="50" t="str">
        <f>VLOOKUP(A500,'Sales Order'!A$2:B$1029,1,0)</f>
        <v>SO0166</v>
      </c>
      <c r="C500" s="29" t="s">
        <v>83</v>
      </c>
      <c r="D500" s="50" t="str">
        <f>VLOOKUP(C500,Product!A$2:B$21,1,0)</f>
        <v>PD0020</v>
      </c>
      <c r="E500" s="36">
        <v>123</v>
      </c>
      <c r="F500" s="38">
        <v>37114020</v>
      </c>
      <c r="G500" s="39" t="s">
        <v>2874</v>
      </c>
      <c r="H500" s="12"/>
      <c r="L500" s="12"/>
    </row>
    <row r="501" spans="1:12" ht="15.75" customHeight="1" x14ac:dyDescent="0.3">
      <c r="A501" s="29" t="s">
        <v>404</v>
      </c>
      <c r="B501" s="50" t="str">
        <f>VLOOKUP(A501,'Sales Order'!A$2:B$1029,1,0)</f>
        <v>SO0166</v>
      </c>
      <c r="C501" s="29" t="s">
        <v>48</v>
      </c>
      <c r="D501" s="50" t="str">
        <f>VLOOKUP(C501,Product!A$2:B$21,1,0)</f>
        <v>PD0009</v>
      </c>
      <c r="E501" s="36">
        <v>140</v>
      </c>
      <c r="F501" s="38">
        <v>15892800</v>
      </c>
      <c r="G501" s="39" t="s">
        <v>2875</v>
      </c>
      <c r="H501" s="12"/>
      <c r="L501" s="12"/>
    </row>
    <row r="502" spans="1:12" ht="15.75" customHeight="1" x14ac:dyDescent="0.3">
      <c r="A502" s="17" t="s">
        <v>405</v>
      </c>
      <c r="B502" s="50" t="str">
        <f>VLOOKUP(A502,'Sales Order'!A$2:B$1029,1,0)</f>
        <v>SO0167</v>
      </c>
      <c r="C502" s="29" t="s">
        <v>40</v>
      </c>
      <c r="D502" s="50" t="str">
        <f>VLOOKUP(C502,Product!A$2:B$21,1,0)</f>
        <v>PD0006</v>
      </c>
      <c r="E502" s="36">
        <v>32</v>
      </c>
      <c r="F502" s="38">
        <v>5818560</v>
      </c>
      <c r="G502" s="39" t="s">
        <v>2876</v>
      </c>
      <c r="H502" s="12"/>
      <c r="L502" s="12"/>
    </row>
    <row r="503" spans="1:12" ht="15.75" customHeight="1" x14ac:dyDescent="0.3">
      <c r="A503" s="29" t="s">
        <v>405</v>
      </c>
      <c r="B503" s="50" t="str">
        <f>VLOOKUP(A503,'Sales Order'!A$2:B$1029,1,0)</f>
        <v>SO0167</v>
      </c>
      <c r="C503" s="29" t="s">
        <v>58</v>
      </c>
      <c r="D503" s="50" t="str">
        <f>VLOOKUP(C503,Product!A$2:B$21,1,0)</f>
        <v>PD0012</v>
      </c>
      <c r="E503" s="36">
        <v>145</v>
      </c>
      <c r="F503" s="38">
        <v>776772250</v>
      </c>
      <c r="G503" s="39" t="s">
        <v>2877</v>
      </c>
      <c r="H503" s="12"/>
      <c r="L503" s="12"/>
    </row>
    <row r="504" spans="1:12" ht="15.75" customHeight="1" x14ac:dyDescent="0.3">
      <c r="A504" s="29" t="s">
        <v>405</v>
      </c>
      <c r="B504" s="50" t="str">
        <f>VLOOKUP(A504,'Sales Order'!A$2:B$1029,1,0)</f>
        <v>SO0167</v>
      </c>
      <c r="C504" s="29" t="s">
        <v>52</v>
      </c>
      <c r="D504" s="50" t="str">
        <f>VLOOKUP(C504,Product!A$2:B$21,1,0)</f>
        <v>PD0010</v>
      </c>
      <c r="E504" s="36">
        <v>115</v>
      </c>
      <c r="F504" s="38">
        <v>28778750</v>
      </c>
      <c r="G504" s="39" t="s">
        <v>2878</v>
      </c>
      <c r="H504" s="12"/>
      <c r="L504" s="12"/>
    </row>
    <row r="505" spans="1:12" ht="15.75" customHeight="1" x14ac:dyDescent="0.3">
      <c r="A505" s="17" t="s">
        <v>406</v>
      </c>
      <c r="B505" s="50" t="str">
        <f>VLOOKUP(A505,'Sales Order'!A$2:B$1029,1,0)</f>
        <v>SO0168</v>
      </c>
      <c r="C505" s="29" t="s">
        <v>58</v>
      </c>
      <c r="D505" s="50" t="str">
        <f>VLOOKUP(C505,Product!A$2:B$21,1,0)</f>
        <v>PD0012</v>
      </c>
      <c r="E505" s="36">
        <v>138</v>
      </c>
      <c r="F505" s="38">
        <v>684800160</v>
      </c>
      <c r="G505" s="39" t="s">
        <v>2879</v>
      </c>
      <c r="H505" s="12"/>
      <c r="L505" s="12"/>
    </row>
    <row r="506" spans="1:12" ht="15.75" customHeight="1" x14ac:dyDescent="0.3">
      <c r="A506" s="29" t="s">
        <v>406</v>
      </c>
      <c r="B506" s="50" t="str">
        <f>VLOOKUP(A506,'Sales Order'!A$2:B$1029,1,0)</f>
        <v>SO0168</v>
      </c>
      <c r="C506" s="29" t="s">
        <v>19</v>
      </c>
      <c r="D506" s="50" t="str">
        <f>VLOOKUP(C506,Product!A$2:B$21,1,0)</f>
        <v>PD0001</v>
      </c>
      <c r="E506" s="36">
        <v>132</v>
      </c>
      <c r="F506" s="38">
        <v>26623080</v>
      </c>
      <c r="G506" s="39" t="s">
        <v>2880</v>
      </c>
      <c r="H506" s="12"/>
      <c r="L506" s="12"/>
    </row>
    <row r="507" spans="1:12" ht="15.75" customHeight="1" x14ac:dyDescent="0.3">
      <c r="A507" s="17" t="s">
        <v>407</v>
      </c>
      <c r="B507" s="50" t="str">
        <f>VLOOKUP(A507,'Sales Order'!A$2:B$1029,1,0)</f>
        <v>SO0169</v>
      </c>
      <c r="C507" s="29" t="s">
        <v>43</v>
      </c>
      <c r="D507" s="50" t="str">
        <f>VLOOKUP(C507,Product!A$2:B$21,1,0)</f>
        <v>PD0007</v>
      </c>
      <c r="E507" s="36">
        <v>119</v>
      </c>
      <c r="F507" s="38">
        <v>354144000</v>
      </c>
      <c r="G507" s="39" t="s">
        <v>2881</v>
      </c>
      <c r="H507" s="12"/>
      <c r="L507" s="12"/>
    </row>
    <row r="508" spans="1:12" ht="15.75" customHeight="1" x14ac:dyDescent="0.3">
      <c r="A508" s="29" t="s">
        <v>407</v>
      </c>
      <c r="B508" s="50" t="str">
        <f>VLOOKUP(A508,'Sales Order'!A$2:B$1029,1,0)</f>
        <v>SO0169</v>
      </c>
      <c r="C508" s="29" t="s">
        <v>25</v>
      </c>
      <c r="D508" s="50" t="str">
        <f>VLOOKUP(C508,Product!A$2:B$21,1,0)</f>
        <v>PD0002</v>
      </c>
      <c r="E508" s="36">
        <v>88</v>
      </c>
      <c r="F508" s="38">
        <v>1478400</v>
      </c>
      <c r="G508" s="39" t="s">
        <v>2882</v>
      </c>
      <c r="H508" s="12"/>
      <c r="L508" s="12"/>
    </row>
    <row r="509" spans="1:12" ht="15.75" customHeight="1" x14ac:dyDescent="0.3">
      <c r="A509" s="17" t="s">
        <v>408</v>
      </c>
      <c r="B509" s="50" t="str">
        <f>VLOOKUP(A509,'Sales Order'!A$2:B$1029,1,0)</f>
        <v>SO0170</v>
      </c>
      <c r="C509" s="29" t="s">
        <v>19</v>
      </c>
      <c r="D509" s="50" t="str">
        <f>VLOOKUP(C509,Product!A$2:B$21,1,0)</f>
        <v>PD0001</v>
      </c>
      <c r="E509" s="36">
        <v>119</v>
      </c>
      <c r="F509" s="38">
        <v>24001110</v>
      </c>
      <c r="G509" s="39" t="s">
        <v>2883</v>
      </c>
      <c r="H509" s="12"/>
      <c r="L509" s="12"/>
    </row>
    <row r="510" spans="1:12" ht="15.75" customHeight="1" x14ac:dyDescent="0.3">
      <c r="A510" s="29" t="s">
        <v>408</v>
      </c>
      <c r="B510" s="50" t="str">
        <f>VLOOKUP(A510,'Sales Order'!A$2:B$1029,1,0)</f>
        <v>SO0170</v>
      </c>
      <c r="C510" s="29" t="s">
        <v>45</v>
      </c>
      <c r="D510" s="50" t="str">
        <f>VLOOKUP(C510,Product!A$2:B$21,1,0)</f>
        <v>PD0008</v>
      </c>
      <c r="E510" s="36">
        <v>137</v>
      </c>
      <c r="F510" s="38">
        <v>18167570</v>
      </c>
      <c r="G510" s="39" t="s">
        <v>2884</v>
      </c>
      <c r="H510" s="12"/>
      <c r="L510" s="12"/>
    </row>
    <row r="511" spans="1:12" ht="15.75" customHeight="1" x14ac:dyDescent="0.3">
      <c r="A511" s="29" t="s">
        <v>408</v>
      </c>
      <c r="B511" s="50" t="str">
        <f>VLOOKUP(A511,'Sales Order'!A$2:B$1029,1,0)</f>
        <v>SO0170</v>
      </c>
      <c r="C511" s="29" t="s">
        <v>81</v>
      </c>
      <c r="D511" s="50" t="str">
        <f>VLOOKUP(C511,Product!A$2:B$21,1,0)</f>
        <v>PD0019</v>
      </c>
      <c r="E511" s="36">
        <v>115</v>
      </c>
      <c r="F511" s="38">
        <v>237439350.00000003</v>
      </c>
      <c r="G511" s="39" t="s">
        <v>2885</v>
      </c>
      <c r="H511" s="12"/>
      <c r="L511" s="12"/>
    </row>
    <row r="512" spans="1:12" ht="15.75" customHeight="1" x14ac:dyDescent="0.3">
      <c r="A512" s="29" t="s">
        <v>408</v>
      </c>
      <c r="B512" s="50" t="str">
        <f>VLOOKUP(A512,'Sales Order'!A$2:B$1029,1,0)</f>
        <v>SO0170</v>
      </c>
      <c r="C512" s="29" t="s">
        <v>25</v>
      </c>
      <c r="D512" s="50" t="str">
        <f>VLOOKUP(C512,Product!A$2:B$21,1,0)</f>
        <v>PD0002</v>
      </c>
      <c r="E512" s="36">
        <v>113</v>
      </c>
      <c r="F512" s="38">
        <v>2147000</v>
      </c>
      <c r="G512" s="39" t="s">
        <v>2886</v>
      </c>
      <c r="H512" s="12"/>
      <c r="L512" s="12"/>
    </row>
    <row r="513" spans="1:12" ht="15.75" customHeight="1" x14ac:dyDescent="0.3">
      <c r="A513" s="17" t="s">
        <v>409</v>
      </c>
      <c r="B513" s="50" t="str">
        <f>VLOOKUP(A513,'Sales Order'!A$2:B$1029,1,0)</f>
        <v>SO0171</v>
      </c>
      <c r="C513" s="29" t="s">
        <v>25</v>
      </c>
      <c r="D513" s="50" t="str">
        <f>VLOOKUP(C513,Product!A$2:B$21,1,0)</f>
        <v>PD0002</v>
      </c>
      <c r="E513" s="36">
        <v>78</v>
      </c>
      <c r="F513" s="38">
        <v>1341600</v>
      </c>
      <c r="G513" s="39" t="s">
        <v>2887</v>
      </c>
      <c r="H513" s="12"/>
      <c r="L513" s="12"/>
    </row>
    <row r="514" spans="1:12" ht="15.75" customHeight="1" x14ac:dyDescent="0.3">
      <c r="A514" s="29" t="s">
        <v>409</v>
      </c>
      <c r="B514" s="50" t="str">
        <f>VLOOKUP(A514,'Sales Order'!A$2:B$1029,1,0)</f>
        <v>SO0171</v>
      </c>
      <c r="C514" s="29" t="s">
        <v>52</v>
      </c>
      <c r="D514" s="50" t="str">
        <f>VLOOKUP(C514,Product!A$2:B$21,1,0)</f>
        <v>PD0010</v>
      </c>
      <c r="E514" s="36">
        <v>45</v>
      </c>
      <c r="F514" s="38">
        <v>11553750</v>
      </c>
      <c r="G514" s="39" t="s">
        <v>2888</v>
      </c>
      <c r="H514" s="12"/>
      <c r="L514" s="12"/>
    </row>
    <row r="515" spans="1:12" ht="15.75" customHeight="1" x14ac:dyDescent="0.3">
      <c r="A515" s="29" t="s">
        <v>409</v>
      </c>
      <c r="B515" s="50" t="str">
        <f>VLOOKUP(A515,'Sales Order'!A$2:B$1029,1,0)</f>
        <v>SO0171</v>
      </c>
      <c r="C515" s="29" t="s">
        <v>65</v>
      </c>
      <c r="D515" s="50" t="str">
        <f>VLOOKUP(C515,Product!A$2:B$21,1,0)</f>
        <v>PD0014</v>
      </c>
      <c r="E515" s="36">
        <v>47</v>
      </c>
      <c r="F515" s="38">
        <v>10039200</v>
      </c>
      <c r="G515" s="39" t="s">
        <v>2889</v>
      </c>
      <c r="H515" s="12"/>
      <c r="L515" s="12"/>
    </row>
    <row r="516" spans="1:12" ht="15.75" customHeight="1" x14ac:dyDescent="0.3">
      <c r="A516" s="17" t="s">
        <v>410</v>
      </c>
      <c r="B516" s="50" t="str">
        <f>VLOOKUP(A516,'Sales Order'!A$2:B$1029,1,0)</f>
        <v>SO0172</v>
      </c>
      <c r="C516" s="29" t="s">
        <v>58</v>
      </c>
      <c r="D516" s="50" t="str">
        <f>VLOOKUP(C516,Product!A$2:B$21,1,0)</f>
        <v>PD0012</v>
      </c>
      <c r="E516" s="36">
        <v>25</v>
      </c>
      <c r="F516" s="38">
        <v>119828750</v>
      </c>
      <c r="G516" s="39" t="s">
        <v>2890</v>
      </c>
      <c r="H516" s="12"/>
      <c r="L516" s="12"/>
    </row>
    <row r="517" spans="1:12" ht="15.75" customHeight="1" x14ac:dyDescent="0.3">
      <c r="A517" s="29" t="s">
        <v>410</v>
      </c>
      <c r="B517" s="50" t="str">
        <f>VLOOKUP(A517,'Sales Order'!A$2:B$1029,1,0)</f>
        <v>SO0172</v>
      </c>
      <c r="C517" s="29" t="s">
        <v>81</v>
      </c>
      <c r="D517" s="50" t="str">
        <f>VLOOKUP(C517,Product!A$2:B$21,1,0)</f>
        <v>PD0019</v>
      </c>
      <c r="E517" s="36">
        <v>114</v>
      </c>
      <c r="F517" s="38">
        <v>220845360</v>
      </c>
      <c r="G517" s="39" t="s">
        <v>2891</v>
      </c>
      <c r="H517" s="12"/>
      <c r="L517" s="12"/>
    </row>
    <row r="518" spans="1:12" ht="15.75" customHeight="1" x14ac:dyDescent="0.3">
      <c r="A518" s="29" t="s">
        <v>410</v>
      </c>
      <c r="B518" s="50" t="str">
        <f>VLOOKUP(A518,'Sales Order'!A$2:B$1029,1,0)</f>
        <v>SO0172</v>
      </c>
      <c r="C518" s="29" t="s">
        <v>55</v>
      </c>
      <c r="D518" s="50" t="str">
        <f>VLOOKUP(C518,Product!A$2:B$21,1,0)</f>
        <v>PD0011</v>
      </c>
      <c r="E518" s="36">
        <v>75</v>
      </c>
      <c r="F518" s="38">
        <v>146847750</v>
      </c>
      <c r="G518" s="39" t="s">
        <v>2892</v>
      </c>
      <c r="H518" s="12"/>
      <c r="L518" s="12"/>
    </row>
    <row r="519" spans="1:12" ht="15.75" customHeight="1" x14ac:dyDescent="0.3">
      <c r="A519" s="17" t="s">
        <v>411</v>
      </c>
      <c r="B519" s="50" t="str">
        <f>VLOOKUP(A519,'Sales Order'!A$2:B$1029,1,0)</f>
        <v>SO0173</v>
      </c>
      <c r="C519" s="29" t="s">
        <v>25</v>
      </c>
      <c r="D519" s="50" t="str">
        <f>VLOOKUP(C519,Product!A$2:B$21,1,0)</f>
        <v>PD0002</v>
      </c>
      <c r="E519" s="36">
        <v>117</v>
      </c>
      <c r="F519" s="38">
        <v>2152800</v>
      </c>
      <c r="G519" s="39" t="s">
        <v>2893</v>
      </c>
      <c r="H519" s="12"/>
      <c r="L519" s="12"/>
    </row>
    <row r="520" spans="1:12" ht="15.75" customHeight="1" x14ac:dyDescent="0.3">
      <c r="A520" s="29" t="s">
        <v>411</v>
      </c>
      <c r="B520" s="50" t="str">
        <f>VLOOKUP(A520,'Sales Order'!A$2:B$1029,1,0)</f>
        <v>SO0173</v>
      </c>
      <c r="C520" s="29" t="s">
        <v>72</v>
      </c>
      <c r="D520" s="50" t="str">
        <f>VLOOKUP(C520,Product!A$2:B$21,1,0)</f>
        <v>PD0016</v>
      </c>
      <c r="E520" s="36">
        <v>127</v>
      </c>
      <c r="F520" s="38">
        <v>26109930</v>
      </c>
      <c r="G520" s="39" t="s">
        <v>2894</v>
      </c>
      <c r="H520" s="12"/>
      <c r="L520" s="12"/>
    </row>
    <row r="521" spans="1:12" ht="15.75" customHeight="1" x14ac:dyDescent="0.3">
      <c r="A521" s="29" t="s">
        <v>411</v>
      </c>
      <c r="B521" s="50" t="str">
        <f>VLOOKUP(A521,'Sales Order'!A$2:B$1029,1,0)</f>
        <v>SO0173</v>
      </c>
      <c r="C521" s="29" t="s">
        <v>43</v>
      </c>
      <c r="D521" s="50" t="str">
        <f>VLOOKUP(C521,Product!A$2:B$21,1,0)</f>
        <v>PD0007</v>
      </c>
      <c r="E521" s="36">
        <v>87</v>
      </c>
      <c r="F521" s="38">
        <v>219936000</v>
      </c>
      <c r="G521" s="39" t="s">
        <v>2895</v>
      </c>
      <c r="H521" s="12"/>
      <c r="L521" s="12"/>
    </row>
    <row r="522" spans="1:12" ht="15.75" customHeight="1" x14ac:dyDescent="0.3">
      <c r="A522" s="29" t="s">
        <v>411</v>
      </c>
      <c r="B522" s="50" t="str">
        <f>VLOOKUP(A522,'Sales Order'!A$2:B$1029,1,0)</f>
        <v>SO0173</v>
      </c>
      <c r="C522" s="29" t="s">
        <v>48</v>
      </c>
      <c r="D522" s="50" t="str">
        <f>VLOOKUP(C522,Product!A$2:B$21,1,0)</f>
        <v>PD0009</v>
      </c>
      <c r="E522" s="36">
        <v>52</v>
      </c>
      <c r="F522" s="38">
        <v>6305520</v>
      </c>
      <c r="G522" s="39" t="s">
        <v>2896</v>
      </c>
      <c r="H522" s="12"/>
      <c r="L522" s="12"/>
    </row>
    <row r="523" spans="1:12" ht="15.75" customHeight="1" x14ac:dyDescent="0.3">
      <c r="A523" s="29" t="s">
        <v>411</v>
      </c>
      <c r="B523" s="50" t="str">
        <f>VLOOKUP(A523,'Sales Order'!A$2:B$1029,1,0)</f>
        <v>SO0173</v>
      </c>
      <c r="C523" s="29" t="s">
        <v>40</v>
      </c>
      <c r="D523" s="50" t="str">
        <f>VLOOKUP(C523,Product!A$2:B$21,1,0)</f>
        <v>PD0006</v>
      </c>
      <c r="E523" s="36">
        <v>69</v>
      </c>
      <c r="F523" s="38">
        <v>12546270</v>
      </c>
      <c r="G523" s="39" t="s">
        <v>2897</v>
      </c>
      <c r="H523" s="12"/>
      <c r="L523" s="12"/>
    </row>
    <row r="524" spans="1:12" ht="15.75" customHeight="1" x14ac:dyDescent="0.3">
      <c r="A524" s="29" t="s">
        <v>411</v>
      </c>
      <c r="B524" s="50" t="str">
        <f>VLOOKUP(A524,'Sales Order'!A$2:B$1029,1,0)</f>
        <v>SO0173</v>
      </c>
      <c r="C524" s="29" t="s">
        <v>33</v>
      </c>
      <c r="D524" s="50" t="str">
        <f>VLOOKUP(C524,Product!A$2:B$21,1,0)</f>
        <v>PD0004</v>
      </c>
      <c r="E524" s="36">
        <v>33</v>
      </c>
      <c r="F524" s="38">
        <v>5880600</v>
      </c>
      <c r="G524" s="39" t="s">
        <v>2898</v>
      </c>
      <c r="H524" s="12"/>
      <c r="L524" s="12"/>
    </row>
    <row r="525" spans="1:12" ht="15.75" customHeight="1" x14ac:dyDescent="0.3">
      <c r="A525" s="17" t="s">
        <v>412</v>
      </c>
      <c r="B525" s="50" t="str">
        <f>VLOOKUP(A525,'Sales Order'!A$2:B$1029,1,0)</f>
        <v>SO0174</v>
      </c>
      <c r="C525" s="29" t="s">
        <v>61</v>
      </c>
      <c r="D525" s="50" t="str">
        <f>VLOOKUP(C525,Product!A$2:B$21,1,0)</f>
        <v>PD0013</v>
      </c>
      <c r="E525" s="36">
        <v>34</v>
      </c>
      <c r="F525" s="38">
        <v>12377360</v>
      </c>
      <c r="G525" s="39" t="s">
        <v>2899</v>
      </c>
      <c r="H525" s="12"/>
      <c r="L525" s="12"/>
    </row>
    <row r="526" spans="1:12" ht="15.75" customHeight="1" x14ac:dyDescent="0.3">
      <c r="A526" s="29" t="s">
        <v>412</v>
      </c>
      <c r="B526" s="50" t="str">
        <f>VLOOKUP(A526,'Sales Order'!A$2:B$1029,1,0)</f>
        <v>SO0174</v>
      </c>
      <c r="C526" s="29" t="s">
        <v>55</v>
      </c>
      <c r="D526" s="50" t="str">
        <f>VLOOKUP(C526,Product!A$2:B$21,1,0)</f>
        <v>PD0011</v>
      </c>
      <c r="E526" s="36">
        <v>74</v>
      </c>
      <c r="F526" s="38">
        <v>158855060</v>
      </c>
      <c r="G526" s="39" t="s">
        <v>2900</v>
      </c>
      <c r="H526" s="12"/>
      <c r="L526" s="12"/>
    </row>
    <row r="527" spans="1:12" ht="15.75" customHeight="1" x14ac:dyDescent="0.3">
      <c r="A527" s="29" t="s">
        <v>412</v>
      </c>
      <c r="B527" s="50" t="str">
        <f>VLOOKUP(A527,'Sales Order'!A$2:B$1029,1,0)</f>
        <v>SO0174</v>
      </c>
      <c r="C527" s="29" t="s">
        <v>75</v>
      </c>
      <c r="D527" s="50" t="str">
        <f>VLOOKUP(C527,Product!A$2:B$21,1,0)</f>
        <v>PD0017</v>
      </c>
      <c r="E527" s="36">
        <v>46</v>
      </c>
      <c r="F527" s="38">
        <v>108491000</v>
      </c>
      <c r="G527" s="39" t="s">
        <v>2901</v>
      </c>
      <c r="H527" s="12"/>
      <c r="L527" s="12"/>
    </row>
    <row r="528" spans="1:12" ht="15.75" customHeight="1" x14ac:dyDescent="0.3">
      <c r="A528" s="29" t="s">
        <v>412</v>
      </c>
      <c r="B528" s="50" t="str">
        <f>VLOOKUP(A528,'Sales Order'!A$2:B$1029,1,0)</f>
        <v>SO0174</v>
      </c>
      <c r="C528" s="29" t="s">
        <v>19</v>
      </c>
      <c r="D528" s="50" t="str">
        <f>VLOOKUP(C528,Product!A$2:B$21,1,0)</f>
        <v>PD0001</v>
      </c>
      <c r="E528" s="36">
        <v>98</v>
      </c>
      <c r="F528" s="38">
        <v>21961800</v>
      </c>
      <c r="G528" s="39" t="s">
        <v>2902</v>
      </c>
      <c r="H528" s="12"/>
      <c r="L528" s="12"/>
    </row>
    <row r="529" spans="1:12" ht="15.75" customHeight="1" x14ac:dyDescent="0.3">
      <c r="A529" s="17" t="s">
        <v>413</v>
      </c>
      <c r="B529" s="50" t="str">
        <f>VLOOKUP(A529,'Sales Order'!A$2:B$1029,1,0)</f>
        <v>SO0175</v>
      </c>
      <c r="C529" s="29" t="s">
        <v>83</v>
      </c>
      <c r="D529" s="50" t="str">
        <f>VLOOKUP(C529,Product!A$2:B$21,1,0)</f>
        <v>PD0020</v>
      </c>
      <c r="E529" s="36">
        <v>104</v>
      </c>
      <c r="F529" s="38">
        <v>31714800</v>
      </c>
      <c r="G529" s="39" t="s">
        <v>2903</v>
      </c>
      <c r="H529" s="12"/>
      <c r="L529" s="12"/>
    </row>
    <row r="530" spans="1:12" ht="15.75" customHeight="1" x14ac:dyDescent="0.3">
      <c r="A530" s="29" t="s">
        <v>413</v>
      </c>
      <c r="B530" s="50" t="str">
        <f>VLOOKUP(A530,'Sales Order'!A$2:B$1029,1,0)</f>
        <v>SO0175</v>
      </c>
      <c r="C530" s="29" t="s">
        <v>33</v>
      </c>
      <c r="D530" s="50" t="str">
        <f>VLOOKUP(C530,Product!A$2:B$21,1,0)</f>
        <v>PD0004</v>
      </c>
      <c r="E530" s="36">
        <v>86</v>
      </c>
      <c r="F530" s="38">
        <v>16271200</v>
      </c>
      <c r="G530" s="39" t="s">
        <v>2904</v>
      </c>
      <c r="H530" s="12"/>
      <c r="L530" s="12"/>
    </row>
    <row r="531" spans="1:12" ht="15.75" customHeight="1" x14ac:dyDescent="0.3">
      <c r="A531" s="29" t="s">
        <v>413</v>
      </c>
      <c r="B531" s="50" t="str">
        <f>VLOOKUP(A531,'Sales Order'!A$2:B$1029,1,0)</f>
        <v>SO0175</v>
      </c>
      <c r="C531" s="29" t="s">
        <v>48</v>
      </c>
      <c r="D531" s="50" t="str">
        <f>VLOOKUP(C531,Product!A$2:B$21,1,0)</f>
        <v>PD0009</v>
      </c>
      <c r="E531" s="36">
        <v>115</v>
      </c>
      <c r="F531" s="38">
        <v>12609750</v>
      </c>
      <c r="G531" s="39" t="s">
        <v>2905</v>
      </c>
      <c r="H531" s="12"/>
      <c r="L531" s="12"/>
    </row>
    <row r="532" spans="1:12" ht="15.75" customHeight="1" x14ac:dyDescent="0.3">
      <c r="A532" s="29" t="s">
        <v>413</v>
      </c>
      <c r="B532" s="50" t="str">
        <f>VLOOKUP(A532,'Sales Order'!A$2:B$1029,1,0)</f>
        <v>SO0175</v>
      </c>
      <c r="C532" s="29" t="s">
        <v>65</v>
      </c>
      <c r="D532" s="50" t="str">
        <f>VLOOKUP(C532,Product!A$2:B$21,1,0)</f>
        <v>PD0014</v>
      </c>
      <c r="E532" s="36">
        <v>33</v>
      </c>
      <c r="F532" s="38">
        <v>6960690</v>
      </c>
      <c r="G532" s="39" t="s">
        <v>2906</v>
      </c>
      <c r="H532" s="12"/>
      <c r="L532" s="12"/>
    </row>
    <row r="533" spans="1:12" ht="15.75" customHeight="1" x14ac:dyDescent="0.3">
      <c r="A533" s="17" t="s">
        <v>414</v>
      </c>
      <c r="B533" s="50" t="str">
        <f>VLOOKUP(A533,'Sales Order'!A$2:B$1029,1,0)</f>
        <v>SO0176</v>
      </c>
      <c r="C533" s="29" t="s">
        <v>55</v>
      </c>
      <c r="D533" s="50" t="str">
        <f>VLOOKUP(C533,Product!A$2:B$21,1,0)</f>
        <v>PD0011</v>
      </c>
      <c r="E533" s="36">
        <v>50</v>
      </c>
      <c r="F533" s="38">
        <v>89642000</v>
      </c>
      <c r="G533" s="39" t="s">
        <v>2907</v>
      </c>
      <c r="H533" s="12"/>
      <c r="L533" s="12"/>
    </row>
    <row r="534" spans="1:12" ht="15.75" customHeight="1" x14ac:dyDescent="0.3">
      <c r="A534" s="29" t="s">
        <v>414</v>
      </c>
      <c r="B534" s="50" t="str">
        <f>VLOOKUP(A534,'Sales Order'!A$2:B$1029,1,0)</f>
        <v>SO0176</v>
      </c>
      <c r="C534" s="29" t="s">
        <v>52</v>
      </c>
      <c r="D534" s="50" t="str">
        <f>VLOOKUP(C534,Product!A$2:B$21,1,0)</f>
        <v>PD0010</v>
      </c>
      <c r="E534" s="36">
        <v>148</v>
      </c>
      <c r="F534" s="38">
        <v>37518000</v>
      </c>
      <c r="G534" s="39" t="s">
        <v>2908</v>
      </c>
      <c r="H534" s="12"/>
      <c r="L534" s="12"/>
    </row>
    <row r="535" spans="1:12" ht="15.75" customHeight="1" x14ac:dyDescent="0.3">
      <c r="A535" s="29" t="s">
        <v>414</v>
      </c>
      <c r="B535" s="50" t="str">
        <f>VLOOKUP(A535,'Sales Order'!A$2:B$1029,1,0)</f>
        <v>SO0176</v>
      </c>
      <c r="C535" s="29" t="s">
        <v>65</v>
      </c>
      <c r="D535" s="50" t="str">
        <f>VLOOKUP(C535,Product!A$2:B$21,1,0)</f>
        <v>PD0014</v>
      </c>
      <c r="E535" s="36">
        <v>129</v>
      </c>
      <c r="F535" s="38">
        <v>26521110</v>
      </c>
      <c r="G535" s="39" t="s">
        <v>2909</v>
      </c>
      <c r="H535" s="12"/>
      <c r="L535" s="12"/>
    </row>
    <row r="536" spans="1:12" ht="15.75" customHeight="1" x14ac:dyDescent="0.3">
      <c r="A536" s="29" t="s">
        <v>414</v>
      </c>
      <c r="B536" s="50" t="str">
        <f>VLOOKUP(A536,'Sales Order'!A$2:B$1029,1,0)</f>
        <v>SO0176</v>
      </c>
      <c r="C536" s="29" t="s">
        <v>58</v>
      </c>
      <c r="D536" s="50" t="str">
        <f>VLOOKUP(C536,Product!A$2:B$21,1,0)</f>
        <v>PD0012</v>
      </c>
      <c r="E536" s="36">
        <v>96</v>
      </c>
      <c r="F536" s="38">
        <v>454728960</v>
      </c>
      <c r="G536" s="39" t="s">
        <v>2910</v>
      </c>
      <c r="H536" s="12"/>
      <c r="L536" s="12"/>
    </row>
    <row r="537" spans="1:12" ht="15.75" customHeight="1" x14ac:dyDescent="0.3">
      <c r="A537" s="17" t="s">
        <v>415</v>
      </c>
      <c r="B537" s="50" t="str">
        <f>VLOOKUP(A537,'Sales Order'!A$2:B$1029,1,0)</f>
        <v>SO0177</v>
      </c>
      <c r="C537" s="29" t="s">
        <v>45</v>
      </c>
      <c r="D537" s="50" t="str">
        <f>VLOOKUP(C537,Product!A$2:B$21,1,0)</f>
        <v>PD0008</v>
      </c>
      <c r="E537" s="36">
        <v>138</v>
      </c>
      <c r="F537" s="38">
        <v>16860840</v>
      </c>
      <c r="G537" s="39" t="s">
        <v>2911</v>
      </c>
      <c r="H537" s="12"/>
      <c r="L537" s="12"/>
    </row>
    <row r="538" spans="1:12" ht="15.75" customHeight="1" x14ac:dyDescent="0.3">
      <c r="A538" s="29" t="s">
        <v>415</v>
      </c>
      <c r="B538" s="50" t="str">
        <f>VLOOKUP(A538,'Sales Order'!A$2:B$1029,1,0)</f>
        <v>SO0177</v>
      </c>
      <c r="C538" s="29" t="s">
        <v>55</v>
      </c>
      <c r="D538" s="50" t="str">
        <f>VLOOKUP(C538,Product!A$2:B$21,1,0)</f>
        <v>PD0011</v>
      </c>
      <c r="E538" s="36">
        <v>110</v>
      </c>
      <c r="F538" s="38">
        <v>228351200</v>
      </c>
      <c r="G538" s="39" t="s">
        <v>2912</v>
      </c>
      <c r="H538" s="12"/>
      <c r="L538" s="12"/>
    </row>
    <row r="539" spans="1:12" ht="15.75" customHeight="1" x14ac:dyDescent="0.3">
      <c r="A539" s="29" t="s">
        <v>415</v>
      </c>
      <c r="B539" s="50" t="str">
        <f>VLOOKUP(A539,'Sales Order'!A$2:B$1029,1,0)</f>
        <v>SO0177</v>
      </c>
      <c r="C539" s="29" t="s">
        <v>25</v>
      </c>
      <c r="D539" s="50" t="str">
        <f>VLOOKUP(C539,Product!A$2:B$21,1,0)</f>
        <v>PD0002</v>
      </c>
      <c r="E539" s="36">
        <v>56</v>
      </c>
      <c r="F539" s="38">
        <v>884800</v>
      </c>
      <c r="G539" s="39" t="s">
        <v>2913</v>
      </c>
      <c r="H539" s="12"/>
      <c r="L539" s="12"/>
    </row>
    <row r="540" spans="1:12" ht="15.75" customHeight="1" x14ac:dyDescent="0.3">
      <c r="A540" s="17" t="s">
        <v>416</v>
      </c>
      <c r="B540" s="50" t="str">
        <f>VLOOKUP(A540,'Sales Order'!A$2:B$1029,1,0)</f>
        <v>SO0178</v>
      </c>
      <c r="C540" s="29" t="s">
        <v>58</v>
      </c>
      <c r="D540" s="50" t="str">
        <f>VLOOKUP(C540,Product!A$2:B$21,1,0)</f>
        <v>PD0012</v>
      </c>
      <c r="E540" s="36">
        <v>147</v>
      </c>
      <c r="F540" s="38">
        <v>646567740</v>
      </c>
      <c r="G540" s="39" t="s">
        <v>2914</v>
      </c>
      <c r="H540" s="12"/>
      <c r="L540" s="12"/>
    </row>
    <row r="541" spans="1:12" ht="15.75" customHeight="1" x14ac:dyDescent="0.3">
      <c r="A541" s="29" t="s">
        <v>416</v>
      </c>
      <c r="B541" s="50" t="str">
        <f>VLOOKUP(A541,'Sales Order'!A$2:B$1029,1,0)</f>
        <v>SO0178</v>
      </c>
      <c r="C541" s="29" t="s">
        <v>72</v>
      </c>
      <c r="D541" s="50" t="str">
        <f>VLOOKUP(C541,Product!A$2:B$21,1,0)</f>
        <v>PD0016</v>
      </c>
      <c r="E541" s="36">
        <v>64</v>
      </c>
      <c r="F541" s="38">
        <v>13841280</v>
      </c>
      <c r="G541" s="39" t="s">
        <v>2915</v>
      </c>
      <c r="H541" s="12"/>
      <c r="L541" s="12"/>
    </row>
    <row r="542" spans="1:12" ht="15.75" customHeight="1" x14ac:dyDescent="0.3">
      <c r="A542" s="29" t="s">
        <v>416</v>
      </c>
      <c r="B542" s="50" t="str">
        <f>VLOOKUP(A542,'Sales Order'!A$2:B$1029,1,0)</f>
        <v>SO0178</v>
      </c>
      <c r="C542" s="29" t="s">
        <v>25</v>
      </c>
      <c r="D542" s="50" t="str">
        <f>VLOOKUP(C542,Product!A$2:B$21,1,0)</f>
        <v>PD0002</v>
      </c>
      <c r="E542" s="36">
        <v>78</v>
      </c>
      <c r="F542" s="38">
        <v>1216800</v>
      </c>
      <c r="G542" s="39" t="s">
        <v>2916</v>
      </c>
      <c r="H542" s="12"/>
      <c r="L542" s="12"/>
    </row>
    <row r="543" spans="1:12" ht="15.75" customHeight="1" x14ac:dyDescent="0.3">
      <c r="A543" s="29" t="s">
        <v>416</v>
      </c>
      <c r="B543" s="50" t="str">
        <f>VLOOKUP(A543,'Sales Order'!A$2:B$1029,1,0)</f>
        <v>SO0178</v>
      </c>
      <c r="C543" s="29" t="s">
        <v>35</v>
      </c>
      <c r="D543" s="50" t="str">
        <f>VLOOKUP(C543,Product!A$2:B$21,1,0)</f>
        <v>PD0005</v>
      </c>
      <c r="E543" s="36">
        <v>139</v>
      </c>
      <c r="F543" s="38">
        <v>237981900</v>
      </c>
      <c r="G543" s="39" t="s">
        <v>2917</v>
      </c>
      <c r="H543" s="12"/>
      <c r="L543" s="12"/>
    </row>
    <row r="544" spans="1:12" ht="15.75" customHeight="1" x14ac:dyDescent="0.3">
      <c r="A544" s="17" t="s">
        <v>417</v>
      </c>
      <c r="B544" s="50" t="str">
        <f>VLOOKUP(A544,'Sales Order'!A$2:B$1029,1,0)</f>
        <v>SO0179</v>
      </c>
      <c r="C544" s="29" t="s">
        <v>19</v>
      </c>
      <c r="D544" s="50" t="str">
        <f>VLOOKUP(C544,Product!A$2:B$21,1,0)</f>
        <v>PD0001</v>
      </c>
      <c r="E544" s="36">
        <v>86</v>
      </c>
      <c r="F544" s="38">
        <v>18201900</v>
      </c>
      <c r="G544" s="39" t="s">
        <v>2918</v>
      </c>
      <c r="H544" s="12"/>
      <c r="L544" s="12"/>
    </row>
    <row r="545" spans="1:12" ht="15.75" customHeight="1" x14ac:dyDescent="0.3">
      <c r="A545" s="29" t="s">
        <v>417</v>
      </c>
      <c r="B545" s="50" t="str">
        <f>VLOOKUP(A545,'Sales Order'!A$2:B$1029,1,0)</f>
        <v>SO0179</v>
      </c>
      <c r="C545" s="29" t="s">
        <v>45</v>
      </c>
      <c r="D545" s="50" t="str">
        <f>VLOOKUP(C545,Product!A$2:B$21,1,0)</f>
        <v>PD0008</v>
      </c>
      <c r="E545" s="36">
        <v>138</v>
      </c>
      <c r="F545" s="38">
        <v>18094560</v>
      </c>
      <c r="G545" s="39" t="s">
        <v>2919</v>
      </c>
      <c r="H545" s="12"/>
      <c r="L545" s="12"/>
    </row>
    <row r="546" spans="1:12" ht="15.75" customHeight="1" x14ac:dyDescent="0.3">
      <c r="A546" s="17" t="s">
        <v>418</v>
      </c>
      <c r="B546" s="50" t="str">
        <f>VLOOKUP(A546,'Sales Order'!A$2:B$1029,1,0)</f>
        <v>SO0180</v>
      </c>
      <c r="C546" s="29" t="s">
        <v>43</v>
      </c>
      <c r="D546" s="50" t="str">
        <f>VLOOKUP(C546,Product!A$2:B$21,1,0)</f>
        <v>PD0007</v>
      </c>
      <c r="E546" s="36">
        <v>104</v>
      </c>
      <c r="F546" s="38">
        <v>316160000</v>
      </c>
      <c r="G546" s="39" t="s">
        <v>2920</v>
      </c>
      <c r="H546" s="12"/>
      <c r="L546" s="12"/>
    </row>
    <row r="547" spans="1:12" ht="15.75" customHeight="1" x14ac:dyDescent="0.3">
      <c r="A547" s="17" t="s">
        <v>419</v>
      </c>
      <c r="B547" s="50" t="str">
        <f>VLOOKUP(A547,'Sales Order'!A$2:B$1029,1,0)</f>
        <v>SO0181</v>
      </c>
      <c r="C547" s="29" t="s">
        <v>69</v>
      </c>
      <c r="D547" s="50" t="str">
        <f>VLOOKUP(C547,Product!A$2:B$21,1,0)</f>
        <v>PD0015</v>
      </c>
      <c r="E547" s="36">
        <v>50</v>
      </c>
      <c r="F547" s="38">
        <v>6319350</v>
      </c>
      <c r="G547" s="39" t="s">
        <v>2921</v>
      </c>
      <c r="H547" s="12"/>
      <c r="L547" s="12"/>
    </row>
    <row r="548" spans="1:12" ht="15.75" customHeight="1" x14ac:dyDescent="0.3">
      <c r="A548" s="29" t="s">
        <v>419</v>
      </c>
      <c r="B548" s="50" t="str">
        <f>VLOOKUP(A548,'Sales Order'!A$2:B$1029,1,0)</f>
        <v>SO0181</v>
      </c>
      <c r="C548" s="29" t="s">
        <v>35</v>
      </c>
      <c r="D548" s="50" t="str">
        <f>VLOOKUP(C548,Product!A$2:B$21,1,0)</f>
        <v>PD0005</v>
      </c>
      <c r="E548" s="36">
        <v>48</v>
      </c>
      <c r="F548" s="38">
        <v>83234400</v>
      </c>
      <c r="G548" s="39" t="s">
        <v>2922</v>
      </c>
      <c r="H548" s="12"/>
      <c r="L548" s="12"/>
    </row>
    <row r="549" spans="1:12" ht="15.75" customHeight="1" x14ac:dyDescent="0.3">
      <c r="A549" s="29" t="s">
        <v>419</v>
      </c>
      <c r="B549" s="50" t="str">
        <f>VLOOKUP(A549,'Sales Order'!A$2:B$1029,1,0)</f>
        <v>SO0181</v>
      </c>
      <c r="C549" s="29" t="s">
        <v>61</v>
      </c>
      <c r="D549" s="50" t="str">
        <f>VLOOKUP(C549,Product!A$2:B$21,1,0)</f>
        <v>PD0013</v>
      </c>
      <c r="E549" s="36">
        <v>108</v>
      </c>
      <c r="F549" s="38">
        <v>46558800</v>
      </c>
      <c r="G549" s="39" t="s">
        <v>2923</v>
      </c>
      <c r="H549" s="12"/>
      <c r="L549" s="12"/>
    </row>
    <row r="550" spans="1:12" ht="15.75" customHeight="1" x14ac:dyDescent="0.3">
      <c r="A550" s="17" t="s">
        <v>420</v>
      </c>
      <c r="B550" s="50" t="str">
        <f>VLOOKUP(A550,'Sales Order'!A$2:B$1029,1,0)</f>
        <v>SO0182</v>
      </c>
      <c r="C550" s="29" t="s">
        <v>75</v>
      </c>
      <c r="D550" s="50" t="str">
        <f>VLOOKUP(C550,Product!A$2:B$21,1,0)</f>
        <v>PD0017</v>
      </c>
      <c r="E550" s="36">
        <v>114</v>
      </c>
      <c r="F550" s="38">
        <v>253764000</v>
      </c>
      <c r="G550" s="39" t="s">
        <v>2924</v>
      </c>
      <c r="H550" s="12"/>
      <c r="L550" s="12"/>
    </row>
    <row r="551" spans="1:12" ht="15.75" customHeight="1" x14ac:dyDescent="0.3">
      <c r="A551" s="17" t="s">
        <v>421</v>
      </c>
      <c r="B551" s="50" t="str">
        <f>VLOOKUP(A551,'Sales Order'!A$2:B$1029,1,0)</f>
        <v>SO0183</v>
      </c>
      <c r="C551" s="29" t="s">
        <v>58</v>
      </c>
      <c r="D551" s="50" t="str">
        <f>VLOOKUP(C551,Product!A$2:B$21,1,0)</f>
        <v>PD0012</v>
      </c>
      <c r="E551" s="36">
        <v>33</v>
      </c>
      <c r="F551" s="38">
        <v>173060910</v>
      </c>
      <c r="G551" s="39" t="s">
        <v>2925</v>
      </c>
      <c r="H551" s="12"/>
      <c r="L551" s="12"/>
    </row>
    <row r="552" spans="1:12" ht="15.75" customHeight="1" x14ac:dyDescent="0.3">
      <c r="A552" s="29" t="s">
        <v>421</v>
      </c>
      <c r="B552" s="50" t="str">
        <f>VLOOKUP(A552,'Sales Order'!A$2:B$1029,1,0)</f>
        <v>SO0183</v>
      </c>
      <c r="C552" s="29" t="s">
        <v>65</v>
      </c>
      <c r="D552" s="50" t="str">
        <f>VLOOKUP(C552,Product!A$2:B$21,1,0)</f>
        <v>PD0014</v>
      </c>
      <c r="E552" s="36">
        <v>53</v>
      </c>
      <c r="F552" s="38">
        <v>11462310</v>
      </c>
      <c r="G552" s="39" t="s">
        <v>2926</v>
      </c>
      <c r="H552" s="12"/>
      <c r="L552" s="12"/>
    </row>
    <row r="553" spans="1:12" ht="15.75" customHeight="1" x14ac:dyDescent="0.3">
      <c r="A553" s="29" t="s">
        <v>421</v>
      </c>
      <c r="B553" s="50" t="str">
        <f>VLOOKUP(A553,'Sales Order'!A$2:B$1029,1,0)</f>
        <v>SO0183</v>
      </c>
      <c r="C553" s="29" t="s">
        <v>72</v>
      </c>
      <c r="D553" s="50" t="str">
        <f>VLOOKUP(C553,Product!A$2:B$21,1,0)</f>
        <v>PD0016</v>
      </c>
      <c r="E553" s="36">
        <v>38</v>
      </c>
      <c r="F553" s="38">
        <v>9232860</v>
      </c>
      <c r="G553" s="39" t="s">
        <v>2927</v>
      </c>
      <c r="H553" s="12"/>
      <c r="L553" s="12"/>
    </row>
    <row r="554" spans="1:12" ht="15.75" customHeight="1" x14ac:dyDescent="0.3">
      <c r="A554" s="29" t="s">
        <v>422</v>
      </c>
      <c r="B554" s="50" t="str">
        <f>VLOOKUP(A554,'Sales Order'!A$2:B$1029,1,0)</f>
        <v>SO0184</v>
      </c>
      <c r="C554" s="29" t="s">
        <v>43</v>
      </c>
      <c r="D554" s="50" t="str">
        <f>VLOOKUP(C554,Product!A$2:B$21,1,0)</f>
        <v>PD0007</v>
      </c>
      <c r="E554" s="36">
        <v>66</v>
      </c>
      <c r="F554" s="38">
        <v>171072000</v>
      </c>
      <c r="G554" s="39" t="s">
        <v>2928</v>
      </c>
      <c r="H554" s="12"/>
      <c r="L554" s="12"/>
    </row>
    <row r="555" spans="1:12" ht="15.75" customHeight="1" x14ac:dyDescent="0.3">
      <c r="A555" s="29" t="s">
        <v>422</v>
      </c>
      <c r="B555" s="50" t="str">
        <f>VLOOKUP(A555,'Sales Order'!A$2:B$1029,1,0)</f>
        <v>SO0184</v>
      </c>
      <c r="C555" s="29" t="s">
        <v>83</v>
      </c>
      <c r="D555" s="50" t="str">
        <f>VLOOKUP(C555,Product!A$2:B$21,1,0)</f>
        <v>PD0020</v>
      </c>
      <c r="E555" s="36">
        <v>80</v>
      </c>
      <c r="F555" s="38">
        <v>24139200</v>
      </c>
      <c r="G555" s="39" t="s">
        <v>2929</v>
      </c>
      <c r="H555" s="12"/>
      <c r="L555" s="12"/>
    </row>
    <row r="556" spans="1:12" ht="15.75" customHeight="1" x14ac:dyDescent="0.3">
      <c r="A556" s="17" t="s">
        <v>423</v>
      </c>
      <c r="B556" s="50" t="str">
        <f>VLOOKUP(A556,'Sales Order'!A$2:B$1029,1,0)</f>
        <v>SO0185</v>
      </c>
      <c r="C556" s="29" t="s">
        <v>81</v>
      </c>
      <c r="D556" s="50" t="str">
        <f>VLOOKUP(C556,Product!A$2:B$21,1,0)</f>
        <v>PD0019</v>
      </c>
      <c r="E556" s="36">
        <v>130</v>
      </c>
      <c r="F556" s="38">
        <v>278350800</v>
      </c>
      <c r="G556" s="39" t="s">
        <v>2930</v>
      </c>
      <c r="H556" s="12"/>
      <c r="L556" s="12"/>
    </row>
    <row r="557" spans="1:12" ht="15.75" customHeight="1" x14ac:dyDescent="0.3">
      <c r="A557" s="29" t="s">
        <v>423</v>
      </c>
      <c r="B557" s="50" t="str">
        <f>VLOOKUP(A557,'Sales Order'!A$2:B$1029,1,0)</f>
        <v>SO0185</v>
      </c>
      <c r="C557" s="29" t="s">
        <v>61</v>
      </c>
      <c r="D557" s="50" t="str">
        <f>VLOOKUP(C557,Product!A$2:B$21,1,0)</f>
        <v>PD0013</v>
      </c>
      <c r="E557" s="36">
        <v>65</v>
      </c>
      <c r="F557" s="38">
        <v>28955549.999999996</v>
      </c>
      <c r="G557" s="39" t="s">
        <v>2931</v>
      </c>
      <c r="H557" s="12"/>
      <c r="L557" s="12"/>
    </row>
    <row r="558" spans="1:12" ht="15.75" customHeight="1" x14ac:dyDescent="0.3">
      <c r="A558" s="29" t="s">
        <v>423</v>
      </c>
      <c r="B558" s="50" t="str">
        <f>VLOOKUP(A558,'Sales Order'!A$2:B$1029,1,0)</f>
        <v>SO0185</v>
      </c>
      <c r="C558" s="29" t="s">
        <v>28</v>
      </c>
      <c r="D558" s="50" t="str">
        <f>VLOOKUP(C558,Product!A$2:B$21,1,0)</f>
        <v>PD0003</v>
      </c>
      <c r="E558" s="36">
        <v>149</v>
      </c>
      <c r="F558" s="38">
        <v>113749580.00000001</v>
      </c>
      <c r="G558" s="39" t="s">
        <v>2932</v>
      </c>
      <c r="H558" s="12"/>
      <c r="L558" s="12"/>
    </row>
    <row r="559" spans="1:12" ht="15.75" customHeight="1" x14ac:dyDescent="0.3">
      <c r="A559" s="29" t="s">
        <v>423</v>
      </c>
      <c r="B559" s="50" t="str">
        <f>VLOOKUP(A559,'Sales Order'!A$2:B$1029,1,0)</f>
        <v>SO0185</v>
      </c>
      <c r="C559" s="29" t="s">
        <v>35</v>
      </c>
      <c r="D559" s="50" t="str">
        <f>VLOOKUP(C559,Product!A$2:B$21,1,0)</f>
        <v>PD0005</v>
      </c>
      <c r="E559" s="36">
        <v>40</v>
      </c>
      <c r="F559" s="38">
        <v>67606000</v>
      </c>
      <c r="G559" s="39" t="s">
        <v>2933</v>
      </c>
      <c r="H559" s="12"/>
      <c r="L559" s="12"/>
    </row>
    <row r="560" spans="1:12" ht="15.75" customHeight="1" x14ac:dyDescent="0.3">
      <c r="A560" s="17" t="s">
        <v>424</v>
      </c>
      <c r="B560" s="50" t="str">
        <f>VLOOKUP(A560,'Sales Order'!A$2:B$1029,1,0)</f>
        <v>SO0186</v>
      </c>
      <c r="C560" s="29" t="s">
        <v>25</v>
      </c>
      <c r="D560" s="50" t="str">
        <f>VLOOKUP(C560,Product!A$2:B$21,1,0)</f>
        <v>PD0002</v>
      </c>
      <c r="E560" s="36">
        <v>57</v>
      </c>
      <c r="F560" s="38">
        <v>969000</v>
      </c>
      <c r="G560" s="39" t="s">
        <v>2934</v>
      </c>
      <c r="H560" s="12"/>
      <c r="L560" s="12"/>
    </row>
    <row r="561" spans="1:12" ht="15.75" customHeight="1" x14ac:dyDescent="0.3">
      <c r="A561" s="17" t="s">
        <v>425</v>
      </c>
      <c r="B561" s="50" t="str">
        <f>VLOOKUP(A561,'Sales Order'!A$2:B$1029,1,0)</f>
        <v>SO0187</v>
      </c>
      <c r="C561" s="29" t="s">
        <v>78</v>
      </c>
      <c r="D561" s="50" t="str">
        <f>VLOOKUP(C561,Product!A$2:B$21,1,0)</f>
        <v>PD0018</v>
      </c>
      <c r="E561" s="36">
        <v>138</v>
      </c>
      <c r="F561" s="38">
        <v>63871920</v>
      </c>
      <c r="G561" s="39" t="s">
        <v>2935</v>
      </c>
      <c r="H561" s="12"/>
      <c r="L561" s="12"/>
    </row>
    <row r="562" spans="1:12" ht="15.75" customHeight="1" x14ac:dyDescent="0.3">
      <c r="A562" s="29" t="s">
        <v>425</v>
      </c>
      <c r="B562" s="50" t="str">
        <f>VLOOKUP(A562,'Sales Order'!A$2:B$1029,1,0)</f>
        <v>SO0187</v>
      </c>
      <c r="C562" s="29" t="s">
        <v>33</v>
      </c>
      <c r="D562" s="50" t="str">
        <f>VLOOKUP(C562,Product!A$2:B$21,1,0)</f>
        <v>PD0004</v>
      </c>
      <c r="E562" s="36">
        <v>138</v>
      </c>
      <c r="F562" s="38">
        <v>26109600</v>
      </c>
      <c r="G562" s="39" t="s">
        <v>2936</v>
      </c>
      <c r="H562" s="12"/>
      <c r="L562" s="12"/>
    </row>
    <row r="563" spans="1:12" ht="15.75" customHeight="1" x14ac:dyDescent="0.3">
      <c r="A563" s="29" t="s">
        <v>425</v>
      </c>
      <c r="B563" s="50" t="str">
        <f>VLOOKUP(A563,'Sales Order'!A$2:B$1029,1,0)</f>
        <v>SO0187</v>
      </c>
      <c r="C563" s="29" t="s">
        <v>25</v>
      </c>
      <c r="D563" s="50" t="str">
        <f>VLOOKUP(C563,Product!A$2:B$21,1,0)</f>
        <v>PD0002</v>
      </c>
      <c r="E563" s="36">
        <v>75</v>
      </c>
      <c r="F563" s="38">
        <v>1425000</v>
      </c>
      <c r="G563" s="39" t="s">
        <v>2937</v>
      </c>
      <c r="H563" s="12"/>
      <c r="L563" s="12"/>
    </row>
    <row r="564" spans="1:12" ht="15.75" customHeight="1" x14ac:dyDescent="0.3">
      <c r="A564" s="29" t="s">
        <v>426</v>
      </c>
      <c r="B564" s="50" t="str">
        <f>VLOOKUP(A564,'Sales Order'!A$2:B$1029,1,0)</f>
        <v>SO0188</v>
      </c>
      <c r="C564" s="29" t="s">
        <v>33</v>
      </c>
      <c r="D564" s="50" t="str">
        <f>VLOOKUP(C564,Product!A$2:B$21,1,0)</f>
        <v>PD0004</v>
      </c>
      <c r="E564" s="36">
        <v>89</v>
      </c>
      <c r="F564" s="38">
        <v>16643000</v>
      </c>
      <c r="G564" s="39" t="s">
        <v>2938</v>
      </c>
      <c r="H564" s="12"/>
      <c r="L564" s="12"/>
    </row>
    <row r="565" spans="1:12" ht="15.75" customHeight="1" x14ac:dyDescent="0.3">
      <c r="A565" s="29" t="s">
        <v>426</v>
      </c>
      <c r="B565" s="50" t="str">
        <f>VLOOKUP(A565,'Sales Order'!A$2:B$1029,1,0)</f>
        <v>SO0188</v>
      </c>
      <c r="C565" s="29" t="s">
        <v>83</v>
      </c>
      <c r="D565" s="50" t="str">
        <f>VLOOKUP(C565,Product!A$2:B$21,1,0)</f>
        <v>PD0020</v>
      </c>
      <c r="E565" s="36">
        <v>124</v>
      </c>
      <c r="F565" s="38">
        <v>35823600</v>
      </c>
      <c r="G565" s="39" t="s">
        <v>2939</v>
      </c>
      <c r="H565" s="12"/>
      <c r="L565" s="12"/>
    </row>
    <row r="566" spans="1:12" ht="15.75" customHeight="1" x14ac:dyDescent="0.3">
      <c r="A566" s="29" t="s">
        <v>426</v>
      </c>
      <c r="B566" s="50" t="str">
        <f>VLOOKUP(A566,'Sales Order'!A$2:B$1029,1,0)</f>
        <v>SO0188</v>
      </c>
      <c r="C566" s="29" t="s">
        <v>69</v>
      </c>
      <c r="D566" s="50" t="str">
        <f>VLOOKUP(C566,Product!A$2:B$21,1,0)</f>
        <v>PD0015</v>
      </c>
      <c r="E566" s="36">
        <v>78</v>
      </c>
      <c r="F566" s="38">
        <v>9434178</v>
      </c>
      <c r="G566" s="39" t="s">
        <v>2940</v>
      </c>
      <c r="H566" s="12"/>
      <c r="L566" s="12"/>
    </row>
    <row r="567" spans="1:12" ht="15.75" customHeight="1" x14ac:dyDescent="0.3">
      <c r="A567" s="29" t="s">
        <v>426</v>
      </c>
      <c r="B567" s="50" t="str">
        <f>VLOOKUP(A567,'Sales Order'!A$2:B$1029,1,0)</f>
        <v>SO0188</v>
      </c>
      <c r="C567" s="29" t="s">
        <v>43</v>
      </c>
      <c r="D567" s="50" t="str">
        <f>VLOOKUP(C567,Product!A$2:B$21,1,0)</f>
        <v>PD0007</v>
      </c>
      <c r="E567" s="36">
        <v>75</v>
      </c>
      <c r="F567" s="38">
        <v>213600000</v>
      </c>
      <c r="G567" s="39" t="s">
        <v>2941</v>
      </c>
      <c r="H567" s="12"/>
      <c r="L567" s="12"/>
    </row>
    <row r="568" spans="1:12" ht="15.75" customHeight="1" x14ac:dyDescent="0.3">
      <c r="A568" s="17" t="s">
        <v>427</v>
      </c>
      <c r="B568" s="50" t="str">
        <f>VLOOKUP(A568,'Sales Order'!A$2:B$1029,1,0)</f>
        <v>SO0189</v>
      </c>
      <c r="C568" s="29" t="s">
        <v>43</v>
      </c>
      <c r="D568" s="50" t="str">
        <f>VLOOKUP(C568,Product!A$2:B$21,1,0)</f>
        <v>PD0007</v>
      </c>
      <c r="E568" s="36">
        <v>85</v>
      </c>
      <c r="F568" s="38">
        <v>212160000</v>
      </c>
      <c r="G568" s="39" t="s">
        <v>2942</v>
      </c>
      <c r="H568" s="12"/>
      <c r="L568" s="12"/>
    </row>
    <row r="569" spans="1:12" ht="15.75" customHeight="1" x14ac:dyDescent="0.3">
      <c r="A569" s="17" t="s">
        <v>428</v>
      </c>
      <c r="B569" s="50" t="str">
        <f>VLOOKUP(A569,'Sales Order'!A$2:B$1029,1,0)</f>
        <v>SO0190</v>
      </c>
      <c r="C569" s="29" t="s">
        <v>35</v>
      </c>
      <c r="D569" s="50" t="str">
        <f>VLOOKUP(C569,Product!A$2:B$21,1,0)</f>
        <v>PD0005</v>
      </c>
      <c r="E569" s="36">
        <v>64</v>
      </c>
      <c r="F569" s="38">
        <v>129241600</v>
      </c>
      <c r="G569" s="39" t="s">
        <v>2943</v>
      </c>
      <c r="H569" s="12"/>
      <c r="L569" s="12"/>
    </row>
    <row r="570" spans="1:12" ht="15.75" customHeight="1" x14ac:dyDescent="0.3">
      <c r="A570" s="29" t="s">
        <v>428</v>
      </c>
      <c r="B570" s="50" t="str">
        <f>VLOOKUP(A570,'Sales Order'!A$2:B$1029,1,0)</f>
        <v>SO0190</v>
      </c>
      <c r="C570" s="29" t="s">
        <v>19</v>
      </c>
      <c r="D570" s="50" t="str">
        <f>VLOOKUP(C570,Product!A$2:B$21,1,0)</f>
        <v>PD0001</v>
      </c>
      <c r="E570" s="36">
        <v>140</v>
      </c>
      <c r="F570" s="38">
        <v>31025400</v>
      </c>
      <c r="G570" s="39" t="s">
        <v>2944</v>
      </c>
      <c r="H570" s="12"/>
      <c r="L570" s="12"/>
    </row>
    <row r="571" spans="1:12" ht="15.75" customHeight="1" x14ac:dyDescent="0.3">
      <c r="A571" s="29" t="s">
        <v>428</v>
      </c>
      <c r="B571" s="50" t="str">
        <f>VLOOKUP(A571,'Sales Order'!A$2:B$1029,1,0)</f>
        <v>SO0190</v>
      </c>
      <c r="C571" s="29" t="s">
        <v>48</v>
      </c>
      <c r="D571" s="50" t="str">
        <f>VLOOKUP(C571,Product!A$2:B$21,1,0)</f>
        <v>PD0009</v>
      </c>
      <c r="E571" s="36">
        <v>81</v>
      </c>
      <c r="F571" s="38">
        <v>9926550</v>
      </c>
      <c r="G571" s="39" t="s">
        <v>2945</v>
      </c>
      <c r="H571" s="12"/>
      <c r="L571" s="12"/>
    </row>
    <row r="572" spans="1:12" ht="15.75" customHeight="1" x14ac:dyDescent="0.3">
      <c r="A572" s="17" t="s">
        <v>429</v>
      </c>
      <c r="B572" s="50" t="str">
        <f>VLOOKUP(A572,'Sales Order'!A$2:B$1029,1,0)</f>
        <v>SO0191</v>
      </c>
      <c r="C572" s="29" t="s">
        <v>61</v>
      </c>
      <c r="D572" s="50" t="str">
        <f>VLOOKUP(C572,Product!A$2:B$21,1,0)</f>
        <v>PD0013</v>
      </c>
      <c r="E572" s="36">
        <v>116</v>
      </c>
      <c r="F572" s="38">
        <v>45006840</v>
      </c>
      <c r="G572" s="39" t="s">
        <v>2946</v>
      </c>
      <c r="H572" s="12"/>
      <c r="L572" s="12"/>
    </row>
    <row r="573" spans="1:12" ht="15.75" customHeight="1" x14ac:dyDescent="0.3">
      <c r="A573" s="29" t="s">
        <v>429</v>
      </c>
      <c r="B573" s="50" t="str">
        <f>VLOOKUP(A573,'Sales Order'!A$2:B$1029,1,0)</f>
        <v>SO0191</v>
      </c>
      <c r="C573" s="29" t="s">
        <v>48</v>
      </c>
      <c r="D573" s="50" t="str">
        <f>VLOOKUP(C573,Product!A$2:B$21,1,0)</f>
        <v>PD0009</v>
      </c>
      <c r="E573" s="36">
        <v>77</v>
      </c>
      <c r="F573" s="38">
        <v>8045730.0000000009</v>
      </c>
      <c r="G573" s="39" t="s">
        <v>2947</v>
      </c>
      <c r="H573" s="12"/>
      <c r="L573" s="12"/>
    </row>
    <row r="574" spans="1:12" ht="15.75" customHeight="1" x14ac:dyDescent="0.3">
      <c r="A574" s="29" t="s">
        <v>429</v>
      </c>
      <c r="B574" s="50" t="str">
        <f>VLOOKUP(A574,'Sales Order'!A$2:B$1029,1,0)</f>
        <v>SO0191</v>
      </c>
      <c r="C574" s="29" t="s">
        <v>25</v>
      </c>
      <c r="D574" s="50" t="str">
        <f>VLOOKUP(C574,Product!A$2:B$21,1,0)</f>
        <v>PD0002</v>
      </c>
      <c r="E574" s="36">
        <v>74</v>
      </c>
      <c r="F574" s="38">
        <v>1228400</v>
      </c>
      <c r="G574" s="39" t="s">
        <v>2948</v>
      </c>
      <c r="H574" s="12"/>
      <c r="L574" s="12"/>
    </row>
    <row r="575" spans="1:12" ht="15.75" customHeight="1" x14ac:dyDescent="0.3">
      <c r="A575" s="17" t="s">
        <v>430</v>
      </c>
      <c r="B575" s="50" t="str">
        <f>VLOOKUP(A575,'Sales Order'!A$2:B$1029,1,0)</f>
        <v>SO0192</v>
      </c>
      <c r="C575" s="29" t="s">
        <v>75</v>
      </c>
      <c r="D575" s="50" t="str">
        <f>VLOOKUP(C575,Product!A$2:B$21,1,0)</f>
        <v>PD0017</v>
      </c>
      <c r="E575" s="36">
        <v>103</v>
      </c>
      <c r="F575" s="38">
        <v>240196000</v>
      </c>
      <c r="G575" s="39" t="s">
        <v>2949</v>
      </c>
      <c r="H575" s="12"/>
      <c r="L575" s="12"/>
    </row>
    <row r="576" spans="1:12" ht="15.75" customHeight="1" x14ac:dyDescent="0.3">
      <c r="A576" s="29" t="s">
        <v>430</v>
      </c>
      <c r="B576" s="50" t="str">
        <f>VLOOKUP(A576,'Sales Order'!A$2:B$1029,1,0)</f>
        <v>SO0192</v>
      </c>
      <c r="C576" s="29" t="s">
        <v>33</v>
      </c>
      <c r="D576" s="50" t="str">
        <f>VLOOKUP(C576,Product!A$2:B$21,1,0)</f>
        <v>PD0004</v>
      </c>
      <c r="E576" s="36">
        <v>113</v>
      </c>
      <c r="F576" s="38">
        <v>21379600</v>
      </c>
      <c r="G576" s="39" t="s">
        <v>2950</v>
      </c>
      <c r="H576" s="12"/>
      <c r="L576" s="12"/>
    </row>
    <row r="577" spans="1:12" ht="15.75" customHeight="1" x14ac:dyDescent="0.3">
      <c r="A577" s="17" t="s">
        <v>431</v>
      </c>
      <c r="B577" s="50" t="str">
        <f>VLOOKUP(A577,'Sales Order'!A$2:B$1029,1,0)</f>
        <v>SO0193</v>
      </c>
      <c r="C577" s="29" t="s">
        <v>58</v>
      </c>
      <c r="D577" s="50" t="str">
        <f>VLOOKUP(C577,Product!A$2:B$21,1,0)</f>
        <v>PD0012</v>
      </c>
      <c r="E577" s="36">
        <v>79</v>
      </c>
      <c r="F577" s="38">
        <v>374204040</v>
      </c>
      <c r="G577" s="39" t="s">
        <v>2951</v>
      </c>
      <c r="H577" s="12"/>
      <c r="L577" s="12"/>
    </row>
    <row r="578" spans="1:12" ht="15.75" customHeight="1" x14ac:dyDescent="0.3">
      <c r="A578" s="29" t="s">
        <v>431</v>
      </c>
      <c r="B578" s="50" t="str">
        <f>VLOOKUP(A578,'Sales Order'!A$2:B$1029,1,0)</f>
        <v>SO0193</v>
      </c>
      <c r="C578" s="29" t="s">
        <v>45</v>
      </c>
      <c r="D578" s="50" t="str">
        <f>VLOOKUP(C578,Product!A$2:B$21,1,0)</f>
        <v>PD0008</v>
      </c>
      <c r="E578" s="36">
        <v>68</v>
      </c>
      <c r="F578" s="38">
        <v>9422760</v>
      </c>
      <c r="G578" s="39" t="s">
        <v>2952</v>
      </c>
      <c r="H578" s="12"/>
      <c r="L578" s="12"/>
    </row>
    <row r="579" spans="1:12" ht="15.75" customHeight="1" x14ac:dyDescent="0.3">
      <c r="A579" s="29" t="s">
        <v>431</v>
      </c>
      <c r="B579" s="50" t="str">
        <f>VLOOKUP(A579,'Sales Order'!A$2:B$1029,1,0)</f>
        <v>SO0193</v>
      </c>
      <c r="C579" s="29" t="s">
        <v>69</v>
      </c>
      <c r="D579" s="50" t="str">
        <f>VLOOKUP(C579,Product!A$2:B$21,1,0)</f>
        <v>PD0015</v>
      </c>
      <c r="E579" s="36">
        <v>124</v>
      </c>
      <c r="F579" s="38">
        <v>14997924</v>
      </c>
      <c r="G579" s="39" t="s">
        <v>2953</v>
      </c>
      <c r="H579" s="12"/>
      <c r="L579" s="12"/>
    </row>
    <row r="580" spans="1:12" ht="15.75" customHeight="1" x14ac:dyDescent="0.3">
      <c r="A580" s="17" t="s">
        <v>432</v>
      </c>
      <c r="B580" s="50" t="str">
        <f>VLOOKUP(A580,'Sales Order'!A$2:B$1029,1,0)</f>
        <v>SO0194</v>
      </c>
      <c r="C580" s="29" t="s">
        <v>48</v>
      </c>
      <c r="D580" s="50" t="str">
        <f>VLOOKUP(C580,Product!A$2:B$21,1,0)</f>
        <v>PD0009</v>
      </c>
      <c r="E580" s="36">
        <v>102</v>
      </c>
      <c r="F580" s="38">
        <v>12368520</v>
      </c>
      <c r="G580" s="39" t="s">
        <v>2954</v>
      </c>
      <c r="H580" s="12"/>
      <c r="L580" s="12"/>
    </row>
    <row r="581" spans="1:12" ht="15.75" customHeight="1" x14ac:dyDescent="0.3">
      <c r="A581" s="29" t="s">
        <v>432</v>
      </c>
      <c r="B581" s="50" t="str">
        <f>VLOOKUP(A581,'Sales Order'!A$2:B$1029,1,0)</f>
        <v>SO0194</v>
      </c>
      <c r="C581" s="29" t="s">
        <v>33</v>
      </c>
      <c r="D581" s="50" t="str">
        <f>VLOOKUP(C581,Product!A$2:B$21,1,0)</f>
        <v>PD0004</v>
      </c>
      <c r="E581" s="36">
        <v>108</v>
      </c>
      <c r="F581" s="38">
        <v>19720800</v>
      </c>
      <c r="G581" s="39" t="s">
        <v>2955</v>
      </c>
      <c r="H581" s="12"/>
      <c r="L581" s="12"/>
    </row>
    <row r="582" spans="1:12" ht="15.75" customHeight="1" x14ac:dyDescent="0.3">
      <c r="A582" s="17" t="s">
        <v>433</v>
      </c>
      <c r="B582" s="50" t="str">
        <f>VLOOKUP(A582,'Sales Order'!A$2:B$1029,1,0)</f>
        <v>SO0195</v>
      </c>
      <c r="C582" s="29" t="s">
        <v>48</v>
      </c>
      <c r="D582" s="50" t="str">
        <f>VLOOKUP(C582,Product!A$2:B$21,1,0)</f>
        <v>PD0009</v>
      </c>
      <c r="E582" s="36">
        <v>68</v>
      </c>
      <c r="F582" s="38">
        <v>6754440</v>
      </c>
      <c r="G582" s="39" t="s">
        <v>2956</v>
      </c>
      <c r="H582" s="12"/>
      <c r="L582" s="12"/>
    </row>
    <row r="583" spans="1:12" ht="15.75" customHeight="1" x14ac:dyDescent="0.3">
      <c r="A583" s="17" t="s">
        <v>434</v>
      </c>
      <c r="B583" s="50" t="str">
        <f>VLOOKUP(A583,'Sales Order'!A$2:B$1029,1,0)</f>
        <v>SO0196</v>
      </c>
      <c r="C583" s="29" t="s">
        <v>28</v>
      </c>
      <c r="D583" s="50" t="str">
        <f>VLOOKUP(C583,Product!A$2:B$21,1,0)</f>
        <v>PD0003</v>
      </c>
      <c r="E583" s="36">
        <v>150</v>
      </c>
      <c r="F583" s="38">
        <v>118702500</v>
      </c>
      <c r="G583" s="39" t="s">
        <v>2957</v>
      </c>
      <c r="H583" s="12"/>
      <c r="L583" s="12"/>
    </row>
    <row r="584" spans="1:12" ht="15.75" customHeight="1" x14ac:dyDescent="0.3">
      <c r="A584" s="29" t="s">
        <v>434</v>
      </c>
      <c r="B584" s="50" t="str">
        <f>VLOOKUP(A584,'Sales Order'!A$2:B$1029,1,0)</f>
        <v>SO0196</v>
      </c>
      <c r="C584" s="29" t="s">
        <v>52</v>
      </c>
      <c r="D584" s="50" t="str">
        <f>VLOOKUP(C584,Product!A$2:B$21,1,0)</f>
        <v>PD0010</v>
      </c>
      <c r="E584" s="36">
        <v>127</v>
      </c>
      <c r="F584" s="38">
        <v>33020000</v>
      </c>
      <c r="G584" s="39" t="s">
        <v>2958</v>
      </c>
      <c r="H584" s="12"/>
      <c r="L584" s="12"/>
    </row>
    <row r="585" spans="1:12" ht="15.75" customHeight="1" x14ac:dyDescent="0.3">
      <c r="A585" s="17" t="s">
        <v>435</v>
      </c>
      <c r="B585" s="50" t="str">
        <f>VLOOKUP(A585,'Sales Order'!A$2:B$1029,1,0)</f>
        <v>SO0197</v>
      </c>
      <c r="C585" s="29" t="s">
        <v>65</v>
      </c>
      <c r="D585" s="50" t="str">
        <f>VLOOKUP(C585,Product!A$2:B$21,1,0)</f>
        <v>PD0014</v>
      </c>
      <c r="E585" s="36">
        <v>101</v>
      </c>
      <c r="F585" s="38">
        <v>20225250</v>
      </c>
      <c r="G585" s="39" t="s">
        <v>2959</v>
      </c>
      <c r="H585" s="12"/>
      <c r="L585" s="12"/>
    </row>
    <row r="586" spans="1:12" ht="15.75" customHeight="1" x14ac:dyDescent="0.3">
      <c r="A586" s="29" t="s">
        <v>435</v>
      </c>
      <c r="B586" s="50" t="str">
        <f>VLOOKUP(A586,'Sales Order'!A$2:B$1029,1,0)</f>
        <v>SO0197</v>
      </c>
      <c r="C586" s="29" t="s">
        <v>19</v>
      </c>
      <c r="D586" s="50" t="str">
        <f>VLOOKUP(C586,Product!A$2:B$21,1,0)</f>
        <v>PD0001</v>
      </c>
      <c r="E586" s="36">
        <v>148</v>
      </c>
      <c r="F586" s="38">
        <v>29850120.000000004</v>
      </c>
      <c r="G586" s="39" t="s">
        <v>2960</v>
      </c>
      <c r="H586" s="12"/>
      <c r="L586" s="12"/>
    </row>
    <row r="587" spans="1:12" ht="15.75" customHeight="1" x14ac:dyDescent="0.3">
      <c r="A587" s="29" t="s">
        <v>435</v>
      </c>
      <c r="B587" s="50" t="str">
        <f>VLOOKUP(A587,'Sales Order'!A$2:B$1029,1,0)</f>
        <v>SO0197</v>
      </c>
      <c r="C587" s="29" t="s">
        <v>75</v>
      </c>
      <c r="D587" s="50" t="str">
        <f>VLOOKUP(C587,Product!A$2:B$21,1,0)</f>
        <v>PD0017</v>
      </c>
      <c r="E587" s="36">
        <v>110</v>
      </c>
      <c r="F587" s="38">
        <v>276925000</v>
      </c>
      <c r="G587" s="39" t="s">
        <v>2961</v>
      </c>
      <c r="H587" s="12"/>
      <c r="L587" s="12"/>
    </row>
    <row r="588" spans="1:12" ht="15.75" customHeight="1" x14ac:dyDescent="0.3">
      <c r="A588" s="29" t="s">
        <v>436</v>
      </c>
      <c r="B588" s="50" t="str">
        <f>VLOOKUP(A588,'Sales Order'!A$2:B$1029,1,0)</f>
        <v>SO0198</v>
      </c>
      <c r="C588" s="29" t="s">
        <v>35</v>
      </c>
      <c r="D588" s="50" t="str">
        <f>VLOOKUP(C588,Product!A$2:B$21,1,0)</f>
        <v>PD0005</v>
      </c>
      <c r="E588" s="36">
        <v>37</v>
      </c>
      <c r="F588" s="38">
        <v>63347700</v>
      </c>
      <c r="G588" s="39" t="s">
        <v>2962</v>
      </c>
      <c r="H588" s="12"/>
      <c r="L588" s="12"/>
    </row>
    <row r="589" spans="1:12" ht="15.75" customHeight="1" x14ac:dyDescent="0.3">
      <c r="A589" s="29" t="s">
        <v>436</v>
      </c>
      <c r="B589" s="50" t="str">
        <f>VLOOKUP(A589,'Sales Order'!A$2:B$1029,1,0)</f>
        <v>SO0198</v>
      </c>
      <c r="C589" s="29" t="s">
        <v>48</v>
      </c>
      <c r="D589" s="50" t="str">
        <f>VLOOKUP(C589,Product!A$2:B$21,1,0)</f>
        <v>PD0009</v>
      </c>
      <c r="E589" s="36">
        <v>42</v>
      </c>
      <c r="F589" s="38">
        <v>4388580</v>
      </c>
      <c r="G589" s="39" t="s">
        <v>2963</v>
      </c>
      <c r="H589" s="12"/>
      <c r="L589" s="12"/>
    </row>
    <row r="590" spans="1:12" ht="15.75" customHeight="1" x14ac:dyDescent="0.3">
      <c r="A590" s="17" t="s">
        <v>437</v>
      </c>
      <c r="B590" s="50" t="str">
        <f>VLOOKUP(A590,'Sales Order'!A$2:B$1029,1,0)</f>
        <v>SO0199</v>
      </c>
      <c r="C590" s="29" t="s">
        <v>75</v>
      </c>
      <c r="D590" s="50" t="str">
        <f>VLOOKUP(C590,Product!A$2:B$21,1,0)</f>
        <v>PD0017</v>
      </c>
      <c r="E590" s="36">
        <v>127</v>
      </c>
      <c r="F590" s="38">
        <v>299529500</v>
      </c>
      <c r="G590" s="39" t="s">
        <v>2964</v>
      </c>
      <c r="H590" s="12"/>
      <c r="L590" s="12"/>
    </row>
    <row r="591" spans="1:12" ht="15.75" customHeight="1" x14ac:dyDescent="0.3">
      <c r="A591" s="29" t="s">
        <v>437</v>
      </c>
      <c r="B591" s="50" t="str">
        <f>VLOOKUP(A591,'Sales Order'!A$2:B$1029,1,0)</f>
        <v>SO0199</v>
      </c>
      <c r="C591" s="29" t="s">
        <v>19</v>
      </c>
      <c r="D591" s="50" t="str">
        <f>VLOOKUP(C591,Product!A$2:B$21,1,0)</f>
        <v>PD0001</v>
      </c>
      <c r="E591" s="36">
        <v>105</v>
      </c>
      <c r="F591" s="38">
        <v>21177450</v>
      </c>
      <c r="G591" s="39" t="s">
        <v>2965</v>
      </c>
      <c r="H591" s="12"/>
      <c r="L591" s="12"/>
    </row>
    <row r="592" spans="1:12" ht="15.75" customHeight="1" x14ac:dyDescent="0.3">
      <c r="A592" s="29" t="s">
        <v>437</v>
      </c>
      <c r="B592" s="50" t="str">
        <f>VLOOKUP(A592,'Sales Order'!A$2:B$1029,1,0)</f>
        <v>SO0199</v>
      </c>
      <c r="C592" s="29" t="s">
        <v>40</v>
      </c>
      <c r="D592" s="50" t="str">
        <f>VLOOKUP(C592,Product!A$2:B$21,1,0)</f>
        <v>PD0006</v>
      </c>
      <c r="E592" s="36">
        <v>67</v>
      </c>
      <c r="F592" s="38">
        <v>12462670</v>
      </c>
      <c r="G592" s="39" t="s">
        <v>2966</v>
      </c>
      <c r="H592" s="12"/>
      <c r="L592" s="12"/>
    </row>
    <row r="593" spans="1:12" ht="15.75" customHeight="1" x14ac:dyDescent="0.3">
      <c r="A593" s="29" t="s">
        <v>437</v>
      </c>
      <c r="B593" s="50" t="str">
        <f>VLOOKUP(A593,'Sales Order'!A$2:B$1029,1,0)</f>
        <v>SO0199</v>
      </c>
      <c r="C593" s="29" t="s">
        <v>48</v>
      </c>
      <c r="D593" s="50" t="str">
        <f>VLOOKUP(C593,Product!A$2:B$21,1,0)</f>
        <v>PD0009</v>
      </c>
      <c r="E593" s="36">
        <v>141</v>
      </c>
      <c r="F593" s="38">
        <v>14369310</v>
      </c>
      <c r="G593" s="39" t="s">
        <v>2967</v>
      </c>
      <c r="H593" s="12"/>
      <c r="L593" s="12"/>
    </row>
    <row r="594" spans="1:12" ht="15.75" customHeight="1" x14ac:dyDescent="0.3">
      <c r="A594" s="29" t="s">
        <v>437</v>
      </c>
      <c r="B594" s="50" t="str">
        <f>VLOOKUP(A594,'Sales Order'!A$2:B$1029,1,0)</f>
        <v>SO0199</v>
      </c>
      <c r="C594" s="29" t="s">
        <v>81</v>
      </c>
      <c r="D594" s="50" t="str">
        <f>VLOOKUP(C594,Product!A$2:B$21,1,0)</f>
        <v>PD0019</v>
      </c>
      <c r="E594" s="36">
        <v>134</v>
      </c>
      <c r="F594" s="38">
        <v>280084120</v>
      </c>
      <c r="G594" s="39" t="s">
        <v>2968</v>
      </c>
      <c r="H594" s="12"/>
      <c r="L594" s="12"/>
    </row>
    <row r="595" spans="1:12" ht="15.75" customHeight="1" x14ac:dyDescent="0.3">
      <c r="A595" s="29" t="s">
        <v>437</v>
      </c>
      <c r="B595" s="50" t="str">
        <f>VLOOKUP(A595,'Sales Order'!A$2:B$1029,1,0)</f>
        <v>SO0199</v>
      </c>
      <c r="C595" s="29" t="s">
        <v>69</v>
      </c>
      <c r="D595" s="50" t="str">
        <f>VLOOKUP(C595,Product!A$2:B$21,1,0)</f>
        <v>PD0015</v>
      </c>
      <c r="E595" s="36">
        <v>96</v>
      </c>
      <c r="F595" s="38">
        <v>9784800</v>
      </c>
      <c r="G595" s="39" t="s">
        <v>2969</v>
      </c>
      <c r="H595" s="12"/>
      <c r="L595" s="12"/>
    </row>
    <row r="596" spans="1:12" ht="15.75" customHeight="1" x14ac:dyDescent="0.3">
      <c r="A596" s="17" t="s">
        <v>438</v>
      </c>
      <c r="B596" s="50" t="str">
        <f>VLOOKUP(A596,'Sales Order'!A$2:B$1029,1,0)</f>
        <v>SO0200</v>
      </c>
      <c r="C596" s="29" t="s">
        <v>48</v>
      </c>
      <c r="D596" s="50" t="str">
        <f>VLOOKUP(C596,Product!A$2:B$21,1,0)</f>
        <v>PD0009</v>
      </c>
      <c r="E596" s="36">
        <v>25</v>
      </c>
      <c r="F596" s="38">
        <v>2999250</v>
      </c>
      <c r="G596" s="39" t="s">
        <v>2970</v>
      </c>
      <c r="H596" s="12"/>
      <c r="L596" s="12"/>
    </row>
    <row r="597" spans="1:12" ht="15.75" customHeight="1" x14ac:dyDescent="0.3">
      <c r="A597" s="29" t="s">
        <v>438</v>
      </c>
      <c r="B597" s="50" t="str">
        <f>VLOOKUP(A597,'Sales Order'!A$2:B$1029,1,0)</f>
        <v>SO0200</v>
      </c>
      <c r="C597" s="29" t="s">
        <v>28</v>
      </c>
      <c r="D597" s="50" t="str">
        <f>VLOOKUP(C597,Product!A$2:B$21,1,0)</f>
        <v>PD0003</v>
      </c>
      <c r="E597" s="36">
        <v>82</v>
      </c>
      <c r="F597" s="38">
        <v>61073600</v>
      </c>
      <c r="G597" s="39" t="s">
        <v>2971</v>
      </c>
      <c r="H597" s="12"/>
      <c r="L597" s="12"/>
    </row>
    <row r="598" spans="1:12" ht="15.75" customHeight="1" x14ac:dyDescent="0.3">
      <c r="A598" s="29" t="s">
        <v>438</v>
      </c>
      <c r="B598" s="50" t="str">
        <f>VLOOKUP(A598,'Sales Order'!A$2:B$1029,1,0)</f>
        <v>SO0200</v>
      </c>
      <c r="C598" s="29" t="s">
        <v>52</v>
      </c>
      <c r="D598" s="50" t="str">
        <f>VLOOKUP(C598,Product!A$2:B$21,1,0)</f>
        <v>PD0010</v>
      </c>
      <c r="E598" s="36">
        <v>33</v>
      </c>
      <c r="F598" s="38">
        <v>9009000</v>
      </c>
      <c r="G598" s="39" t="s">
        <v>2972</v>
      </c>
      <c r="H598" s="12"/>
      <c r="L598" s="12"/>
    </row>
    <row r="599" spans="1:12" ht="15.75" customHeight="1" x14ac:dyDescent="0.3">
      <c r="A599" s="29" t="s">
        <v>438</v>
      </c>
      <c r="B599" s="50" t="str">
        <f>VLOOKUP(A599,'Sales Order'!A$2:B$1029,1,0)</f>
        <v>SO0200</v>
      </c>
      <c r="C599" s="29" t="s">
        <v>61</v>
      </c>
      <c r="D599" s="50" t="str">
        <f>VLOOKUP(C599,Product!A$2:B$21,1,0)</f>
        <v>PD0013</v>
      </c>
      <c r="E599" s="36">
        <v>54</v>
      </c>
      <c r="F599" s="38">
        <v>21727440</v>
      </c>
      <c r="G599" s="39" t="s">
        <v>2973</v>
      </c>
      <c r="H599" s="12"/>
      <c r="L599" s="12"/>
    </row>
    <row r="600" spans="1:12" ht="15.75" customHeight="1" x14ac:dyDescent="0.3">
      <c r="A600" s="17" t="s">
        <v>439</v>
      </c>
      <c r="B600" s="50" t="str">
        <f>VLOOKUP(A600,'Sales Order'!A$2:B$1029,1,0)</f>
        <v>SO0201</v>
      </c>
      <c r="C600" s="29" t="s">
        <v>52</v>
      </c>
      <c r="D600" s="50" t="str">
        <f>VLOOKUP(C600,Product!A$2:B$21,1,0)</f>
        <v>PD0010</v>
      </c>
      <c r="E600" s="36">
        <v>59</v>
      </c>
      <c r="F600" s="38">
        <v>18216250</v>
      </c>
      <c r="G600" s="39" t="s">
        <v>2974</v>
      </c>
      <c r="H600" s="12"/>
      <c r="L600" s="12"/>
    </row>
    <row r="601" spans="1:12" ht="15.75" customHeight="1" x14ac:dyDescent="0.3">
      <c r="A601" s="29" t="s">
        <v>439</v>
      </c>
      <c r="B601" s="50" t="str">
        <f>VLOOKUP(A601,'Sales Order'!A$2:B$1029,1,0)</f>
        <v>SO0201</v>
      </c>
      <c r="C601" s="29" t="s">
        <v>81</v>
      </c>
      <c r="D601" s="50" t="str">
        <f>VLOOKUP(C601,Product!A$2:B$21,1,0)</f>
        <v>PD0019</v>
      </c>
      <c r="E601" s="36">
        <v>41</v>
      </c>
      <c r="F601" s="38">
        <v>83607200</v>
      </c>
      <c r="G601" s="39" t="s">
        <v>2975</v>
      </c>
      <c r="H601" s="12"/>
      <c r="L601" s="12"/>
    </row>
    <row r="602" spans="1:12" ht="15.75" customHeight="1" x14ac:dyDescent="0.3">
      <c r="A602" s="17" t="s">
        <v>440</v>
      </c>
      <c r="B602" s="50" t="str">
        <f>VLOOKUP(A602,'Sales Order'!A$2:B$1029,1,0)</f>
        <v>SO0202</v>
      </c>
      <c r="C602" s="29" t="s">
        <v>83</v>
      </c>
      <c r="D602" s="50" t="str">
        <f>VLOOKUP(C602,Product!A$2:B$21,1,0)</f>
        <v>PD0020</v>
      </c>
      <c r="E602" s="36">
        <v>77</v>
      </c>
      <c r="F602" s="38">
        <v>19032090</v>
      </c>
      <c r="G602" s="39" t="s">
        <v>2976</v>
      </c>
      <c r="H602" s="12"/>
      <c r="L602" s="12"/>
    </row>
    <row r="603" spans="1:12" ht="15.75" customHeight="1" x14ac:dyDescent="0.3">
      <c r="A603" s="29" t="s">
        <v>440</v>
      </c>
      <c r="B603" s="50" t="str">
        <f>VLOOKUP(A603,'Sales Order'!A$2:B$1029,1,0)</f>
        <v>SO0202</v>
      </c>
      <c r="C603" s="29" t="s">
        <v>48</v>
      </c>
      <c r="D603" s="50" t="str">
        <f>VLOOKUP(C603,Product!A$2:B$21,1,0)</f>
        <v>PD0009</v>
      </c>
      <c r="E603" s="36">
        <v>108</v>
      </c>
      <c r="F603" s="38">
        <v>12260160</v>
      </c>
      <c r="G603" s="39" t="s">
        <v>2977</v>
      </c>
      <c r="H603" s="12"/>
      <c r="L603" s="12"/>
    </row>
    <row r="604" spans="1:12" ht="15.75" customHeight="1" x14ac:dyDescent="0.3">
      <c r="A604" s="29" t="s">
        <v>440</v>
      </c>
      <c r="B604" s="50" t="str">
        <f>VLOOKUP(A604,'Sales Order'!A$2:B$1029,1,0)</f>
        <v>SO0202</v>
      </c>
      <c r="C604" s="29" t="s">
        <v>40</v>
      </c>
      <c r="D604" s="50" t="str">
        <f>VLOOKUP(C604,Product!A$2:B$21,1,0)</f>
        <v>PD0006</v>
      </c>
      <c r="E604" s="36">
        <v>78</v>
      </c>
      <c r="F604" s="38">
        <v>15323880</v>
      </c>
      <c r="G604" s="39" t="s">
        <v>2978</v>
      </c>
      <c r="H604" s="12"/>
      <c r="L604" s="12"/>
    </row>
    <row r="605" spans="1:12" ht="15.75" customHeight="1" x14ac:dyDescent="0.3">
      <c r="A605" s="17" t="s">
        <v>441</v>
      </c>
      <c r="B605" s="50" t="str">
        <f>VLOOKUP(A605,'Sales Order'!A$2:B$1029,1,0)</f>
        <v>SO0203</v>
      </c>
      <c r="C605" s="29" t="s">
        <v>58</v>
      </c>
      <c r="D605" s="50" t="str">
        <f>VLOOKUP(C605,Product!A$2:B$21,1,0)</f>
        <v>PD0012</v>
      </c>
      <c r="E605" s="36">
        <v>103</v>
      </c>
      <c r="F605" s="38">
        <v>516927130</v>
      </c>
      <c r="G605" s="39" t="s">
        <v>2979</v>
      </c>
      <c r="H605" s="12"/>
      <c r="L605" s="12"/>
    </row>
    <row r="606" spans="1:12" ht="15.75" customHeight="1" x14ac:dyDescent="0.3">
      <c r="A606" s="29" t="s">
        <v>441</v>
      </c>
      <c r="B606" s="50" t="str">
        <f>VLOOKUP(A606,'Sales Order'!A$2:B$1029,1,0)</f>
        <v>SO0203</v>
      </c>
      <c r="C606" s="29" t="s">
        <v>61</v>
      </c>
      <c r="D606" s="50" t="str">
        <f>VLOOKUP(C606,Product!A$2:B$21,1,0)</f>
        <v>PD0013</v>
      </c>
      <c r="E606" s="36">
        <v>37</v>
      </c>
      <c r="F606" s="38">
        <v>14710090</v>
      </c>
      <c r="G606" s="39" t="s">
        <v>2980</v>
      </c>
      <c r="H606" s="12"/>
      <c r="L606" s="12"/>
    </row>
    <row r="607" spans="1:12" ht="15.75" customHeight="1" x14ac:dyDescent="0.3">
      <c r="A607" s="29" t="s">
        <v>441</v>
      </c>
      <c r="B607" s="50" t="str">
        <f>VLOOKUP(A607,'Sales Order'!A$2:B$1029,1,0)</f>
        <v>SO0203</v>
      </c>
      <c r="C607" s="29" t="s">
        <v>78</v>
      </c>
      <c r="D607" s="50" t="str">
        <f>VLOOKUP(C607,Product!A$2:B$21,1,0)</f>
        <v>PD0018</v>
      </c>
      <c r="E607" s="36">
        <v>35</v>
      </c>
      <c r="F607" s="38">
        <v>14151200</v>
      </c>
      <c r="G607" s="39" t="s">
        <v>2981</v>
      </c>
      <c r="H607" s="12"/>
      <c r="L607" s="12"/>
    </row>
    <row r="608" spans="1:12" ht="15.75" customHeight="1" x14ac:dyDescent="0.3">
      <c r="A608" s="29" t="s">
        <v>441</v>
      </c>
      <c r="B608" s="50" t="str">
        <f>VLOOKUP(A608,'Sales Order'!A$2:B$1029,1,0)</f>
        <v>SO0203</v>
      </c>
      <c r="C608" s="29" t="s">
        <v>19</v>
      </c>
      <c r="D608" s="50" t="str">
        <f>VLOOKUP(C608,Product!A$2:B$21,1,0)</f>
        <v>PD0001</v>
      </c>
      <c r="E608" s="36">
        <v>66</v>
      </c>
      <c r="F608" s="38">
        <v>14954940</v>
      </c>
      <c r="G608" s="39" t="s">
        <v>2982</v>
      </c>
      <c r="H608" s="12"/>
      <c r="L608" s="12"/>
    </row>
    <row r="609" spans="1:12" ht="15.75" customHeight="1" x14ac:dyDescent="0.3">
      <c r="A609" s="17" t="s">
        <v>442</v>
      </c>
      <c r="B609" s="50" t="str">
        <f>VLOOKUP(A609,'Sales Order'!A$2:B$1029,1,0)</f>
        <v>SO0204</v>
      </c>
      <c r="C609" s="29" t="s">
        <v>33</v>
      </c>
      <c r="D609" s="50" t="str">
        <f>VLOOKUP(C609,Product!A$2:B$21,1,0)</f>
        <v>PD0004</v>
      </c>
      <c r="E609" s="36">
        <v>120</v>
      </c>
      <c r="F609" s="38">
        <v>23760000</v>
      </c>
      <c r="G609" s="39" t="s">
        <v>2983</v>
      </c>
      <c r="H609" s="12"/>
      <c r="L609" s="12"/>
    </row>
    <row r="610" spans="1:12" ht="15.75" customHeight="1" x14ac:dyDescent="0.3">
      <c r="A610" s="29" t="s">
        <v>442</v>
      </c>
      <c r="B610" s="50" t="str">
        <f>VLOOKUP(A610,'Sales Order'!A$2:B$1029,1,0)</f>
        <v>SO0204</v>
      </c>
      <c r="C610" s="29" t="s">
        <v>43</v>
      </c>
      <c r="D610" s="50" t="str">
        <f>VLOOKUP(C610,Product!A$2:B$21,1,0)</f>
        <v>PD0007</v>
      </c>
      <c r="E610" s="36">
        <v>130</v>
      </c>
      <c r="F610" s="38">
        <v>324480000</v>
      </c>
      <c r="G610" s="39" t="s">
        <v>2984</v>
      </c>
      <c r="H610" s="12"/>
      <c r="L610" s="12"/>
    </row>
    <row r="611" spans="1:12" ht="15.75" customHeight="1" x14ac:dyDescent="0.3">
      <c r="A611" s="29" t="s">
        <v>442</v>
      </c>
      <c r="B611" s="50" t="str">
        <f>VLOOKUP(A611,'Sales Order'!A$2:B$1029,1,0)</f>
        <v>SO0204</v>
      </c>
      <c r="C611" s="29" t="s">
        <v>45</v>
      </c>
      <c r="D611" s="50" t="str">
        <f>VLOOKUP(C611,Product!A$2:B$21,1,0)</f>
        <v>PD0008</v>
      </c>
      <c r="E611" s="36">
        <v>114</v>
      </c>
      <c r="F611" s="38">
        <v>14438100</v>
      </c>
      <c r="G611" s="39" t="s">
        <v>2985</v>
      </c>
      <c r="H611" s="12"/>
      <c r="L611" s="12"/>
    </row>
    <row r="612" spans="1:12" ht="15.75" customHeight="1" x14ac:dyDescent="0.3">
      <c r="A612" s="17" t="s">
        <v>443</v>
      </c>
      <c r="B612" s="50" t="str">
        <f>VLOOKUP(A612,'Sales Order'!A$2:B$1029,1,0)</f>
        <v>SO0205</v>
      </c>
      <c r="C612" s="29" t="s">
        <v>58</v>
      </c>
      <c r="D612" s="50" t="str">
        <f>VLOOKUP(C612,Product!A$2:B$21,1,0)</f>
        <v>PD0012</v>
      </c>
      <c r="E612" s="36">
        <v>100</v>
      </c>
      <c r="F612" s="38">
        <v>479315000</v>
      </c>
      <c r="G612" s="39" t="s">
        <v>2986</v>
      </c>
      <c r="H612" s="12"/>
      <c r="L612" s="12"/>
    </row>
    <row r="613" spans="1:12" ht="15.75" customHeight="1" x14ac:dyDescent="0.3">
      <c r="A613" s="29" t="s">
        <v>443</v>
      </c>
      <c r="B613" s="50" t="str">
        <f>VLOOKUP(A613,'Sales Order'!A$2:B$1029,1,0)</f>
        <v>SO0205</v>
      </c>
      <c r="C613" s="29" t="s">
        <v>75</v>
      </c>
      <c r="D613" s="50" t="str">
        <f>VLOOKUP(C613,Product!A$2:B$21,1,0)</f>
        <v>PD0017</v>
      </c>
      <c r="E613" s="36">
        <v>107</v>
      </c>
      <c r="F613" s="38">
        <v>215498000</v>
      </c>
      <c r="G613" s="39" t="s">
        <v>2987</v>
      </c>
      <c r="H613" s="12"/>
      <c r="L613" s="12"/>
    </row>
    <row r="614" spans="1:12" ht="15.75" customHeight="1" x14ac:dyDescent="0.3">
      <c r="A614" s="29" t="s">
        <v>443</v>
      </c>
      <c r="B614" s="50" t="str">
        <f>VLOOKUP(A614,'Sales Order'!A$2:B$1029,1,0)</f>
        <v>SO0205</v>
      </c>
      <c r="C614" s="29" t="s">
        <v>61</v>
      </c>
      <c r="D614" s="50" t="str">
        <f>VLOOKUP(C614,Product!A$2:B$21,1,0)</f>
        <v>PD0013</v>
      </c>
      <c r="E614" s="36">
        <v>92</v>
      </c>
      <c r="F614" s="38">
        <v>38339160</v>
      </c>
      <c r="G614" s="39" t="s">
        <v>2988</v>
      </c>
      <c r="H614" s="12"/>
      <c r="L614" s="12"/>
    </row>
    <row r="615" spans="1:12" ht="15.75" customHeight="1" x14ac:dyDescent="0.3">
      <c r="A615" s="17" t="s">
        <v>444</v>
      </c>
      <c r="B615" s="50" t="str">
        <f>VLOOKUP(A615,'Sales Order'!A$2:B$1029,1,0)</f>
        <v>SO0206</v>
      </c>
      <c r="C615" s="29" t="s">
        <v>43</v>
      </c>
      <c r="D615" s="50" t="str">
        <f>VLOOKUP(C615,Product!A$2:B$21,1,0)</f>
        <v>PD0007</v>
      </c>
      <c r="E615" s="36">
        <v>78</v>
      </c>
      <c r="F615" s="38">
        <v>212160000</v>
      </c>
      <c r="G615" s="39" t="s">
        <v>2989</v>
      </c>
      <c r="H615" s="12"/>
      <c r="L615" s="12"/>
    </row>
    <row r="616" spans="1:12" ht="15.75" customHeight="1" x14ac:dyDescent="0.3">
      <c r="A616" s="29" t="s">
        <v>444</v>
      </c>
      <c r="B616" s="50" t="str">
        <f>VLOOKUP(A616,'Sales Order'!A$2:B$1029,1,0)</f>
        <v>SO0206</v>
      </c>
      <c r="C616" s="29" t="s">
        <v>65</v>
      </c>
      <c r="D616" s="50" t="str">
        <f>VLOOKUP(C616,Product!A$2:B$21,1,0)</f>
        <v>PD0014</v>
      </c>
      <c r="E616" s="36">
        <v>87</v>
      </c>
      <c r="F616" s="38">
        <v>21370680</v>
      </c>
      <c r="G616" s="39" t="s">
        <v>2990</v>
      </c>
      <c r="H616" s="12"/>
      <c r="L616" s="12"/>
    </row>
    <row r="617" spans="1:12" ht="15.75" customHeight="1" x14ac:dyDescent="0.3">
      <c r="A617" s="29" t="s">
        <v>444</v>
      </c>
      <c r="B617" s="50" t="str">
        <f>VLOOKUP(A617,'Sales Order'!A$2:B$1029,1,0)</f>
        <v>SO0206</v>
      </c>
      <c r="C617" s="29" t="s">
        <v>33</v>
      </c>
      <c r="D617" s="50" t="str">
        <f>VLOOKUP(C617,Product!A$2:B$21,1,0)</f>
        <v>PD0004</v>
      </c>
      <c r="E617" s="36">
        <v>57</v>
      </c>
      <c r="F617" s="38">
        <v>10909800</v>
      </c>
      <c r="G617" s="39" t="s">
        <v>2991</v>
      </c>
      <c r="H617" s="12"/>
      <c r="L617" s="12"/>
    </row>
    <row r="618" spans="1:12" ht="15.75" customHeight="1" x14ac:dyDescent="0.3">
      <c r="A618" s="29" t="s">
        <v>444</v>
      </c>
      <c r="B618" s="50" t="str">
        <f>VLOOKUP(A618,'Sales Order'!A$2:B$1029,1,0)</f>
        <v>SO0206</v>
      </c>
      <c r="C618" s="29" t="s">
        <v>83</v>
      </c>
      <c r="D618" s="50" t="str">
        <f>VLOOKUP(C618,Product!A$2:B$21,1,0)</f>
        <v>PD0020</v>
      </c>
      <c r="E618" s="36">
        <v>107</v>
      </c>
      <c r="F618" s="38">
        <v>26103720</v>
      </c>
      <c r="G618" s="39" t="s">
        <v>2992</v>
      </c>
      <c r="H618" s="12"/>
      <c r="L618" s="12"/>
    </row>
    <row r="619" spans="1:12" ht="15.75" customHeight="1" x14ac:dyDescent="0.3">
      <c r="A619" s="29" t="s">
        <v>444</v>
      </c>
      <c r="B619" s="50" t="str">
        <f>VLOOKUP(A619,'Sales Order'!A$2:B$1029,1,0)</f>
        <v>SO0206</v>
      </c>
      <c r="C619" s="29" t="s">
        <v>48</v>
      </c>
      <c r="D619" s="50" t="str">
        <f>VLOOKUP(C619,Product!A$2:B$21,1,0)</f>
        <v>PD0009</v>
      </c>
      <c r="E619" s="36">
        <v>137</v>
      </c>
      <c r="F619" s="38">
        <v>14491860.000000002</v>
      </c>
      <c r="G619" s="39" t="s">
        <v>2993</v>
      </c>
      <c r="H619" s="12"/>
      <c r="L619" s="12"/>
    </row>
    <row r="620" spans="1:12" ht="15.75" customHeight="1" x14ac:dyDescent="0.3">
      <c r="A620" s="29" t="s">
        <v>445</v>
      </c>
      <c r="B620" s="50" t="str">
        <f>VLOOKUP(A620,'Sales Order'!A$2:B$1029,1,0)</f>
        <v>SO0207</v>
      </c>
      <c r="C620" s="29" t="s">
        <v>35</v>
      </c>
      <c r="D620" s="50" t="str">
        <f>VLOOKUP(C620,Product!A$2:B$21,1,0)</f>
        <v>PD0005</v>
      </c>
      <c r="E620" s="36">
        <v>41</v>
      </c>
      <c r="F620" s="38">
        <v>79195600</v>
      </c>
      <c r="G620" s="39" t="s">
        <v>2994</v>
      </c>
      <c r="H620" s="12"/>
      <c r="L620" s="12"/>
    </row>
    <row r="621" spans="1:12" ht="15.75" customHeight="1" x14ac:dyDescent="0.3">
      <c r="A621" s="29" t="s">
        <v>445</v>
      </c>
      <c r="B621" s="50" t="str">
        <f>VLOOKUP(A621,'Sales Order'!A$2:B$1029,1,0)</f>
        <v>SO0207</v>
      </c>
      <c r="C621" s="29" t="s">
        <v>75</v>
      </c>
      <c r="D621" s="50" t="str">
        <f>VLOOKUP(C621,Product!A$2:B$21,1,0)</f>
        <v>PD0017</v>
      </c>
      <c r="E621" s="36">
        <v>47</v>
      </c>
      <c r="F621" s="38">
        <v>110849500</v>
      </c>
      <c r="G621" s="39" t="s">
        <v>2995</v>
      </c>
      <c r="H621" s="12"/>
      <c r="L621" s="12"/>
    </row>
    <row r="622" spans="1:12" ht="15.75" customHeight="1" x14ac:dyDescent="0.3">
      <c r="A622" s="29" t="s">
        <v>446</v>
      </c>
      <c r="B622" s="50" t="str">
        <f>VLOOKUP(A622,'Sales Order'!A$2:B$1029,1,0)</f>
        <v>SO0208</v>
      </c>
      <c r="C622" s="29" t="s">
        <v>83</v>
      </c>
      <c r="D622" s="50" t="str">
        <f>VLOOKUP(C622,Product!A$2:B$21,1,0)</f>
        <v>PD0020</v>
      </c>
      <c r="E622" s="36">
        <v>113</v>
      </c>
      <c r="F622" s="38">
        <v>34096620</v>
      </c>
      <c r="G622" s="39" t="s">
        <v>2996</v>
      </c>
      <c r="H622" s="12"/>
      <c r="L622" s="12"/>
    </row>
    <row r="623" spans="1:12" ht="15.75" customHeight="1" x14ac:dyDescent="0.3">
      <c r="A623" s="29" t="s">
        <v>446</v>
      </c>
      <c r="B623" s="50" t="str">
        <f>VLOOKUP(A623,'Sales Order'!A$2:B$1029,1,0)</f>
        <v>SO0208</v>
      </c>
      <c r="C623" s="29" t="s">
        <v>61</v>
      </c>
      <c r="D623" s="50" t="str">
        <f>VLOOKUP(C623,Product!A$2:B$21,1,0)</f>
        <v>PD0013</v>
      </c>
      <c r="E623" s="36">
        <v>54</v>
      </c>
      <c r="F623" s="38">
        <v>23279400</v>
      </c>
      <c r="G623" s="39" t="s">
        <v>2997</v>
      </c>
      <c r="H623" s="12"/>
      <c r="L623" s="12"/>
    </row>
    <row r="624" spans="1:12" ht="15.75" customHeight="1" x14ac:dyDescent="0.3">
      <c r="A624" s="29" t="s">
        <v>446</v>
      </c>
      <c r="B624" s="50" t="str">
        <f>VLOOKUP(A624,'Sales Order'!A$2:B$1029,1,0)</f>
        <v>SO0208</v>
      </c>
      <c r="C624" s="29" t="s">
        <v>19</v>
      </c>
      <c r="D624" s="50" t="str">
        <f>VLOOKUP(C624,Product!A$2:B$21,1,0)</f>
        <v>PD0001</v>
      </c>
      <c r="E624" s="36">
        <v>118</v>
      </c>
      <c r="F624" s="38">
        <v>27031440</v>
      </c>
      <c r="G624" s="39" t="s">
        <v>2998</v>
      </c>
      <c r="H624" s="12"/>
      <c r="L624" s="12"/>
    </row>
    <row r="625" spans="1:12" ht="15.75" customHeight="1" x14ac:dyDescent="0.3">
      <c r="A625" s="17" t="s">
        <v>447</v>
      </c>
      <c r="B625" s="50" t="str">
        <f>VLOOKUP(A625,'Sales Order'!A$2:B$1029,1,0)</f>
        <v>SO0209</v>
      </c>
      <c r="C625" s="29" t="s">
        <v>78</v>
      </c>
      <c r="D625" s="50" t="str">
        <f>VLOOKUP(C625,Product!A$2:B$21,1,0)</f>
        <v>PD0018</v>
      </c>
      <c r="E625" s="36">
        <v>99</v>
      </c>
      <c r="F625" s="38">
        <v>39501000</v>
      </c>
      <c r="G625" s="39" t="s">
        <v>2999</v>
      </c>
      <c r="H625" s="12"/>
      <c r="L625" s="12"/>
    </row>
    <row r="626" spans="1:12" ht="15.75" customHeight="1" x14ac:dyDescent="0.3">
      <c r="A626" s="29" t="s">
        <v>447</v>
      </c>
      <c r="B626" s="50" t="str">
        <f>VLOOKUP(A626,'Sales Order'!A$2:B$1029,1,0)</f>
        <v>SO0209</v>
      </c>
      <c r="C626" s="29" t="s">
        <v>83</v>
      </c>
      <c r="D626" s="50" t="str">
        <f>VLOOKUP(C626,Product!A$2:B$21,1,0)</f>
        <v>PD0020</v>
      </c>
      <c r="E626" s="36">
        <v>25</v>
      </c>
      <c r="F626" s="38">
        <v>6741000</v>
      </c>
      <c r="G626" s="39" t="s">
        <v>3000</v>
      </c>
      <c r="H626" s="12"/>
      <c r="L626" s="12"/>
    </row>
    <row r="627" spans="1:12" ht="15.75" customHeight="1" x14ac:dyDescent="0.3">
      <c r="A627" s="17" t="s">
        <v>448</v>
      </c>
      <c r="B627" s="50" t="str">
        <f>VLOOKUP(A627,'Sales Order'!A$2:B$1029,1,0)</f>
        <v>SO0210</v>
      </c>
      <c r="C627" s="29" t="s">
        <v>45</v>
      </c>
      <c r="D627" s="50" t="str">
        <f>VLOOKUP(C627,Product!A$2:B$21,1,0)</f>
        <v>PD0008</v>
      </c>
      <c r="E627" s="36">
        <v>64</v>
      </c>
      <c r="F627" s="38">
        <v>8487040</v>
      </c>
      <c r="G627" s="39" t="s">
        <v>3001</v>
      </c>
      <c r="H627" s="12"/>
      <c r="L627" s="12"/>
    </row>
    <row r="628" spans="1:12" ht="15.75" customHeight="1" x14ac:dyDescent="0.3">
      <c r="A628" s="29" t="s">
        <v>448</v>
      </c>
      <c r="B628" s="50" t="str">
        <f>VLOOKUP(A628,'Sales Order'!A$2:B$1029,1,0)</f>
        <v>SO0210</v>
      </c>
      <c r="C628" s="29" t="s">
        <v>19</v>
      </c>
      <c r="D628" s="50" t="str">
        <f>VLOOKUP(C628,Product!A$2:B$21,1,0)</f>
        <v>PD0001</v>
      </c>
      <c r="E628" s="36">
        <v>128</v>
      </c>
      <c r="F628" s="38">
        <v>28684800</v>
      </c>
      <c r="G628" s="39" t="s">
        <v>3002</v>
      </c>
      <c r="H628" s="12"/>
      <c r="L628" s="12"/>
    </row>
    <row r="629" spans="1:12" ht="15.75" customHeight="1" x14ac:dyDescent="0.3">
      <c r="A629" s="29" t="s">
        <v>449</v>
      </c>
      <c r="B629" s="50" t="str">
        <f>VLOOKUP(A629,'Sales Order'!A$2:B$1029,1,0)</f>
        <v>SO0211</v>
      </c>
      <c r="C629" s="29" t="s">
        <v>61</v>
      </c>
      <c r="D629" s="50" t="str">
        <f>VLOOKUP(C629,Product!A$2:B$21,1,0)</f>
        <v>PD0013</v>
      </c>
      <c r="E629" s="36">
        <v>28</v>
      </c>
      <c r="F629" s="38">
        <v>11131960</v>
      </c>
      <c r="G629" s="39" t="s">
        <v>3003</v>
      </c>
      <c r="H629" s="12"/>
      <c r="L629" s="12"/>
    </row>
    <row r="630" spans="1:12" ht="15.75" customHeight="1" x14ac:dyDescent="0.3">
      <c r="A630" s="29" t="s">
        <v>449</v>
      </c>
      <c r="B630" s="50" t="str">
        <f>VLOOKUP(A630,'Sales Order'!A$2:B$1029,1,0)</f>
        <v>SO0211</v>
      </c>
      <c r="C630" s="29" t="s">
        <v>45</v>
      </c>
      <c r="D630" s="50" t="str">
        <f>VLOOKUP(C630,Product!A$2:B$21,1,0)</f>
        <v>PD0008</v>
      </c>
      <c r="E630" s="36">
        <v>29</v>
      </c>
      <c r="F630" s="38">
        <v>3845690</v>
      </c>
      <c r="G630" s="39" t="s">
        <v>3004</v>
      </c>
      <c r="H630" s="12"/>
      <c r="L630" s="12"/>
    </row>
    <row r="631" spans="1:12" ht="15.75" customHeight="1" x14ac:dyDescent="0.3">
      <c r="A631" s="29" t="s">
        <v>449</v>
      </c>
      <c r="B631" s="50" t="str">
        <f>VLOOKUP(A631,'Sales Order'!A$2:B$1029,1,0)</f>
        <v>SO0211</v>
      </c>
      <c r="C631" s="29" t="s">
        <v>75</v>
      </c>
      <c r="D631" s="50" t="str">
        <f>VLOOKUP(C631,Product!A$2:B$21,1,0)</f>
        <v>PD0017</v>
      </c>
      <c r="E631" s="36">
        <v>60</v>
      </c>
      <c r="F631" s="38">
        <v>133560000</v>
      </c>
      <c r="G631" s="39" t="s">
        <v>3005</v>
      </c>
      <c r="H631" s="12"/>
      <c r="L631" s="12"/>
    </row>
    <row r="632" spans="1:12" ht="15.75" customHeight="1" x14ac:dyDescent="0.3">
      <c r="A632" s="17" t="s">
        <v>451</v>
      </c>
      <c r="B632" s="50" t="str">
        <f>VLOOKUP(A632,'Sales Order'!A$2:B$1029,1,0)</f>
        <v>SO0213</v>
      </c>
      <c r="C632" s="29" t="s">
        <v>61</v>
      </c>
      <c r="D632" s="50" t="str">
        <f>VLOOKUP(C632,Product!A$2:B$21,1,0)</f>
        <v>PD0013</v>
      </c>
      <c r="E632" s="36">
        <v>133</v>
      </c>
      <c r="F632" s="38">
        <v>54788020</v>
      </c>
      <c r="G632" s="39" t="s">
        <v>3006</v>
      </c>
      <c r="H632" s="12"/>
      <c r="L632" s="12"/>
    </row>
    <row r="633" spans="1:12" ht="15.75" customHeight="1" x14ac:dyDescent="0.3">
      <c r="A633" s="29" t="s">
        <v>451</v>
      </c>
      <c r="B633" s="50" t="str">
        <f>VLOOKUP(A633,'Sales Order'!A$2:B$1029,1,0)</f>
        <v>SO0213</v>
      </c>
      <c r="C633" s="29" t="s">
        <v>58</v>
      </c>
      <c r="D633" s="50" t="str">
        <f>VLOOKUP(C633,Product!A$2:B$21,1,0)</f>
        <v>PD0012</v>
      </c>
      <c r="E633" s="36">
        <v>72</v>
      </c>
      <c r="F633" s="38">
        <v>385707600</v>
      </c>
      <c r="G633" s="39" t="s">
        <v>3007</v>
      </c>
      <c r="H633" s="12"/>
      <c r="L633" s="12"/>
    </row>
    <row r="634" spans="1:12" ht="15.75" customHeight="1" x14ac:dyDescent="0.3">
      <c r="A634" s="29" t="s">
        <v>451</v>
      </c>
      <c r="B634" s="50" t="str">
        <f>VLOOKUP(A634,'Sales Order'!A$2:B$1029,1,0)</f>
        <v>SO0213</v>
      </c>
      <c r="C634" s="29" t="s">
        <v>40</v>
      </c>
      <c r="D634" s="50" t="str">
        <f>VLOOKUP(C634,Product!A$2:B$21,1,0)</f>
        <v>PD0006</v>
      </c>
      <c r="E634" s="36">
        <v>141</v>
      </c>
      <c r="F634" s="38">
        <v>25932720</v>
      </c>
      <c r="G634" s="39" t="s">
        <v>3008</v>
      </c>
      <c r="H634" s="12"/>
      <c r="L634" s="12"/>
    </row>
    <row r="635" spans="1:12" ht="15.75" customHeight="1" x14ac:dyDescent="0.3">
      <c r="A635" s="29" t="s">
        <v>451</v>
      </c>
      <c r="B635" s="50" t="str">
        <f>VLOOKUP(A635,'Sales Order'!A$2:B$1029,1,0)</f>
        <v>SO0213</v>
      </c>
      <c r="C635" s="29" t="s">
        <v>83</v>
      </c>
      <c r="D635" s="50" t="str">
        <f>VLOOKUP(C635,Product!A$2:B$21,1,0)</f>
        <v>PD0020</v>
      </c>
      <c r="E635" s="36">
        <v>85</v>
      </c>
      <c r="F635" s="38">
        <v>23192250</v>
      </c>
      <c r="G635" s="39" t="s">
        <v>3009</v>
      </c>
      <c r="H635" s="12"/>
      <c r="L635" s="12"/>
    </row>
    <row r="636" spans="1:12" ht="15.75" customHeight="1" x14ac:dyDescent="0.3">
      <c r="A636" s="17" t="s">
        <v>452</v>
      </c>
      <c r="B636" s="50" t="str">
        <f>VLOOKUP(A636,'Sales Order'!A$2:B$1029,1,0)</f>
        <v>SO0214</v>
      </c>
      <c r="C636" s="29" t="s">
        <v>58</v>
      </c>
      <c r="D636" s="50" t="str">
        <f>VLOOKUP(C636,Product!A$2:B$21,1,0)</f>
        <v>PD0012</v>
      </c>
      <c r="E636" s="36">
        <v>57</v>
      </c>
      <c r="F636" s="38">
        <v>260352630.00000003</v>
      </c>
      <c r="G636" s="39" t="s">
        <v>3010</v>
      </c>
      <c r="H636" s="12"/>
      <c r="L636" s="12"/>
    </row>
    <row r="637" spans="1:12" ht="15.75" customHeight="1" x14ac:dyDescent="0.3">
      <c r="A637" s="29" t="s">
        <v>452</v>
      </c>
      <c r="B637" s="50" t="str">
        <f>VLOOKUP(A637,'Sales Order'!A$2:B$1029,1,0)</f>
        <v>SO0214</v>
      </c>
      <c r="C637" s="29" t="s">
        <v>55</v>
      </c>
      <c r="D637" s="50" t="str">
        <f>VLOOKUP(C637,Product!A$2:B$21,1,0)</f>
        <v>PD0011</v>
      </c>
      <c r="E637" s="36">
        <v>33</v>
      </c>
      <c r="F637" s="38">
        <v>69283830</v>
      </c>
      <c r="G637" s="39" t="s">
        <v>3011</v>
      </c>
      <c r="H637" s="12"/>
      <c r="L637" s="12"/>
    </row>
    <row r="638" spans="1:12" ht="15.75" customHeight="1" x14ac:dyDescent="0.3">
      <c r="A638" s="29" t="s">
        <v>452</v>
      </c>
      <c r="B638" s="50" t="str">
        <f>VLOOKUP(A638,'Sales Order'!A$2:B$1029,1,0)</f>
        <v>SO0214</v>
      </c>
      <c r="C638" s="29" t="s">
        <v>43</v>
      </c>
      <c r="D638" s="50" t="str">
        <f>VLOOKUP(C638,Product!A$2:B$21,1,0)</f>
        <v>PD0007</v>
      </c>
      <c r="E638" s="36">
        <v>38</v>
      </c>
      <c r="F638" s="38">
        <v>114304000</v>
      </c>
      <c r="G638" s="39" t="s">
        <v>3012</v>
      </c>
      <c r="H638" s="12"/>
      <c r="L638" s="12"/>
    </row>
    <row r="639" spans="1:12" ht="15.75" customHeight="1" x14ac:dyDescent="0.3">
      <c r="A639" s="17" t="s">
        <v>453</v>
      </c>
      <c r="B639" s="50" t="str">
        <f>VLOOKUP(A639,'Sales Order'!A$2:B$1029,1,0)</f>
        <v>SO0215</v>
      </c>
      <c r="C639" s="29" t="s">
        <v>19</v>
      </c>
      <c r="D639" s="50" t="str">
        <f>VLOOKUP(C639,Product!A$2:B$21,1,0)</f>
        <v>PD0001</v>
      </c>
      <c r="E639" s="36">
        <v>138</v>
      </c>
      <c r="F639" s="38">
        <v>31613040</v>
      </c>
      <c r="G639" s="39" t="s">
        <v>3013</v>
      </c>
      <c r="H639" s="12"/>
      <c r="L639" s="12"/>
    </row>
    <row r="640" spans="1:12" ht="15.75" customHeight="1" x14ac:dyDescent="0.3">
      <c r="A640" s="29" t="s">
        <v>453</v>
      </c>
      <c r="B640" s="50" t="str">
        <f>VLOOKUP(A640,'Sales Order'!A$2:B$1029,1,0)</f>
        <v>SO0215</v>
      </c>
      <c r="C640" s="29" t="s">
        <v>48</v>
      </c>
      <c r="D640" s="50" t="str">
        <f>VLOOKUP(C640,Product!A$2:B$21,1,0)</f>
        <v>PD0009</v>
      </c>
      <c r="E640" s="36">
        <v>27</v>
      </c>
      <c r="F640" s="38">
        <v>3308850</v>
      </c>
      <c r="G640" s="39" t="s">
        <v>3014</v>
      </c>
      <c r="H640" s="12"/>
      <c r="L640" s="12"/>
    </row>
    <row r="641" spans="1:12" ht="15.75" customHeight="1" x14ac:dyDescent="0.3">
      <c r="A641" s="29" t="s">
        <v>453</v>
      </c>
      <c r="B641" s="50" t="str">
        <f>VLOOKUP(A641,'Sales Order'!A$2:B$1029,1,0)</f>
        <v>SO0215</v>
      </c>
      <c r="C641" s="29" t="s">
        <v>28</v>
      </c>
      <c r="D641" s="50" t="str">
        <f>VLOOKUP(C641,Product!A$2:B$21,1,0)</f>
        <v>PD0003</v>
      </c>
      <c r="E641" s="36">
        <v>129</v>
      </c>
      <c r="F641" s="38">
        <v>94878210</v>
      </c>
      <c r="G641" s="39" t="s">
        <v>3015</v>
      </c>
      <c r="H641" s="12"/>
      <c r="L641" s="12"/>
    </row>
    <row r="642" spans="1:12" ht="15.75" customHeight="1" x14ac:dyDescent="0.3">
      <c r="A642" s="29" t="s">
        <v>453</v>
      </c>
      <c r="B642" s="50" t="str">
        <f>VLOOKUP(A642,'Sales Order'!A$2:B$1029,1,0)</f>
        <v>SO0215</v>
      </c>
      <c r="C642" s="29" t="s">
        <v>81</v>
      </c>
      <c r="D642" s="50" t="str">
        <f>VLOOKUP(C642,Product!A$2:B$21,1,0)</f>
        <v>PD0019</v>
      </c>
      <c r="E642" s="36">
        <v>56</v>
      </c>
      <c r="F642" s="38">
        <v>115622640.00000001</v>
      </c>
      <c r="G642" s="39" t="s">
        <v>3016</v>
      </c>
      <c r="H642" s="12"/>
      <c r="L642" s="12"/>
    </row>
    <row r="643" spans="1:12" ht="15.75" customHeight="1" x14ac:dyDescent="0.3">
      <c r="A643" s="29" t="s">
        <v>453</v>
      </c>
      <c r="B643" s="50" t="str">
        <f>VLOOKUP(A643,'Sales Order'!A$2:B$1029,1,0)</f>
        <v>SO0215</v>
      </c>
      <c r="C643" s="29" t="s">
        <v>55</v>
      </c>
      <c r="D643" s="50" t="str">
        <f>VLOOKUP(C643,Product!A$2:B$21,1,0)</f>
        <v>PD0011</v>
      </c>
      <c r="E643" s="36">
        <v>32</v>
      </c>
      <c r="F643" s="38">
        <v>61900160.000000007</v>
      </c>
      <c r="G643" s="39" t="s">
        <v>3017</v>
      </c>
      <c r="H643" s="12"/>
      <c r="L643" s="12"/>
    </row>
    <row r="644" spans="1:12" ht="15.75" customHeight="1" x14ac:dyDescent="0.3">
      <c r="A644" s="29" t="s">
        <v>453</v>
      </c>
      <c r="B644" s="50" t="str">
        <f>VLOOKUP(A644,'Sales Order'!A$2:B$1029,1,0)</f>
        <v>SO0215</v>
      </c>
      <c r="C644" s="29" t="s">
        <v>52</v>
      </c>
      <c r="D644" s="50" t="str">
        <f>VLOOKUP(C644,Product!A$2:B$21,1,0)</f>
        <v>PD0010</v>
      </c>
      <c r="E644" s="36">
        <v>97</v>
      </c>
      <c r="F644" s="38">
        <v>27426750</v>
      </c>
      <c r="G644" s="39" t="s">
        <v>3018</v>
      </c>
      <c r="H644" s="12"/>
      <c r="L644" s="12"/>
    </row>
    <row r="645" spans="1:12" ht="15.75" customHeight="1" x14ac:dyDescent="0.3">
      <c r="A645" s="17" t="s">
        <v>454</v>
      </c>
      <c r="B645" s="50" t="str">
        <f>VLOOKUP(A645,'Sales Order'!A$2:B$1029,1,0)</f>
        <v>SO0216</v>
      </c>
      <c r="C645" s="29" t="s">
        <v>72</v>
      </c>
      <c r="D645" s="50" t="str">
        <f>VLOOKUP(C645,Product!A$2:B$21,1,0)</f>
        <v>PD0016</v>
      </c>
      <c r="E645" s="36">
        <v>40</v>
      </c>
      <c r="F645" s="38">
        <v>8223600</v>
      </c>
      <c r="G645" s="39" t="s">
        <v>3019</v>
      </c>
      <c r="H645" s="12"/>
      <c r="L645" s="12"/>
    </row>
    <row r="646" spans="1:12" ht="15.75" customHeight="1" x14ac:dyDescent="0.3">
      <c r="A646" s="29" t="s">
        <v>454</v>
      </c>
      <c r="B646" s="50" t="str">
        <f>VLOOKUP(A646,'Sales Order'!A$2:B$1029,1,0)</f>
        <v>SO0216</v>
      </c>
      <c r="C646" s="29" t="s">
        <v>83</v>
      </c>
      <c r="D646" s="50" t="str">
        <f>VLOOKUP(C646,Product!A$2:B$21,1,0)</f>
        <v>PD0020</v>
      </c>
      <c r="E646" s="36">
        <v>47</v>
      </c>
      <c r="F646" s="38">
        <v>13125690</v>
      </c>
      <c r="G646" s="39" t="s">
        <v>3020</v>
      </c>
      <c r="H646" s="12"/>
      <c r="L646" s="12"/>
    </row>
    <row r="647" spans="1:12" ht="15.75" customHeight="1" x14ac:dyDescent="0.3">
      <c r="A647" s="29" t="s">
        <v>454</v>
      </c>
      <c r="B647" s="50" t="str">
        <f>VLOOKUP(A647,'Sales Order'!A$2:B$1029,1,0)</f>
        <v>SO0216</v>
      </c>
      <c r="C647" s="29" t="s">
        <v>28</v>
      </c>
      <c r="D647" s="50" t="str">
        <f>VLOOKUP(C647,Product!A$2:B$21,1,0)</f>
        <v>PD0003</v>
      </c>
      <c r="E647" s="36">
        <v>135</v>
      </c>
      <c r="F647" s="38">
        <v>100548000</v>
      </c>
      <c r="G647" s="39" t="s">
        <v>3021</v>
      </c>
      <c r="H647" s="12"/>
      <c r="L647" s="12"/>
    </row>
    <row r="648" spans="1:12" ht="15.75" customHeight="1" x14ac:dyDescent="0.3">
      <c r="A648" s="17" t="s">
        <v>455</v>
      </c>
      <c r="B648" s="50" t="str">
        <f>VLOOKUP(A648,'Sales Order'!A$2:B$1029,1,0)</f>
        <v>SO0217</v>
      </c>
      <c r="C648" s="29" t="s">
        <v>25</v>
      </c>
      <c r="D648" s="50" t="str">
        <f>VLOOKUP(C648,Product!A$2:B$21,1,0)</f>
        <v>PD0002</v>
      </c>
      <c r="E648" s="36">
        <v>46</v>
      </c>
      <c r="F648" s="38">
        <v>763600</v>
      </c>
      <c r="G648" s="39" t="s">
        <v>3022</v>
      </c>
      <c r="H648" s="12"/>
      <c r="L648" s="12"/>
    </row>
    <row r="649" spans="1:12" ht="15.75" customHeight="1" x14ac:dyDescent="0.3">
      <c r="A649" s="29" t="s">
        <v>455</v>
      </c>
      <c r="B649" s="50" t="str">
        <f>VLOOKUP(A649,'Sales Order'!A$2:B$1029,1,0)</f>
        <v>SO0217</v>
      </c>
      <c r="C649" s="29" t="s">
        <v>40</v>
      </c>
      <c r="D649" s="50" t="str">
        <f>VLOOKUP(C649,Product!A$2:B$21,1,0)</f>
        <v>PD0006</v>
      </c>
      <c r="E649" s="36">
        <v>51</v>
      </c>
      <c r="F649" s="38">
        <v>9486510</v>
      </c>
      <c r="G649" s="39" t="s">
        <v>3023</v>
      </c>
      <c r="H649" s="12"/>
      <c r="L649" s="12"/>
    </row>
    <row r="650" spans="1:12" ht="15.75" customHeight="1" x14ac:dyDescent="0.3">
      <c r="A650" s="17" t="s">
        <v>456</v>
      </c>
      <c r="B650" s="50" t="str">
        <f>VLOOKUP(A650,'Sales Order'!A$2:B$1029,1,0)</f>
        <v>SO0218</v>
      </c>
      <c r="C650" s="29" t="s">
        <v>28</v>
      </c>
      <c r="D650" s="50" t="str">
        <f>VLOOKUP(C650,Product!A$2:B$21,1,0)</f>
        <v>PD0003</v>
      </c>
      <c r="E650" s="36">
        <v>60</v>
      </c>
      <c r="F650" s="38">
        <v>51391200</v>
      </c>
      <c r="G650" s="39" t="s">
        <v>3024</v>
      </c>
      <c r="H650" s="12"/>
      <c r="L650" s="12"/>
    </row>
    <row r="651" spans="1:12" ht="15.75" customHeight="1" x14ac:dyDescent="0.3">
      <c r="A651" s="17" t="s">
        <v>457</v>
      </c>
      <c r="B651" s="50" t="str">
        <f>VLOOKUP(A651,'Sales Order'!A$2:B$1029,1,0)</f>
        <v>SO0219</v>
      </c>
      <c r="C651" s="29" t="s">
        <v>28</v>
      </c>
      <c r="D651" s="50" t="str">
        <f>VLOOKUP(C651,Product!A$2:B$21,1,0)</f>
        <v>PD0003</v>
      </c>
      <c r="E651" s="36">
        <v>93</v>
      </c>
      <c r="F651" s="38">
        <v>71863890</v>
      </c>
      <c r="G651" s="39" t="s">
        <v>3025</v>
      </c>
      <c r="H651" s="12"/>
      <c r="L651" s="12"/>
    </row>
    <row r="652" spans="1:12" ht="15.75" customHeight="1" x14ac:dyDescent="0.3">
      <c r="A652" s="29" t="s">
        <v>457</v>
      </c>
      <c r="B652" s="50" t="str">
        <f>VLOOKUP(A652,'Sales Order'!A$2:B$1029,1,0)</f>
        <v>SO0219</v>
      </c>
      <c r="C652" s="29" t="s">
        <v>35</v>
      </c>
      <c r="D652" s="50" t="str">
        <f>VLOOKUP(C652,Product!A$2:B$21,1,0)</f>
        <v>PD0005</v>
      </c>
      <c r="E652" s="36">
        <v>85</v>
      </c>
      <c r="F652" s="38">
        <v>177246250</v>
      </c>
      <c r="G652" s="39" t="s">
        <v>3026</v>
      </c>
      <c r="H652" s="12"/>
      <c r="L652" s="12"/>
    </row>
    <row r="653" spans="1:12" ht="15.75" customHeight="1" x14ac:dyDescent="0.3">
      <c r="A653" s="29" t="s">
        <v>457</v>
      </c>
      <c r="B653" s="50" t="str">
        <f>VLOOKUP(A653,'Sales Order'!A$2:B$1029,1,0)</f>
        <v>SO0219</v>
      </c>
      <c r="C653" s="29" t="s">
        <v>45</v>
      </c>
      <c r="D653" s="50" t="str">
        <f>VLOOKUP(C653,Product!A$2:B$21,1,0)</f>
        <v>PD0008</v>
      </c>
      <c r="E653" s="36">
        <v>142</v>
      </c>
      <c r="F653" s="38">
        <v>19042200</v>
      </c>
      <c r="G653" s="39" t="s">
        <v>3027</v>
      </c>
      <c r="H653" s="12"/>
      <c r="L653" s="12"/>
    </row>
    <row r="654" spans="1:12" ht="15.75" customHeight="1" x14ac:dyDescent="0.3">
      <c r="A654" s="17" t="s">
        <v>458</v>
      </c>
      <c r="B654" s="50" t="str">
        <f>VLOOKUP(A654,'Sales Order'!A$2:B$1029,1,0)</f>
        <v>SO0220</v>
      </c>
      <c r="C654" s="29" t="s">
        <v>35</v>
      </c>
      <c r="D654" s="50" t="str">
        <f>VLOOKUP(C654,Product!A$2:B$21,1,0)</f>
        <v>PD0005</v>
      </c>
      <c r="E654" s="36">
        <v>41</v>
      </c>
      <c r="F654" s="38">
        <v>70196100</v>
      </c>
      <c r="G654" s="39" t="s">
        <v>3028</v>
      </c>
      <c r="H654" s="12"/>
      <c r="L654" s="12"/>
    </row>
    <row r="655" spans="1:12" ht="15.75" customHeight="1" x14ac:dyDescent="0.3">
      <c r="A655" s="29" t="s">
        <v>458</v>
      </c>
      <c r="B655" s="50" t="str">
        <f>VLOOKUP(A655,'Sales Order'!A$2:B$1029,1,0)</f>
        <v>SO0220</v>
      </c>
      <c r="C655" s="29" t="s">
        <v>43</v>
      </c>
      <c r="D655" s="50" t="str">
        <f>VLOOKUP(C655,Product!A$2:B$21,1,0)</f>
        <v>PD0007</v>
      </c>
      <c r="E655" s="36">
        <v>146</v>
      </c>
      <c r="F655" s="38">
        <v>359744000</v>
      </c>
      <c r="G655" s="39" t="s">
        <v>3029</v>
      </c>
      <c r="H655" s="12"/>
      <c r="L655" s="12"/>
    </row>
    <row r="656" spans="1:12" ht="15.75" customHeight="1" x14ac:dyDescent="0.3">
      <c r="A656" s="17" t="s">
        <v>459</v>
      </c>
      <c r="B656" s="50" t="str">
        <f>VLOOKUP(A656,'Sales Order'!A$2:B$1029,1,0)</f>
        <v>SO0221</v>
      </c>
      <c r="C656" s="29" t="s">
        <v>45</v>
      </c>
      <c r="D656" s="50" t="str">
        <f>VLOOKUP(C656,Product!A$2:B$21,1,0)</f>
        <v>PD0008</v>
      </c>
      <c r="E656" s="36">
        <v>52</v>
      </c>
      <c r="F656" s="38">
        <v>7205639.9999999991</v>
      </c>
      <c r="G656" s="39" t="s">
        <v>3030</v>
      </c>
      <c r="H656" s="12"/>
      <c r="L656" s="12"/>
    </row>
    <row r="657" spans="1:12" ht="15.75" customHeight="1" x14ac:dyDescent="0.3">
      <c r="A657" s="29" t="s">
        <v>459</v>
      </c>
      <c r="B657" s="50" t="str">
        <f>VLOOKUP(A657,'Sales Order'!A$2:B$1029,1,0)</f>
        <v>SO0221</v>
      </c>
      <c r="C657" s="29" t="s">
        <v>19</v>
      </c>
      <c r="D657" s="50" t="str">
        <f>VLOOKUP(C657,Product!A$2:B$21,1,0)</f>
        <v>PD0001</v>
      </c>
      <c r="E657" s="36">
        <v>114</v>
      </c>
      <c r="F657" s="38">
        <v>21289500</v>
      </c>
      <c r="G657" s="39" t="s">
        <v>3031</v>
      </c>
      <c r="H657" s="12"/>
      <c r="L657" s="12"/>
    </row>
    <row r="658" spans="1:12" ht="15.75" customHeight="1" x14ac:dyDescent="0.3">
      <c r="A658" s="17" t="s">
        <v>460</v>
      </c>
      <c r="B658" s="50" t="str">
        <f>VLOOKUP(A658,'Sales Order'!A$2:B$1029,1,0)</f>
        <v>SO0222</v>
      </c>
      <c r="C658" s="29" t="s">
        <v>78</v>
      </c>
      <c r="D658" s="50" t="str">
        <f>VLOOKUP(C658,Product!A$2:B$21,1,0)</f>
        <v>PD0018</v>
      </c>
      <c r="E658" s="36">
        <v>32</v>
      </c>
      <c r="F658" s="38">
        <v>12938240</v>
      </c>
      <c r="G658" s="39" t="s">
        <v>3032</v>
      </c>
      <c r="H658" s="12"/>
      <c r="L658" s="12"/>
    </row>
    <row r="659" spans="1:12" ht="15.75" customHeight="1" x14ac:dyDescent="0.3">
      <c r="A659" s="29" t="s">
        <v>460</v>
      </c>
      <c r="B659" s="50" t="str">
        <f>VLOOKUP(A659,'Sales Order'!A$2:B$1029,1,0)</f>
        <v>SO0222</v>
      </c>
      <c r="C659" s="29" t="s">
        <v>61</v>
      </c>
      <c r="D659" s="50" t="str">
        <f>VLOOKUP(C659,Product!A$2:B$21,1,0)</f>
        <v>PD0013</v>
      </c>
      <c r="E659" s="36">
        <v>35</v>
      </c>
      <c r="F659" s="38">
        <v>14417900</v>
      </c>
      <c r="G659" s="39" t="s">
        <v>3033</v>
      </c>
      <c r="H659" s="12"/>
      <c r="L659" s="12"/>
    </row>
    <row r="660" spans="1:12" ht="15.75" customHeight="1" x14ac:dyDescent="0.3">
      <c r="A660" s="29" t="s">
        <v>460</v>
      </c>
      <c r="B660" s="50" t="str">
        <f>VLOOKUP(A660,'Sales Order'!A$2:B$1029,1,0)</f>
        <v>SO0222</v>
      </c>
      <c r="C660" s="29" t="s">
        <v>58</v>
      </c>
      <c r="D660" s="50" t="str">
        <f>VLOOKUP(C660,Product!A$2:B$21,1,0)</f>
        <v>PD0012</v>
      </c>
      <c r="E660" s="36">
        <v>64</v>
      </c>
      <c r="F660" s="38">
        <v>285107840</v>
      </c>
      <c r="G660" s="39" t="s">
        <v>3034</v>
      </c>
      <c r="H660" s="12"/>
      <c r="L660" s="12"/>
    </row>
    <row r="661" spans="1:12" ht="15.75" customHeight="1" x14ac:dyDescent="0.3">
      <c r="A661" s="17" t="s">
        <v>461</v>
      </c>
      <c r="B661" s="50" t="str">
        <f>VLOOKUP(A661,'Sales Order'!A$2:B$1029,1,0)</f>
        <v>SO0223</v>
      </c>
      <c r="C661" s="29" t="s">
        <v>28</v>
      </c>
      <c r="D661" s="50" t="str">
        <f>VLOOKUP(C661,Product!A$2:B$21,1,0)</f>
        <v>PD0003</v>
      </c>
      <c r="E661" s="36">
        <v>130</v>
      </c>
      <c r="F661" s="38">
        <v>90772500</v>
      </c>
      <c r="G661" s="39" t="s">
        <v>3035</v>
      </c>
      <c r="H661" s="12"/>
      <c r="L661" s="12"/>
    </row>
    <row r="662" spans="1:12" ht="15.75" customHeight="1" x14ac:dyDescent="0.3">
      <c r="A662" s="29" t="s">
        <v>461</v>
      </c>
      <c r="B662" s="50" t="str">
        <f>VLOOKUP(A662,'Sales Order'!A$2:B$1029,1,0)</f>
        <v>SO0223</v>
      </c>
      <c r="C662" s="29" t="s">
        <v>48</v>
      </c>
      <c r="D662" s="50" t="str">
        <f>VLOOKUP(C662,Product!A$2:B$21,1,0)</f>
        <v>PD0009</v>
      </c>
      <c r="E662" s="36">
        <v>65</v>
      </c>
      <c r="F662" s="38">
        <v>7294950</v>
      </c>
      <c r="G662" s="39" t="s">
        <v>3036</v>
      </c>
      <c r="H662" s="12"/>
      <c r="L662" s="12"/>
    </row>
    <row r="663" spans="1:12" ht="15.75" customHeight="1" x14ac:dyDescent="0.3">
      <c r="A663" s="29" t="s">
        <v>461</v>
      </c>
      <c r="B663" s="50" t="str">
        <f>VLOOKUP(A663,'Sales Order'!A$2:B$1029,1,0)</f>
        <v>SO0223</v>
      </c>
      <c r="C663" s="29" t="s">
        <v>75</v>
      </c>
      <c r="D663" s="50" t="str">
        <f>VLOOKUP(C663,Product!A$2:B$21,1,0)</f>
        <v>PD0017</v>
      </c>
      <c r="E663" s="36">
        <v>106</v>
      </c>
      <c r="F663" s="38">
        <v>238765000</v>
      </c>
      <c r="G663" s="39" t="s">
        <v>3037</v>
      </c>
      <c r="H663" s="12"/>
      <c r="L663" s="12"/>
    </row>
    <row r="664" spans="1:12" ht="15.75" customHeight="1" x14ac:dyDescent="0.3">
      <c r="A664" s="29" t="s">
        <v>461</v>
      </c>
      <c r="B664" s="50" t="str">
        <f>VLOOKUP(A664,'Sales Order'!A$2:B$1029,1,0)</f>
        <v>SO0223</v>
      </c>
      <c r="C664" s="29" t="s">
        <v>81</v>
      </c>
      <c r="D664" s="50" t="str">
        <f>VLOOKUP(C664,Product!A$2:B$21,1,0)</f>
        <v>PD0019</v>
      </c>
      <c r="E664" s="36">
        <v>143</v>
      </c>
      <c r="F664" s="38">
        <v>346281650</v>
      </c>
      <c r="G664" s="39" t="s">
        <v>3038</v>
      </c>
      <c r="H664" s="12"/>
      <c r="L664" s="12"/>
    </row>
    <row r="665" spans="1:12" ht="15.75" customHeight="1" x14ac:dyDescent="0.3">
      <c r="A665" s="29" t="s">
        <v>461</v>
      </c>
      <c r="B665" s="50" t="str">
        <f>VLOOKUP(A665,'Sales Order'!A$2:B$1029,1,0)</f>
        <v>SO0223</v>
      </c>
      <c r="C665" s="29" t="s">
        <v>83</v>
      </c>
      <c r="D665" s="50" t="str">
        <f>VLOOKUP(C665,Product!A$2:B$21,1,0)</f>
        <v>PD0020</v>
      </c>
      <c r="E665" s="36">
        <v>64</v>
      </c>
      <c r="F665" s="38">
        <v>15818880</v>
      </c>
      <c r="G665" s="39" t="s">
        <v>3039</v>
      </c>
      <c r="H665" s="12"/>
      <c r="L665" s="12"/>
    </row>
    <row r="666" spans="1:12" ht="15.75" customHeight="1" x14ac:dyDescent="0.3">
      <c r="A666" s="29" t="s">
        <v>462</v>
      </c>
      <c r="B666" s="50" t="str">
        <f>VLOOKUP(A666,'Sales Order'!A$2:B$1029,1,0)</f>
        <v>SO0224</v>
      </c>
      <c r="C666" s="29" t="s">
        <v>69</v>
      </c>
      <c r="D666" s="50" t="str">
        <f>VLOOKUP(C666,Product!A$2:B$21,1,0)</f>
        <v>PD0015</v>
      </c>
      <c r="E666" s="36">
        <v>129</v>
      </c>
      <c r="F666" s="38">
        <v>15777990</v>
      </c>
      <c r="G666" s="39" t="s">
        <v>3040</v>
      </c>
      <c r="H666" s="12"/>
      <c r="L666" s="12"/>
    </row>
    <row r="667" spans="1:12" ht="15.75" customHeight="1" x14ac:dyDescent="0.3">
      <c r="A667" s="17" t="s">
        <v>463</v>
      </c>
      <c r="B667" s="50" t="str">
        <f>VLOOKUP(A667,'Sales Order'!A$2:B$1029,1,0)</f>
        <v>SO0225</v>
      </c>
      <c r="C667" s="29" t="s">
        <v>33</v>
      </c>
      <c r="D667" s="50" t="str">
        <f>VLOOKUP(C667,Product!A$2:B$21,1,0)</f>
        <v>PD0004</v>
      </c>
      <c r="E667" s="36">
        <v>52</v>
      </c>
      <c r="F667" s="38">
        <v>9952800</v>
      </c>
      <c r="G667" s="39" t="s">
        <v>3041</v>
      </c>
      <c r="H667" s="12"/>
      <c r="L667" s="12"/>
    </row>
    <row r="668" spans="1:12" ht="15.75" customHeight="1" x14ac:dyDescent="0.3">
      <c r="A668" s="29" t="s">
        <v>463</v>
      </c>
      <c r="B668" s="50" t="str">
        <f>VLOOKUP(A668,'Sales Order'!A$2:B$1029,1,0)</f>
        <v>SO0225</v>
      </c>
      <c r="C668" s="29" t="s">
        <v>61</v>
      </c>
      <c r="D668" s="50" t="str">
        <f>VLOOKUP(C668,Product!A$2:B$21,1,0)</f>
        <v>PD0013</v>
      </c>
      <c r="E668" s="36">
        <v>139</v>
      </c>
      <c r="F668" s="38">
        <v>49935750</v>
      </c>
      <c r="G668" s="39" t="s">
        <v>3042</v>
      </c>
      <c r="H668" s="12"/>
      <c r="L668" s="12"/>
    </row>
    <row r="669" spans="1:12" ht="15.75" customHeight="1" x14ac:dyDescent="0.3">
      <c r="A669" s="29" t="s">
        <v>463</v>
      </c>
      <c r="B669" s="50" t="str">
        <f>VLOOKUP(A669,'Sales Order'!A$2:B$1029,1,0)</f>
        <v>SO0225</v>
      </c>
      <c r="C669" s="29" t="s">
        <v>28</v>
      </c>
      <c r="D669" s="50" t="str">
        <f>VLOOKUP(C669,Product!A$2:B$21,1,0)</f>
        <v>PD0003</v>
      </c>
      <c r="E669" s="36">
        <v>103</v>
      </c>
      <c r="F669" s="38">
        <v>82467980</v>
      </c>
      <c r="G669" s="39" t="s">
        <v>3043</v>
      </c>
      <c r="H669" s="12"/>
      <c r="L669" s="12"/>
    </row>
    <row r="670" spans="1:12" ht="15.75" customHeight="1" x14ac:dyDescent="0.3">
      <c r="A670" s="29" t="s">
        <v>463</v>
      </c>
      <c r="B670" s="50" t="str">
        <f>VLOOKUP(A670,'Sales Order'!A$2:B$1029,1,0)</f>
        <v>SO0225</v>
      </c>
      <c r="C670" s="29" t="s">
        <v>45</v>
      </c>
      <c r="D670" s="50" t="str">
        <f>VLOOKUP(C670,Product!A$2:B$21,1,0)</f>
        <v>PD0008</v>
      </c>
      <c r="E670" s="36">
        <v>42</v>
      </c>
      <c r="F670" s="38">
        <v>5569620</v>
      </c>
      <c r="G670" s="39" t="s">
        <v>3044</v>
      </c>
      <c r="H670" s="12"/>
      <c r="L670" s="12"/>
    </row>
    <row r="671" spans="1:12" ht="15.75" customHeight="1" x14ac:dyDescent="0.3">
      <c r="A671" s="29" t="s">
        <v>463</v>
      </c>
      <c r="B671" s="50" t="str">
        <f>VLOOKUP(A671,'Sales Order'!A$2:B$1029,1,0)</f>
        <v>SO0225</v>
      </c>
      <c r="C671" s="29" t="s">
        <v>40</v>
      </c>
      <c r="D671" s="50" t="str">
        <f>VLOOKUP(C671,Product!A$2:B$21,1,0)</f>
        <v>PD0006</v>
      </c>
      <c r="E671" s="36">
        <v>91</v>
      </c>
      <c r="F671" s="38">
        <v>17307290</v>
      </c>
      <c r="G671" s="39" t="s">
        <v>3045</v>
      </c>
      <c r="H671" s="12"/>
      <c r="L671" s="12"/>
    </row>
    <row r="672" spans="1:12" ht="15.75" customHeight="1" x14ac:dyDescent="0.3">
      <c r="A672" s="17" t="s">
        <v>464</v>
      </c>
      <c r="B672" s="50" t="str">
        <f>VLOOKUP(A672,'Sales Order'!A$2:B$1029,1,0)</f>
        <v>SO0226</v>
      </c>
      <c r="C672" s="29" t="s">
        <v>45</v>
      </c>
      <c r="D672" s="50" t="str">
        <f>VLOOKUP(C672,Product!A$2:B$21,1,0)</f>
        <v>PD0008</v>
      </c>
      <c r="E672" s="36">
        <v>135</v>
      </c>
      <c r="F672" s="38">
        <v>15488550</v>
      </c>
      <c r="G672" s="39" t="s">
        <v>3046</v>
      </c>
      <c r="H672" s="12"/>
      <c r="L672" s="12"/>
    </row>
    <row r="673" spans="1:12" ht="15.75" customHeight="1" x14ac:dyDescent="0.3">
      <c r="A673" s="29" t="s">
        <v>464</v>
      </c>
      <c r="B673" s="50" t="str">
        <f>VLOOKUP(A673,'Sales Order'!A$2:B$1029,1,0)</f>
        <v>SO0226</v>
      </c>
      <c r="C673" s="29" t="s">
        <v>72</v>
      </c>
      <c r="D673" s="50" t="str">
        <f>VLOOKUP(C673,Product!A$2:B$21,1,0)</f>
        <v>PD0016</v>
      </c>
      <c r="E673" s="36">
        <v>36</v>
      </c>
      <c r="F673" s="38">
        <v>7881840.0000000009</v>
      </c>
      <c r="G673" s="39" t="s">
        <v>3047</v>
      </c>
      <c r="H673" s="12"/>
      <c r="L673" s="12"/>
    </row>
    <row r="674" spans="1:12" ht="15.75" customHeight="1" x14ac:dyDescent="0.3">
      <c r="A674" s="29" t="s">
        <v>464</v>
      </c>
      <c r="B674" s="50" t="str">
        <f>VLOOKUP(A674,'Sales Order'!A$2:B$1029,1,0)</f>
        <v>SO0226</v>
      </c>
      <c r="C674" s="29" t="s">
        <v>19</v>
      </c>
      <c r="D674" s="50" t="str">
        <f>VLOOKUP(C674,Product!A$2:B$21,1,0)</f>
        <v>PD0001</v>
      </c>
      <c r="E674" s="36">
        <v>79</v>
      </c>
      <c r="F674" s="38">
        <v>15343380</v>
      </c>
      <c r="G674" s="39" t="s">
        <v>3048</v>
      </c>
      <c r="H674" s="12"/>
      <c r="L674" s="12"/>
    </row>
    <row r="675" spans="1:12" ht="15.75" customHeight="1" x14ac:dyDescent="0.3">
      <c r="A675" s="29" t="s">
        <v>464</v>
      </c>
      <c r="B675" s="50" t="str">
        <f>VLOOKUP(A675,'Sales Order'!A$2:B$1029,1,0)</f>
        <v>SO0226</v>
      </c>
      <c r="C675" s="29" t="s">
        <v>75</v>
      </c>
      <c r="D675" s="50" t="str">
        <f>VLOOKUP(C675,Product!A$2:B$21,1,0)</f>
        <v>PD0017</v>
      </c>
      <c r="E675" s="36">
        <v>66</v>
      </c>
      <c r="F675" s="38">
        <v>141669000</v>
      </c>
      <c r="G675" s="39" t="s">
        <v>3049</v>
      </c>
      <c r="H675" s="12"/>
      <c r="L675" s="12"/>
    </row>
    <row r="676" spans="1:12" ht="15.75" customHeight="1" x14ac:dyDescent="0.3">
      <c r="A676" s="29" t="s">
        <v>464</v>
      </c>
      <c r="B676" s="50" t="str">
        <f>VLOOKUP(A676,'Sales Order'!A$2:B$1029,1,0)</f>
        <v>SO0226</v>
      </c>
      <c r="C676" s="29" t="s">
        <v>78</v>
      </c>
      <c r="D676" s="50" t="str">
        <f>VLOOKUP(C676,Product!A$2:B$21,1,0)</f>
        <v>PD0018</v>
      </c>
      <c r="E676" s="36">
        <v>47</v>
      </c>
      <c r="F676" s="38">
        <v>19753160</v>
      </c>
      <c r="G676" s="39" t="s">
        <v>3050</v>
      </c>
      <c r="H676" s="12"/>
      <c r="L676" s="12"/>
    </row>
    <row r="677" spans="1:12" ht="15.75" customHeight="1" x14ac:dyDescent="0.3">
      <c r="A677" s="17" t="s">
        <v>465</v>
      </c>
      <c r="B677" s="50" t="str">
        <f>VLOOKUP(A677,'Sales Order'!A$2:B$1029,1,0)</f>
        <v>SO0227</v>
      </c>
      <c r="C677" s="29" t="s">
        <v>52</v>
      </c>
      <c r="D677" s="50" t="str">
        <f>VLOOKUP(C677,Product!A$2:B$21,1,0)</f>
        <v>PD0010</v>
      </c>
      <c r="E677" s="36">
        <v>47</v>
      </c>
      <c r="F677" s="38">
        <v>14205749.999999998</v>
      </c>
      <c r="G677" s="39" t="s">
        <v>3051</v>
      </c>
      <c r="H677" s="12"/>
      <c r="L677" s="12"/>
    </row>
    <row r="678" spans="1:12" ht="15.75" customHeight="1" x14ac:dyDescent="0.3">
      <c r="A678" s="29" t="s">
        <v>465</v>
      </c>
      <c r="B678" s="50" t="str">
        <f>VLOOKUP(A678,'Sales Order'!A$2:B$1029,1,0)</f>
        <v>SO0227</v>
      </c>
      <c r="C678" s="29" t="s">
        <v>81</v>
      </c>
      <c r="D678" s="50" t="str">
        <f>VLOOKUP(C678,Product!A$2:B$21,1,0)</f>
        <v>PD0019</v>
      </c>
      <c r="E678" s="36">
        <v>29</v>
      </c>
      <c r="F678" s="38">
        <v>59136800</v>
      </c>
      <c r="G678" s="39" t="s">
        <v>3052</v>
      </c>
      <c r="H678" s="12"/>
      <c r="L678" s="12"/>
    </row>
    <row r="679" spans="1:12" ht="15.75" customHeight="1" x14ac:dyDescent="0.3">
      <c r="A679" s="17" t="s">
        <v>466</v>
      </c>
      <c r="B679" s="50" t="str">
        <f>VLOOKUP(A679,'Sales Order'!A$2:B$1029,1,0)</f>
        <v>SO0228</v>
      </c>
      <c r="C679" s="29" t="s">
        <v>43</v>
      </c>
      <c r="D679" s="50" t="str">
        <f>VLOOKUP(C679,Product!A$2:B$21,1,0)</f>
        <v>PD0007</v>
      </c>
      <c r="E679" s="36">
        <v>49</v>
      </c>
      <c r="F679" s="38">
        <v>147392000</v>
      </c>
      <c r="G679" s="39" t="s">
        <v>3053</v>
      </c>
      <c r="H679" s="12"/>
      <c r="L679" s="12"/>
    </row>
    <row r="680" spans="1:12" ht="15.75" customHeight="1" x14ac:dyDescent="0.3">
      <c r="A680" s="29" t="s">
        <v>466</v>
      </c>
      <c r="B680" s="50" t="str">
        <f>VLOOKUP(A680,'Sales Order'!A$2:B$1029,1,0)</f>
        <v>SO0228</v>
      </c>
      <c r="C680" s="29" t="s">
        <v>35</v>
      </c>
      <c r="D680" s="50" t="str">
        <f>VLOOKUP(C680,Product!A$2:B$21,1,0)</f>
        <v>PD0005</v>
      </c>
      <c r="E680" s="36">
        <v>62</v>
      </c>
      <c r="F680" s="38">
        <v>115676500</v>
      </c>
      <c r="G680" s="39" t="s">
        <v>3054</v>
      </c>
      <c r="H680" s="12"/>
      <c r="L680" s="12"/>
    </row>
    <row r="681" spans="1:12" ht="15.75" customHeight="1" x14ac:dyDescent="0.3">
      <c r="A681" s="29" t="s">
        <v>466</v>
      </c>
      <c r="B681" s="50" t="str">
        <f>VLOOKUP(A681,'Sales Order'!A$2:B$1029,1,0)</f>
        <v>SO0228</v>
      </c>
      <c r="C681" s="29" t="s">
        <v>25</v>
      </c>
      <c r="D681" s="50" t="str">
        <f>VLOOKUP(C681,Product!A$2:B$21,1,0)</f>
        <v>PD0002</v>
      </c>
      <c r="E681" s="36">
        <v>131</v>
      </c>
      <c r="F681" s="38">
        <v>2384200</v>
      </c>
      <c r="G681" s="39" t="s">
        <v>3055</v>
      </c>
      <c r="H681" s="12"/>
      <c r="L681" s="12"/>
    </row>
    <row r="682" spans="1:12" ht="15.75" customHeight="1" x14ac:dyDescent="0.3">
      <c r="A682" s="29" t="s">
        <v>466</v>
      </c>
      <c r="B682" s="50" t="str">
        <f>VLOOKUP(A682,'Sales Order'!A$2:B$1029,1,0)</f>
        <v>SO0228</v>
      </c>
      <c r="C682" s="29" t="s">
        <v>81</v>
      </c>
      <c r="D682" s="50" t="str">
        <f>VLOOKUP(C682,Product!A$2:B$21,1,0)</f>
        <v>PD0019</v>
      </c>
      <c r="E682" s="36">
        <v>96</v>
      </c>
      <c r="F682" s="38">
        <v>200657280.00000003</v>
      </c>
      <c r="G682" s="39" t="s">
        <v>3056</v>
      </c>
      <c r="H682" s="12"/>
      <c r="L682" s="12"/>
    </row>
    <row r="683" spans="1:12" ht="15.75" customHeight="1" x14ac:dyDescent="0.3">
      <c r="A683" s="17" t="s">
        <v>467</v>
      </c>
      <c r="B683" s="50" t="str">
        <f>VLOOKUP(A683,'Sales Order'!A$2:B$1029,1,0)</f>
        <v>SO0229</v>
      </c>
      <c r="C683" s="29" t="s">
        <v>55</v>
      </c>
      <c r="D683" s="50" t="str">
        <f>VLOOKUP(C683,Product!A$2:B$21,1,0)</f>
        <v>PD0011</v>
      </c>
      <c r="E683" s="36">
        <v>135</v>
      </c>
      <c r="F683" s="38">
        <v>299357100</v>
      </c>
      <c r="G683" s="39" t="s">
        <v>3057</v>
      </c>
      <c r="H683" s="12"/>
      <c r="L683" s="12"/>
    </row>
    <row r="684" spans="1:12" ht="15.75" customHeight="1" x14ac:dyDescent="0.3">
      <c r="A684" s="29" t="s">
        <v>467</v>
      </c>
      <c r="B684" s="50" t="str">
        <f>VLOOKUP(A684,'Sales Order'!A$2:B$1029,1,0)</f>
        <v>SO0229</v>
      </c>
      <c r="C684" s="29" t="s">
        <v>78</v>
      </c>
      <c r="D684" s="50" t="str">
        <f>VLOOKUP(C684,Product!A$2:B$21,1,0)</f>
        <v>PD0018</v>
      </c>
      <c r="E684" s="36">
        <v>112</v>
      </c>
      <c r="F684" s="38">
        <v>46475520</v>
      </c>
      <c r="G684" s="39" t="s">
        <v>3058</v>
      </c>
      <c r="H684" s="12"/>
      <c r="L684" s="12"/>
    </row>
    <row r="685" spans="1:12" ht="15.75" customHeight="1" x14ac:dyDescent="0.3">
      <c r="A685" s="29" t="s">
        <v>468</v>
      </c>
      <c r="B685" s="50" t="str">
        <f>VLOOKUP(A685,'Sales Order'!A$2:B$1029,1,0)</f>
        <v>SO0230</v>
      </c>
      <c r="C685" s="29" t="s">
        <v>33</v>
      </c>
      <c r="D685" s="50" t="str">
        <f>VLOOKUP(C685,Product!A$2:B$21,1,0)</f>
        <v>PD0004</v>
      </c>
      <c r="E685" s="36">
        <v>126</v>
      </c>
      <c r="F685" s="38">
        <v>20790000</v>
      </c>
      <c r="G685" s="39" t="s">
        <v>3059</v>
      </c>
      <c r="H685" s="12"/>
      <c r="L685" s="12"/>
    </row>
    <row r="686" spans="1:12" ht="15.75" customHeight="1" x14ac:dyDescent="0.3">
      <c r="A686" s="17" t="s">
        <v>469</v>
      </c>
      <c r="B686" s="50" t="str">
        <f>VLOOKUP(A686,'Sales Order'!A$2:B$1029,1,0)</f>
        <v>SO0231</v>
      </c>
      <c r="C686" s="29" t="s">
        <v>75</v>
      </c>
      <c r="D686" s="50" t="str">
        <f>VLOOKUP(C686,Product!A$2:B$21,1,0)</f>
        <v>PD0017</v>
      </c>
      <c r="E686" s="36">
        <v>78</v>
      </c>
      <c r="F686" s="38">
        <v>196365000</v>
      </c>
      <c r="G686" s="39" t="s">
        <v>3060</v>
      </c>
      <c r="H686" s="12"/>
      <c r="L686" s="12"/>
    </row>
    <row r="687" spans="1:12" ht="15.75" customHeight="1" x14ac:dyDescent="0.3">
      <c r="A687" s="29" t="s">
        <v>469</v>
      </c>
      <c r="B687" s="50" t="str">
        <f>VLOOKUP(A687,'Sales Order'!A$2:B$1029,1,0)</f>
        <v>SO0231</v>
      </c>
      <c r="C687" s="29" t="s">
        <v>40</v>
      </c>
      <c r="D687" s="50" t="str">
        <f>VLOOKUP(C687,Product!A$2:B$21,1,0)</f>
        <v>PD0006</v>
      </c>
      <c r="E687" s="36">
        <v>111</v>
      </c>
      <c r="F687" s="38">
        <v>19255170</v>
      </c>
      <c r="G687" s="39" t="s">
        <v>3061</v>
      </c>
      <c r="H687" s="12"/>
      <c r="L687" s="12"/>
    </row>
    <row r="688" spans="1:12" ht="15.75" customHeight="1" x14ac:dyDescent="0.3">
      <c r="A688" s="17" t="s">
        <v>470</v>
      </c>
      <c r="B688" s="50" t="str">
        <f>VLOOKUP(A688,'Sales Order'!A$2:B$1029,1,0)</f>
        <v>SO0232</v>
      </c>
      <c r="C688" s="29" t="s">
        <v>33</v>
      </c>
      <c r="D688" s="50" t="str">
        <f>VLOOKUP(C688,Product!A$2:B$21,1,0)</f>
        <v>PD0004</v>
      </c>
      <c r="E688" s="36">
        <v>94</v>
      </c>
      <c r="F688" s="38">
        <v>19025600</v>
      </c>
      <c r="G688" s="39" t="s">
        <v>3062</v>
      </c>
      <c r="H688" s="12"/>
      <c r="L688" s="12"/>
    </row>
    <row r="689" spans="1:12" ht="15.75" customHeight="1" x14ac:dyDescent="0.3">
      <c r="A689" s="29" t="s">
        <v>470</v>
      </c>
      <c r="B689" s="50" t="str">
        <f>VLOOKUP(A689,'Sales Order'!A$2:B$1029,1,0)</f>
        <v>SO0232</v>
      </c>
      <c r="C689" s="29" t="s">
        <v>52</v>
      </c>
      <c r="D689" s="50" t="str">
        <f>VLOOKUP(C689,Product!A$2:B$21,1,0)</f>
        <v>PD0010</v>
      </c>
      <c r="E689" s="36">
        <v>37</v>
      </c>
      <c r="F689" s="38">
        <v>9620000</v>
      </c>
      <c r="G689" s="39" t="s">
        <v>3063</v>
      </c>
      <c r="H689" s="12"/>
      <c r="L689" s="12"/>
    </row>
    <row r="690" spans="1:12" ht="15.75" customHeight="1" x14ac:dyDescent="0.3">
      <c r="A690" s="17" t="s">
        <v>471</v>
      </c>
      <c r="B690" s="50" t="str">
        <f>VLOOKUP(A690,'Sales Order'!A$2:B$1029,1,0)</f>
        <v>SO0233</v>
      </c>
      <c r="C690" s="29" t="s">
        <v>61</v>
      </c>
      <c r="D690" s="50" t="str">
        <f>VLOOKUP(C690,Product!A$2:B$21,1,0)</f>
        <v>PD0013</v>
      </c>
      <c r="E690" s="36">
        <v>125</v>
      </c>
      <c r="F690" s="38">
        <v>55085000</v>
      </c>
      <c r="G690" s="39" t="s">
        <v>3064</v>
      </c>
      <c r="H690" s="12"/>
      <c r="L690" s="12"/>
    </row>
    <row r="691" spans="1:12" ht="15.75" customHeight="1" x14ac:dyDescent="0.3">
      <c r="A691" s="17" t="s">
        <v>472</v>
      </c>
      <c r="B691" s="50" t="str">
        <f>VLOOKUP(A691,'Sales Order'!A$2:B$1029,1,0)</f>
        <v>SO0234</v>
      </c>
      <c r="C691" s="29" t="s">
        <v>61</v>
      </c>
      <c r="D691" s="50" t="str">
        <f>VLOOKUP(C691,Product!A$2:B$21,1,0)</f>
        <v>PD0013</v>
      </c>
      <c r="E691" s="36">
        <v>66</v>
      </c>
      <c r="F691" s="38">
        <v>28768740</v>
      </c>
      <c r="G691" s="39" t="s">
        <v>3065</v>
      </c>
      <c r="H691" s="12"/>
      <c r="L691" s="12"/>
    </row>
    <row r="692" spans="1:12" ht="15.75" customHeight="1" x14ac:dyDescent="0.3">
      <c r="A692" s="29" t="s">
        <v>472</v>
      </c>
      <c r="B692" s="50" t="str">
        <f>VLOOKUP(A692,'Sales Order'!A$2:B$1029,1,0)</f>
        <v>SO0234</v>
      </c>
      <c r="C692" s="29" t="s">
        <v>55</v>
      </c>
      <c r="D692" s="50" t="str">
        <f>VLOOKUP(C692,Product!A$2:B$21,1,0)</f>
        <v>PD0011</v>
      </c>
      <c r="E692" s="36">
        <v>37</v>
      </c>
      <c r="F692" s="38">
        <v>80300360</v>
      </c>
      <c r="G692" s="39" t="s">
        <v>3066</v>
      </c>
      <c r="H692" s="12"/>
      <c r="L692" s="12"/>
    </row>
    <row r="693" spans="1:12" ht="15.75" customHeight="1" x14ac:dyDescent="0.3">
      <c r="A693" s="17" t="s">
        <v>473</v>
      </c>
      <c r="B693" s="50" t="str">
        <f>VLOOKUP(A693,'Sales Order'!A$2:B$1029,1,0)</f>
        <v>SO0235</v>
      </c>
      <c r="C693" s="29" t="s">
        <v>43</v>
      </c>
      <c r="D693" s="50" t="str">
        <f>VLOOKUP(C693,Product!A$2:B$21,1,0)</f>
        <v>PD0007</v>
      </c>
      <c r="E693" s="36">
        <v>113</v>
      </c>
      <c r="F693" s="38">
        <v>339904000</v>
      </c>
      <c r="G693" s="39" t="s">
        <v>3067</v>
      </c>
      <c r="H693" s="12"/>
      <c r="L693" s="12"/>
    </row>
    <row r="694" spans="1:12" ht="15.75" customHeight="1" x14ac:dyDescent="0.3">
      <c r="A694" s="17" t="s">
        <v>474</v>
      </c>
      <c r="B694" s="50" t="str">
        <f>VLOOKUP(A694,'Sales Order'!A$2:B$1029,1,0)</f>
        <v>SO0236</v>
      </c>
      <c r="C694" s="29" t="s">
        <v>78</v>
      </c>
      <c r="D694" s="50" t="str">
        <f>VLOOKUP(C694,Product!A$2:B$21,1,0)</f>
        <v>PD0018</v>
      </c>
      <c r="E694" s="36">
        <v>97</v>
      </c>
      <c r="F694" s="38">
        <v>38703000</v>
      </c>
      <c r="G694" s="39" t="s">
        <v>3068</v>
      </c>
      <c r="H694" s="12"/>
      <c r="L694" s="12"/>
    </row>
    <row r="695" spans="1:12" ht="15.75" customHeight="1" x14ac:dyDescent="0.3">
      <c r="A695" s="29" t="s">
        <v>474</v>
      </c>
      <c r="B695" s="50" t="str">
        <f>VLOOKUP(A695,'Sales Order'!A$2:B$1029,1,0)</f>
        <v>SO0236</v>
      </c>
      <c r="C695" s="29" t="s">
        <v>28</v>
      </c>
      <c r="D695" s="50" t="str">
        <f>VLOOKUP(C695,Product!A$2:B$21,1,0)</f>
        <v>PD0003</v>
      </c>
      <c r="E695" s="36">
        <v>74</v>
      </c>
      <c r="F695" s="38">
        <v>57182020</v>
      </c>
      <c r="G695" s="39" t="s">
        <v>3069</v>
      </c>
      <c r="H695" s="12"/>
      <c r="L695" s="12"/>
    </row>
    <row r="696" spans="1:12" ht="15.75" customHeight="1" x14ac:dyDescent="0.3">
      <c r="A696" s="17" t="s">
        <v>475</v>
      </c>
      <c r="B696" s="50" t="str">
        <f>VLOOKUP(A696,'Sales Order'!A$2:B$1029,1,0)</f>
        <v>SO0237</v>
      </c>
      <c r="C696" s="29" t="s">
        <v>81</v>
      </c>
      <c r="D696" s="50" t="str">
        <f>VLOOKUP(C696,Product!A$2:B$21,1,0)</f>
        <v>PD0019</v>
      </c>
      <c r="E696" s="36">
        <v>31</v>
      </c>
      <c r="F696" s="38">
        <v>72697480</v>
      </c>
      <c r="G696" s="39" t="s">
        <v>3070</v>
      </c>
      <c r="H696" s="12"/>
      <c r="L696" s="12"/>
    </row>
    <row r="697" spans="1:12" ht="15.75" customHeight="1" x14ac:dyDescent="0.3">
      <c r="A697" s="29" t="s">
        <v>475</v>
      </c>
      <c r="B697" s="50" t="str">
        <f>VLOOKUP(A697,'Sales Order'!A$2:B$1029,1,0)</f>
        <v>SO0237</v>
      </c>
      <c r="C697" s="29" t="s">
        <v>72</v>
      </c>
      <c r="D697" s="50" t="str">
        <f>VLOOKUP(C697,Product!A$2:B$21,1,0)</f>
        <v>PD0016</v>
      </c>
      <c r="E697" s="36">
        <v>98</v>
      </c>
      <c r="F697" s="38">
        <v>23549400</v>
      </c>
      <c r="G697" s="39" t="s">
        <v>3071</v>
      </c>
      <c r="H697" s="12"/>
      <c r="L697" s="12"/>
    </row>
    <row r="698" spans="1:12" ht="15.75" customHeight="1" x14ac:dyDescent="0.3">
      <c r="A698" s="29" t="s">
        <v>475</v>
      </c>
      <c r="B698" s="50" t="str">
        <f>VLOOKUP(A698,'Sales Order'!A$2:B$1029,1,0)</f>
        <v>SO0237</v>
      </c>
      <c r="C698" s="29" t="s">
        <v>35</v>
      </c>
      <c r="D698" s="50" t="str">
        <f>VLOOKUP(C698,Product!A$2:B$21,1,0)</f>
        <v>PD0005</v>
      </c>
      <c r="E698" s="36">
        <v>115</v>
      </c>
      <c r="F698" s="38">
        <v>191843000</v>
      </c>
      <c r="G698" s="39" t="s">
        <v>3072</v>
      </c>
      <c r="H698" s="12"/>
      <c r="L698" s="12"/>
    </row>
    <row r="699" spans="1:12" ht="15.75" customHeight="1" x14ac:dyDescent="0.3">
      <c r="A699" s="17" t="s">
        <v>476</v>
      </c>
      <c r="B699" s="50" t="str">
        <f>VLOOKUP(A699,'Sales Order'!A$2:B$1029,1,0)</f>
        <v>SO0238</v>
      </c>
      <c r="C699" s="29" t="s">
        <v>58</v>
      </c>
      <c r="D699" s="50" t="str">
        <f>VLOOKUP(C699,Product!A$2:B$21,1,0)</f>
        <v>PD0012</v>
      </c>
      <c r="E699" s="36">
        <v>115</v>
      </c>
      <c r="F699" s="38">
        <v>499333450</v>
      </c>
      <c r="G699" s="39" t="s">
        <v>3073</v>
      </c>
      <c r="H699" s="12"/>
      <c r="L699" s="12"/>
    </row>
    <row r="700" spans="1:12" ht="15.75" customHeight="1" x14ac:dyDescent="0.3">
      <c r="A700" s="29" t="s">
        <v>476</v>
      </c>
      <c r="B700" s="50" t="str">
        <f>VLOOKUP(A700,'Sales Order'!A$2:B$1029,1,0)</f>
        <v>SO0238</v>
      </c>
      <c r="C700" s="29" t="s">
        <v>33</v>
      </c>
      <c r="D700" s="50" t="str">
        <f>VLOOKUP(C700,Product!A$2:B$21,1,0)</f>
        <v>PD0004</v>
      </c>
      <c r="E700" s="36">
        <v>32</v>
      </c>
      <c r="F700" s="38">
        <v>5561600</v>
      </c>
      <c r="G700" s="39" t="s">
        <v>3074</v>
      </c>
      <c r="H700" s="12"/>
      <c r="L700" s="12"/>
    </row>
    <row r="701" spans="1:12" ht="15.75" customHeight="1" x14ac:dyDescent="0.3">
      <c r="A701" s="17" t="s">
        <v>477</v>
      </c>
      <c r="B701" s="50" t="str">
        <f>VLOOKUP(A701,'Sales Order'!A$2:B$1029,1,0)</f>
        <v>SO0239</v>
      </c>
      <c r="C701" s="29" t="s">
        <v>45</v>
      </c>
      <c r="D701" s="50" t="str">
        <f>VLOOKUP(C701,Product!A$2:B$21,1,0)</f>
        <v>PD0008</v>
      </c>
      <c r="E701" s="36">
        <v>80</v>
      </c>
      <c r="F701" s="38">
        <v>9893600</v>
      </c>
      <c r="G701" s="39" t="s">
        <v>3075</v>
      </c>
      <c r="H701" s="12"/>
      <c r="L701" s="12"/>
    </row>
    <row r="702" spans="1:12" ht="15.75" customHeight="1" x14ac:dyDescent="0.3">
      <c r="A702" s="29" t="s">
        <v>477</v>
      </c>
      <c r="B702" s="50" t="str">
        <f>VLOOKUP(A702,'Sales Order'!A$2:B$1029,1,0)</f>
        <v>SO0239</v>
      </c>
      <c r="C702" s="29" t="s">
        <v>78</v>
      </c>
      <c r="D702" s="50" t="str">
        <f>VLOOKUP(C702,Product!A$2:B$21,1,0)</f>
        <v>PD0018</v>
      </c>
      <c r="E702" s="36">
        <v>102</v>
      </c>
      <c r="F702" s="38">
        <v>48294960</v>
      </c>
      <c r="G702" s="39" t="s">
        <v>3076</v>
      </c>
      <c r="H702" s="12"/>
      <c r="L702" s="12"/>
    </row>
    <row r="703" spans="1:12" ht="15.75" customHeight="1" x14ac:dyDescent="0.3">
      <c r="A703" s="29" t="s">
        <v>477</v>
      </c>
      <c r="B703" s="50" t="str">
        <f>VLOOKUP(A703,'Sales Order'!A$2:B$1029,1,0)</f>
        <v>SO0239</v>
      </c>
      <c r="C703" s="29" t="s">
        <v>19</v>
      </c>
      <c r="D703" s="50" t="str">
        <f>VLOOKUP(C703,Product!A$2:B$21,1,0)</f>
        <v>PD0001</v>
      </c>
      <c r="E703" s="36">
        <v>126</v>
      </c>
      <c r="F703" s="38">
        <v>28236600</v>
      </c>
      <c r="G703" s="39" t="s">
        <v>3077</v>
      </c>
      <c r="H703" s="12"/>
      <c r="L703" s="12"/>
    </row>
    <row r="704" spans="1:12" ht="15.75" customHeight="1" x14ac:dyDescent="0.3">
      <c r="A704" s="29" t="s">
        <v>477</v>
      </c>
      <c r="B704" s="50" t="str">
        <f>VLOOKUP(A704,'Sales Order'!A$2:B$1029,1,0)</f>
        <v>SO0239</v>
      </c>
      <c r="C704" s="29" t="s">
        <v>25</v>
      </c>
      <c r="D704" s="50" t="str">
        <f>VLOOKUP(C704,Product!A$2:B$21,1,0)</f>
        <v>PD0002</v>
      </c>
      <c r="E704" s="36">
        <v>108</v>
      </c>
      <c r="F704" s="38">
        <v>2008799.9999999998</v>
      </c>
      <c r="G704" s="39" t="s">
        <v>3078</v>
      </c>
      <c r="H704" s="12"/>
      <c r="L704" s="12"/>
    </row>
    <row r="705" spans="1:12" ht="15.75" customHeight="1" x14ac:dyDescent="0.3">
      <c r="A705" s="17" t="s">
        <v>478</v>
      </c>
      <c r="B705" s="50" t="str">
        <f>VLOOKUP(A705,'Sales Order'!A$2:B$1029,1,0)</f>
        <v>SO0240</v>
      </c>
      <c r="C705" s="29" t="s">
        <v>48</v>
      </c>
      <c r="D705" s="50" t="str">
        <f>VLOOKUP(C705,Product!A$2:B$21,1,0)</f>
        <v>PD0009</v>
      </c>
      <c r="E705" s="36">
        <v>45</v>
      </c>
      <c r="F705" s="38">
        <v>5456700</v>
      </c>
      <c r="G705" s="39" t="s">
        <v>3079</v>
      </c>
      <c r="H705" s="12"/>
      <c r="L705" s="12"/>
    </row>
    <row r="706" spans="1:12" ht="15.75" customHeight="1" x14ac:dyDescent="0.3">
      <c r="A706" s="29" t="s">
        <v>478</v>
      </c>
      <c r="B706" s="50" t="str">
        <f>VLOOKUP(A706,'Sales Order'!A$2:B$1029,1,0)</f>
        <v>SO0240</v>
      </c>
      <c r="C706" s="29" t="s">
        <v>65</v>
      </c>
      <c r="D706" s="50" t="str">
        <f>VLOOKUP(C706,Product!A$2:B$21,1,0)</f>
        <v>PD0014</v>
      </c>
      <c r="E706" s="36">
        <v>60</v>
      </c>
      <c r="F706" s="38">
        <v>15058800</v>
      </c>
      <c r="G706" s="39" t="s">
        <v>3080</v>
      </c>
      <c r="H706" s="12"/>
      <c r="L706" s="12"/>
    </row>
    <row r="707" spans="1:12" ht="15.75" customHeight="1" x14ac:dyDescent="0.3">
      <c r="A707" s="29" t="s">
        <v>478</v>
      </c>
      <c r="B707" s="50" t="str">
        <f>VLOOKUP(A707,'Sales Order'!A$2:B$1029,1,0)</f>
        <v>SO0240</v>
      </c>
      <c r="C707" s="29" t="s">
        <v>69</v>
      </c>
      <c r="D707" s="50" t="str">
        <f>VLOOKUP(C707,Product!A$2:B$21,1,0)</f>
        <v>PD0015</v>
      </c>
      <c r="E707" s="36">
        <v>88</v>
      </c>
      <c r="F707" s="38">
        <v>10284912</v>
      </c>
      <c r="G707" s="39" t="s">
        <v>3081</v>
      </c>
      <c r="H707" s="12"/>
      <c r="L707" s="12"/>
    </row>
    <row r="708" spans="1:12" ht="15.75" customHeight="1" x14ac:dyDescent="0.3">
      <c r="A708" s="29" t="s">
        <v>478</v>
      </c>
      <c r="B708" s="50" t="str">
        <f>VLOOKUP(A708,'Sales Order'!A$2:B$1029,1,0)</f>
        <v>SO0240</v>
      </c>
      <c r="C708" s="29" t="s">
        <v>33</v>
      </c>
      <c r="D708" s="50" t="str">
        <f>VLOOKUP(C708,Product!A$2:B$21,1,0)</f>
        <v>PD0004</v>
      </c>
      <c r="E708" s="36">
        <v>26</v>
      </c>
      <c r="F708" s="38">
        <v>4976400</v>
      </c>
      <c r="G708" s="39" t="s">
        <v>3082</v>
      </c>
      <c r="H708" s="12"/>
      <c r="L708" s="12"/>
    </row>
    <row r="709" spans="1:12" ht="15.75" customHeight="1" x14ac:dyDescent="0.3">
      <c r="A709" s="29" t="s">
        <v>478</v>
      </c>
      <c r="B709" s="50" t="str">
        <f>VLOOKUP(A709,'Sales Order'!A$2:B$1029,1,0)</f>
        <v>SO0240</v>
      </c>
      <c r="C709" s="29" t="s">
        <v>61</v>
      </c>
      <c r="D709" s="50" t="str">
        <f>VLOOKUP(C709,Product!A$2:B$21,1,0)</f>
        <v>PD0013</v>
      </c>
      <c r="E709" s="36">
        <v>44</v>
      </c>
      <c r="F709" s="38">
        <v>16439280</v>
      </c>
      <c r="G709" s="39" t="s">
        <v>3083</v>
      </c>
      <c r="H709" s="12"/>
      <c r="L709" s="12"/>
    </row>
    <row r="710" spans="1:12" ht="15.75" customHeight="1" x14ac:dyDescent="0.3">
      <c r="A710" s="29" t="s">
        <v>478</v>
      </c>
      <c r="B710" s="50" t="str">
        <f>VLOOKUP(A710,'Sales Order'!A$2:B$1029,1,0)</f>
        <v>SO0240</v>
      </c>
      <c r="C710" s="29" t="s">
        <v>78</v>
      </c>
      <c r="D710" s="50" t="str">
        <f>VLOOKUP(C710,Product!A$2:B$21,1,0)</f>
        <v>PD0018</v>
      </c>
      <c r="E710" s="36">
        <v>91</v>
      </c>
      <c r="F710" s="38">
        <v>40181960</v>
      </c>
      <c r="G710" s="39" t="s">
        <v>3084</v>
      </c>
      <c r="H710" s="12"/>
      <c r="L710" s="12"/>
    </row>
    <row r="711" spans="1:12" ht="15.75" customHeight="1" x14ac:dyDescent="0.3">
      <c r="A711" s="17" t="s">
        <v>479</v>
      </c>
      <c r="B711" s="50" t="str">
        <f>VLOOKUP(A711,'Sales Order'!A$2:B$1029,1,0)</f>
        <v>SO0241</v>
      </c>
      <c r="C711" s="29" t="s">
        <v>25</v>
      </c>
      <c r="D711" s="50" t="str">
        <f>VLOOKUP(C711,Product!A$2:B$21,1,0)</f>
        <v>PD0002</v>
      </c>
      <c r="E711" s="36">
        <v>131</v>
      </c>
      <c r="F711" s="38">
        <v>2410400</v>
      </c>
      <c r="G711" s="39" t="s">
        <v>3085</v>
      </c>
      <c r="H711" s="12"/>
      <c r="L711" s="12"/>
    </row>
    <row r="712" spans="1:12" ht="15.75" customHeight="1" x14ac:dyDescent="0.3">
      <c r="A712" s="29" t="s">
        <v>479</v>
      </c>
      <c r="B712" s="50" t="str">
        <f>VLOOKUP(A712,'Sales Order'!A$2:B$1029,1,0)</f>
        <v>SO0241</v>
      </c>
      <c r="C712" s="29" t="s">
        <v>19</v>
      </c>
      <c r="D712" s="50" t="str">
        <f>VLOOKUP(C712,Product!A$2:B$21,1,0)</f>
        <v>PD0001</v>
      </c>
      <c r="E712" s="36">
        <v>25</v>
      </c>
      <c r="F712" s="38">
        <v>5789250</v>
      </c>
      <c r="G712" s="39" t="s">
        <v>3086</v>
      </c>
      <c r="H712" s="12"/>
      <c r="L712" s="12"/>
    </row>
    <row r="713" spans="1:12" ht="15.75" customHeight="1" x14ac:dyDescent="0.3">
      <c r="A713" s="17" t="s">
        <v>480</v>
      </c>
      <c r="B713" s="50" t="str">
        <f>VLOOKUP(A713,'Sales Order'!A$2:B$1029,1,0)</f>
        <v>SO0242</v>
      </c>
      <c r="C713" s="29" t="s">
        <v>28</v>
      </c>
      <c r="D713" s="50" t="str">
        <f>VLOOKUP(C713,Product!A$2:B$21,1,0)</f>
        <v>PD0003</v>
      </c>
      <c r="E713" s="36">
        <v>28</v>
      </c>
      <c r="F713" s="38">
        <v>23200520</v>
      </c>
      <c r="G713" s="39" t="s">
        <v>3087</v>
      </c>
      <c r="H713" s="12"/>
      <c r="L713" s="12"/>
    </row>
    <row r="714" spans="1:12" ht="15.75" customHeight="1" x14ac:dyDescent="0.3">
      <c r="A714" s="29" t="s">
        <v>480</v>
      </c>
      <c r="B714" s="50" t="str">
        <f>VLOOKUP(A714,'Sales Order'!A$2:B$1029,1,0)</f>
        <v>SO0242</v>
      </c>
      <c r="C714" s="29" t="s">
        <v>75</v>
      </c>
      <c r="D714" s="50" t="str">
        <f>VLOOKUP(C714,Product!A$2:B$21,1,0)</f>
        <v>PD0017</v>
      </c>
      <c r="E714" s="36">
        <v>85</v>
      </c>
      <c r="F714" s="38">
        <v>177947500</v>
      </c>
      <c r="G714" s="39" t="s">
        <v>3088</v>
      </c>
      <c r="H714" s="12"/>
      <c r="L714" s="12"/>
    </row>
    <row r="715" spans="1:12" ht="15.75" customHeight="1" x14ac:dyDescent="0.3">
      <c r="A715" s="29" t="s">
        <v>480</v>
      </c>
      <c r="B715" s="50" t="str">
        <f>VLOOKUP(A715,'Sales Order'!A$2:B$1029,1,0)</f>
        <v>SO0242</v>
      </c>
      <c r="C715" s="29" t="s">
        <v>33</v>
      </c>
      <c r="D715" s="50" t="str">
        <f>VLOOKUP(C715,Product!A$2:B$21,1,0)</f>
        <v>PD0004</v>
      </c>
      <c r="E715" s="36">
        <v>33</v>
      </c>
      <c r="F715" s="38">
        <v>6171000</v>
      </c>
      <c r="G715" s="39" t="s">
        <v>3089</v>
      </c>
      <c r="H715" s="12"/>
      <c r="L715" s="12"/>
    </row>
    <row r="716" spans="1:12" ht="15.75" customHeight="1" x14ac:dyDescent="0.3">
      <c r="A716" s="29" t="s">
        <v>480</v>
      </c>
      <c r="B716" s="50" t="str">
        <f>VLOOKUP(A716,'Sales Order'!A$2:B$1029,1,0)</f>
        <v>SO0242</v>
      </c>
      <c r="C716" s="29" t="s">
        <v>40</v>
      </c>
      <c r="D716" s="50" t="str">
        <f>VLOOKUP(C716,Product!A$2:B$21,1,0)</f>
        <v>PD0006</v>
      </c>
      <c r="E716" s="36">
        <v>111</v>
      </c>
      <c r="F716" s="38">
        <v>18791190</v>
      </c>
      <c r="G716" s="39" t="s">
        <v>3090</v>
      </c>
      <c r="H716" s="12"/>
      <c r="L716" s="12"/>
    </row>
    <row r="717" spans="1:12" ht="15.75" customHeight="1" x14ac:dyDescent="0.3">
      <c r="A717" s="29" t="s">
        <v>480</v>
      </c>
      <c r="B717" s="50" t="str">
        <f>VLOOKUP(A717,'Sales Order'!A$2:B$1029,1,0)</f>
        <v>SO0242</v>
      </c>
      <c r="C717" s="29" t="s">
        <v>48</v>
      </c>
      <c r="D717" s="50" t="str">
        <f>VLOOKUP(C717,Product!A$2:B$21,1,0)</f>
        <v>PD0009</v>
      </c>
      <c r="E717" s="36">
        <v>75</v>
      </c>
      <c r="F717" s="38">
        <v>8030250</v>
      </c>
      <c r="G717" s="39" t="s">
        <v>3091</v>
      </c>
      <c r="H717" s="12"/>
      <c r="L717" s="12"/>
    </row>
    <row r="718" spans="1:12" ht="15.75" customHeight="1" x14ac:dyDescent="0.3">
      <c r="A718" s="29" t="s">
        <v>480</v>
      </c>
      <c r="B718" s="50" t="str">
        <f>VLOOKUP(A718,'Sales Order'!A$2:B$1029,1,0)</f>
        <v>SO0242</v>
      </c>
      <c r="C718" s="29" t="s">
        <v>45</v>
      </c>
      <c r="D718" s="50" t="str">
        <f>VLOOKUP(C718,Product!A$2:B$21,1,0)</f>
        <v>PD0008</v>
      </c>
      <c r="E718" s="36">
        <v>100</v>
      </c>
      <c r="F718" s="38">
        <v>13857000</v>
      </c>
      <c r="G718" s="39" t="s">
        <v>3092</v>
      </c>
      <c r="H718" s="12"/>
      <c r="L718" s="12"/>
    </row>
    <row r="719" spans="1:12" ht="15.75" customHeight="1" x14ac:dyDescent="0.3">
      <c r="A719" s="17" t="s">
        <v>481</v>
      </c>
      <c r="B719" s="50" t="str">
        <f>VLOOKUP(A719,'Sales Order'!A$2:B$1029,1,0)</f>
        <v>SO0243</v>
      </c>
      <c r="C719" s="29" t="s">
        <v>45</v>
      </c>
      <c r="D719" s="50" t="str">
        <f>VLOOKUP(C719,Product!A$2:B$21,1,0)</f>
        <v>PD0008</v>
      </c>
      <c r="E719" s="36">
        <v>89</v>
      </c>
      <c r="F719" s="38">
        <v>11404460</v>
      </c>
      <c r="G719" s="39" t="s">
        <v>3093</v>
      </c>
      <c r="H719" s="12"/>
      <c r="L719" s="12"/>
    </row>
    <row r="720" spans="1:12" ht="15.75" customHeight="1" x14ac:dyDescent="0.3">
      <c r="A720" s="29" t="s">
        <v>481</v>
      </c>
      <c r="B720" s="50" t="str">
        <f>VLOOKUP(A720,'Sales Order'!A$2:B$1029,1,0)</f>
        <v>SO0243</v>
      </c>
      <c r="C720" s="29" t="s">
        <v>48</v>
      </c>
      <c r="D720" s="50" t="str">
        <f>VLOOKUP(C720,Product!A$2:B$21,1,0)</f>
        <v>PD0009</v>
      </c>
      <c r="E720" s="36">
        <v>117</v>
      </c>
      <c r="F720" s="38">
        <v>13432770</v>
      </c>
      <c r="G720" s="39" t="s">
        <v>3094</v>
      </c>
      <c r="H720" s="12"/>
      <c r="L720" s="12"/>
    </row>
    <row r="721" spans="1:12" ht="15.75" customHeight="1" x14ac:dyDescent="0.3">
      <c r="A721" s="29" t="s">
        <v>481</v>
      </c>
      <c r="B721" s="50" t="str">
        <f>VLOOKUP(A721,'Sales Order'!A$2:B$1029,1,0)</f>
        <v>SO0243</v>
      </c>
      <c r="C721" s="29" t="s">
        <v>28</v>
      </c>
      <c r="D721" s="50" t="str">
        <f>VLOOKUP(C721,Product!A$2:B$21,1,0)</f>
        <v>PD0003</v>
      </c>
      <c r="E721" s="36">
        <v>41</v>
      </c>
      <c r="F721" s="38">
        <v>31300220.000000004</v>
      </c>
      <c r="G721" s="39" t="s">
        <v>3095</v>
      </c>
      <c r="H721" s="12"/>
      <c r="L721" s="12"/>
    </row>
    <row r="722" spans="1:12" ht="15.75" customHeight="1" x14ac:dyDescent="0.3">
      <c r="A722" s="29" t="s">
        <v>481</v>
      </c>
      <c r="B722" s="50" t="str">
        <f>VLOOKUP(A722,'Sales Order'!A$2:B$1029,1,0)</f>
        <v>SO0243</v>
      </c>
      <c r="C722" s="29" t="s">
        <v>43</v>
      </c>
      <c r="D722" s="50" t="str">
        <f>VLOOKUP(C722,Product!A$2:B$21,1,0)</f>
        <v>PD0007</v>
      </c>
      <c r="E722" s="36">
        <v>107</v>
      </c>
      <c r="F722" s="38">
        <v>311584000</v>
      </c>
      <c r="G722" s="39" t="s">
        <v>3096</v>
      </c>
      <c r="H722" s="12"/>
      <c r="L722" s="12"/>
    </row>
    <row r="723" spans="1:12" ht="15.75" customHeight="1" x14ac:dyDescent="0.3">
      <c r="A723" s="17" t="s">
        <v>482</v>
      </c>
      <c r="B723" s="50" t="str">
        <f>VLOOKUP(A723,'Sales Order'!A$2:B$1029,1,0)</f>
        <v>SO0244</v>
      </c>
      <c r="C723" s="29" t="s">
        <v>45</v>
      </c>
      <c r="D723" s="50" t="str">
        <f>VLOOKUP(C723,Product!A$2:B$21,1,0)</f>
        <v>PD0008</v>
      </c>
      <c r="E723" s="36">
        <v>102</v>
      </c>
      <c r="F723" s="38">
        <v>13830180</v>
      </c>
      <c r="G723" s="39" t="s">
        <v>3097</v>
      </c>
      <c r="H723" s="12"/>
      <c r="L723" s="12"/>
    </row>
    <row r="724" spans="1:12" ht="15.75" customHeight="1" x14ac:dyDescent="0.3">
      <c r="A724" s="29" t="s">
        <v>482</v>
      </c>
      <c r="B724" s="50" t="str">
        <f>VLOOKUP(A724,'Sales Order'!A$2:B$1029,1,0)</f>
        <v>SO0244</v>
      </c>
      <c r="C724" s="29" t="s">
        <v>65</v>
      </c>
      <c r="D724" s="50" t="str">
        <f>VLOOKUP(C724,Product!A$2:B$21,1,0)</f>
        <v>PD0014</v>
      </c>
      <c r="E724" s="36">
        <v>111</v>
      </c>
      <c r="F724" s="38">
        <v>26969670</v>
      </c>
      <c r="G724" s="39" t="s">
        <v>3098</v>
      </c>
      <c r="H724" s="12"/>
      <c r="L724" s="12"/>
    </row>
    <row r="725" spans="1:12" ht="15.75" customHeight="1" x14ac:dyDescent="0.3">
      <c r="A725" s="17" t="s">
        <v>483</v>
      </c>
      <c r="B725" s="50" t="str">
        <f>VLOOKUP(A725,'Sales Order'!A$2:B$1029,1,0)</f>
        <v>SO0245</v>
      </c>
      <c r="C725" s="29" t="s">
        <v>43</v>
      </c>
      <c r="D725" s="50" t="str">
        <f>VLOOKUP(C725,Product!A$2:B$21,1,0)</f>
        <v>PD0007</v>
      </c>
      <c r="E725" s="36">
        <v>103</v>
      </c>
      <c r="F725" s="38">
        <v>247200000</v>
      </c>
      <c r="G725" s="39" t="s">
        <v>3099</v>
      </c>
      <c r="H725" s="12"/>
      <c r="L725" s="12"/>
    </row>
    <row r="726" spans="1:12" ht="15.75" customHeight="1" x14ac:dyDescent="0.3">
      <c r="A726" s="29" t="s">
        <v>483</v>
      </c>
      <c r="B726" s="50" t="str">
        <f>VLOOKUP(A726,'Sales Order'!A$2:B$1029,1,0)</f>
        <v>SO0245</v>
      </c>
      <c r="C726" s="29" t="s">
        <v>55</v>
      </c>
      <c r="D726" s="50" t="str">
        <f>VLOOKUP(C726,Product!A$2:B$21,1,0)</f>
        <v>PD0011</v>
      </c>
      <c r="E726" s="36">
        <v>59</v>
      </c>
      <c r="F726" s="38">
        <v>122479280</v>
      </c>
      <c r="G726" s="39" t="s">
        <v>3100</v>
      </c>
      <c r="H726" s="12"/>
      <c r="L726" s="12"/>
    </row>
    <row r="727" spans="1:12" ht="15.75" customHeight="1" x14ac:dyDescent="0.3">
      <c r="A727" s="17" t="s">
        <v>484</v>
      </c>
      <c r="B727" s="50" t="str">
        <f>VLOOKUP(A727,'Sales Order'!A$2:B$1029,1,0)</f>
        <v>SO0246</v>
      </c>
      <c r="C727" s="29" t="s">
        <v>58</v>
      </c>
      <c r="D727" s="50" t="str">
        <f>VLOOKUP(C727,Product!A$2:B$21,1,0)</f>
        <v>PD0012</v>
      </c>
      <c r="E727" s="36">
        <v>84</v>
      </c>
      <c r="F727" s="38">
        <v>397887840</v>
      </c>
      <c r="G727" s="39" t="s">
        <v>3101</v>
      </c>
      <c r="H727" s="12"/>
      <c r="L727" s="12"/>
    </row>
    <row r="728" spans="1:12" ht="15.75" customHeight="1" x14ac:dyDescent="0.3">
      <c r="A728" s="29" t="s">
        <v>484</v>
      </c>
      <c r="B728" s="50" t="str">
        <f>VLOOKUP(A728,'Sales Order'!A$2:B$1029,1,0)</f>
        <v>SO0246</v>
      </c>
      <c r="C728" s="29" t="s">
        <v>19</v>
      </c>
      <c r="D728" s="50" t="str">
        <f>VLOOKUP(C728,Product!A$2:B$21,1,0)</f>
        <v>PD0001</v>
      </c>
      <c r="E728" s="36">
        <v>41</v>
      </c>
      <c r="F728" s="38">
        <v>9290190</v>
      </c>
      <c r="G728" s="39" t="s">
        <v>3102</v>
      </c>
      <c r="H728" s="12"/>
      <c r="L728" s="12"/>
    </row>
    <row r="729" spans="1:12" ht="15.75" customHeight="1" x14ac:dyDescent="0.3">
      <c r="A729" s="17" t="s">
        <v>485</v>
      </c>
      <c r="B729" s="50" t="str">
        <f>VLOOKUP(A729,'Sales Order'!A$2:B$1029,1,0)</f>
        <v>SO0247</v>
      </c>
      <c r="C729" s="29" t="s">
        <v>48</v>
      </c>
      <c r="D729" s="50" t="str">
        <f>VLOOKUP(C729,Product!A$2:B$21,1,0)</f>
        <v>PD0009</v>
      </c>
      <c r="E729" s="36">
        <v>30</v>
      </c>
      <c r="F729" s="38">
        <v>3483000</v>
      </c>
      <c r="G729" s="39" t="s">
        <v>3103</v>
      </c>
      <c r="H729" s="12"/>
      <c r="L729" s="12"/>
    </row>
    <row r="730" spans="1:12" ht="15.75" customHeight="1" x14ac:dyDescent="0.3">
      <c r="A730" s="29" t="s">
        <v>485</v>
      </c>
      <c r="B730" s="50" t="str">
        <f>VLOOKUP(A730,'Sales Order'!A$2:B$1029,1,0)</f>
        <v>SO0247</v>
      </c>
      <c r="C730" s="29" t="s">
        <v>35</v>
      </c>
      <c r="D730" s="50" t="str">
        <f>VLOOKUP(C730,Product!A$2:B$21,1,0)</f>
        <v>PD0005</v>
      </c>
      <c r="E730" s="36">
        <v>141</v>
      </c>
      <c r="F730" s="38">
        <v>269260650</v>
      </c>
      <c r="G730" s="39" t="s">
        <v>3104</v>
      </c>
      <c r="H730" s="12"/>
      <c r="L730" s="12"/>
    </row>
    <row r="731" spans="1:12" ht="15.75" customHeight="1" x14ac:dyDescent="0.3">
      <c r="A731" s="29" t="s">
        <v>485</v>
      </c>
      <c r="B731" s="50" t="str">
        <f>VLOOKUP(A731,'Sales Order'!A$2:B$1029,1,0)</f>
        <v>SO0247</v>
      </c>
      <c r="C731" s="29" t="s">
        <v>61</v>
      </c>
      <c r="D731" s="50" t="str">
        <f>VLOOKUP(C731,Product!A$2:B$21,1,0)</f>
        <v>PD0013</v>
      </c>
      <c r="E731" s="36">
        <v>65</v>
      </c>
      <c r="F731" s="38">
        <v>28955549.999999996</v>
      </c>
      <c r="G731" s="39" t="s">
        <v>3105</v>
      </c>
      <c r="H731" s="12"/>
      <c r="L731" s="12"/>
    </row>
    <row r="732" spans="1:12" ht="15.75" customHeight="1" x14ac:dyDescent="0.3">
      <c r="A732" s="29" t="s">
        <v>485</v>
      </c>
      <c r="B732" s="50" t="str">
        <f>VLOOKUP(A732,'Sales Order'!A$2:B$1029,1,0)</f>
        <v>SO0247</v>
      </c>
      <c r="C732" s="29" t="s">
        <v>78</v>
      </c>
      <c r="D732" s="50" t="str">
        <f>VLOOKUP(C732,Product!A$2:B$21,1,0)</f>
        <v>PD0018</v>
      </c>
      <c r="E732" s="36">
        <v>129</v>
      </c>
      <c r="F732" s="38">
        <v>54902400</v>
      </c>
      <c r="G732" s="39" t="s">
        <v>3106</v>
      </c>
      <c r="H732" s="12"/>
      <c r="L732" s="12"/>
    </row>
    <row r="733" spans="1:12" ht="15.75" customHeight="1" x14ac:dyDescent="0.3">
      <c r="A733" s="17" t="s">
        <v>486</v>
      </c>
      <c r="B733" s="50" t="str">
        <f>VLOOKUP(A733,'Sales Order'!A$2:B$1029,1,0)</f>
        <v>SO0248</v>
      </c>
      <c r="C733" s="29" t="s">
        <v>43</v>
      </c>
      <c r="D733" s="50" t="str">
        <f>VLOOKUP(C733,Product!A$2:B$21,1,0)</f>
        <v>PD0007</v>
      </c>
      <c r="E733" s="36">
        <v>114</v>
      </c>
      <c r="F733" s="38">
        <v>280896000</v>
      </c>
      <c r="G733" s="39" t="s">
        <v>3107</v>
      </c>
      <c r="H733" s="12"/>
      <c r="L733" s="12"/>
    </row>
    <row r="734" spans="1:12" ht="15.75" customHeight="1" x14ac:dyDescent="0.3">
      <c r="A734" s="29" t="s">
        <v>486</v>
      </c>
      <c r="B734" s="50" t="str">
        <f>VLOOKUP(A734,'Sales Order'!A$2:B$1029,1,0)</f>
        <v>SO0248</v>
      </c>
      <c r="C734" s="29" t="s">
        <v>19</v>
      </c>
      <c r="D734" s="50" t="str">
        <f>VLOOKUP(C734,Product!A$2:B$21,1,0)</f>
        <v>PD0001</v>
      </c>
      <c r="E734" s="36">
        <v>114</v>
      </c>
      <c r="F734" s="38">
        <v>26115120</v>
      </c>
      <c r="G734" s="39" t="s">
        <v>3108</v>
      </c>
      <c r="H734" s="12"/>
      <c r="L734" s="12"/>
    </row>
    <row r="735" spans="1:12" ht="15.75" customHeight="1" x14ac:dyDescent="0.3">
      <c r="A735" s="29" t="s">
        <v>486</v>
      </c>
      <c r="B735" s="50" t="str">
        <f>VLOOKUP(A735,'Sales Order'!A$2:B$1029,1,0)</f>
        <v>SO0248</v>
      </c>
      <c r="C735" s="29" t="s">
        <v>35</v>
      </c>
      <c r="D735" s="50" t="str">
        <f>VLOOKUP(C735,Product!A$2:B$21,1,0)</f>
        <v>PD0005</v>
      </c>
      <c r="E735" s="36">
        <v>57</v>
      </c>
      <c r="F735" s="38">
        <v>111352350</v>
      </c>
      <c r="G735" s="39" t="s">
        <v>3109</v>
      </c>
      <c r="H735" s="12"/>
      <c r="L735" s="12"/>
    </row>
    <row r="736" spans="1:12" ht="15.75" customHeight="1" x14ac:dyDescent="0.3">
      <c r="A736" s="17" t="s">
        <v>487</v>
      </c>
      <c r="B736" s="50" t="str">
        <f>VLOOKUP(A736,'Sales Order'!A$2:B$1029,1,0)</f>
        <v>SO0249</v>
      </c>
      <c r="C736" s="29" t="s">
        <v>58</v>
      </c>
      <c r="D736" s="50" t="str">
        <f>VLOOKUP(C736,Product!A$2:B$21,1,0)</f>
        <v>PD0012</v>
      </c>
      <c r="E736" s="36">
        <v>103</v>
      </c>
      <c r="F736" s="38">
        <v>476269940.00000006</v>
      </c>
      <c r="G736" s="39" t="s">
        <v>3110</v>
      </c>
      <c r="H736" s="12"/>
      <c r="L736" s="12"/>
    </row>
    <row r="737" spans="1:12" ht="15.75" customHeight="1" x14ac:dyDescent="0.3">
      <c r="A737" s="29" t="s">
        <v>487</v>
      </c>
      <c r="B737" s="50" t="str">
        <f>VLOOKUP(A737,'Sales Order'!A$2:B$1029,1,0)</f>
        <v>SO0249</v>
      </c>
      <c r="C737" s="29" t="s">
        <v>33</v>
      </c>
      <c r="D737" s="50" t="str">
        <f>VLOOKUP(C737,Product!A$2:B$21,1,0)</f>
        <v>PD0004</v>
      </c>
      <c r="E737" s="36">
        <v>62</v>
      </c>
      <c r="F737" s="38">
        <v>12548800</v>
      </c>
      <c r="G737" s="39" t="s">
        <v>3111</v>
      </c>
      <c r="H737" s="12"/>
      <c r="L737" s="12"/>
    </row>
    <row r="738" spans="1:12" ht="15.75" customHeight="1" x14ac:dyDescent="0.3">
      <c r="A738" s="29" t="s">
        <v>487</v>
      </c>
      <c r="B738" s="50" t="str">
        <f>VLOOKUP(A738,'Sales Order'!A$2:B$1029,1,0)</f>
        <v>SO0249</v>
      </c>
      <c r="C738" s="29" t="s">
        <v>55</v>
      </c>
      <c r="D738" s="50" t="str">
        <f>VLOOKUP(C738,Product!A$2:B$21,1,0)</f>
        <v>PD0011</v>
      </c>
      <c r="E738" s="36">
        <v>126</v>
      </c>
      <c r="F738" s="38">
        <v>270482940</v>
      </c>
      <c r="G738" s="39" t="s">
        <v>3112</v>
      </c>
      <c r="H738" s="12"/>
      <c r="L738" s="12"/>
    </row>
    <row r="739" spans="1:12" ht="15.75" customHeight="1" x14ac:dyDescent="0.3">
      <c r="A739" s="17" t="s">
        <v>488</v>
      </c>
      <c r="B739" s="50" t="str">
        <f>VLOOKUP(A739,'Sales Order'!A$2:B$1029,1,0)</f>
        <v>SO0250</v>
      </c>
      <c r="C739" s="29" t="s">
        <v>33</v>
      </c>
      <c r="D739" s="50" t="str">
        <f>VLOOKUP(C739,Product!A$2:B$21,1,0)</f>
        <v>PD0004</v>
      </c>
      <c r="E739" s="36">
        <v>135</v>
      </c>
      <c r="F739" s="38">
        <v>23166000</v>
      </c>
      <c r="G739" s="39" t="s">
        <v>3113</v>
      </c>
      <c r="H739" s="12"/>
      <c r="L739" s="12"/>
    </row>
    <row r="740" spans="1:12" ht="15.75" customHeight="1" x14ac:dyDescent="0.3">
      <c r="A740" s="29" t="s">
        <v>488</v>
      </c>
      <c r="B740" s="50" t="str">
        <f>VLOOKUP(A740,'Sales Order'!A$2:B$1029,1,0)</f>
        <v>SO0250</v>
      </c>
      <c r="C740" s="29" t="s">
        <v>19</v>
      </c>
      <c r="D740" s="50" t="str">
        <f>VLOOKUP(C740,Product!A$2:B$21,1,0)</f>
        <v>PD0001</v>
      </c>
      <c r="E740" s="36">
        <v>51</v>
      </c>
      <c r="F740" s="38">
        <v>10413180</v>
      </c>
      <c r="G740" s="39" t="s">
        <v>3114</v>
      </c>
      <c r="H740" s="12"/>
      <c r="L740" s="12"/>
    </row>
    <row r="741" spans="1:12" ht="15.75" customHeight="1" x14ac:dyDescent="0.3">
      <c r="A741" s="29" t="s">
        <v>488</v>
      </c>
      <c r="B741" s="50" t="str">
        <f>VLOOKUP(A741,'Sales Order'!A$2:B$1029,1,0)</f>
        <v>SO0250</v>
      </c>
      <c r="C741" s="29" t="s">
        <v>48</v>
      </c>
      <c r="D741" s="50" t="str">
        <f>VLOOKUP(C741,Product!A$2:B$21,1,0)</f>
        <v>PD0009</v>
      </c>
      <c r="E741" s="36">
        <v>55</v>
      </c>
      <c r="F741" s="38">
        <v>5605050</v>
      </c>
      <c r="G741" s="39" t="s">
        <v>3115</v>
      </c>
      <c r="H741" s="12"/>
      <c r="L741" s="12"/>
    </row>
    <row r="742" spans="1:12" ht="15.75" customHeight="1" x14ac:dyDescent="0.3">
      <c r="A742" s="17" t="s">
        <v>489</v>
      </c>
      <c r="B742" s="50" t="str">
        <f>VLOOKUP(A742,'Sales Order'!A$2:B$1029,1,0)</f>
        <v>SO0251</v>
      </c>
      <c r="C742" s="29" t="s">
        <v>35</v>
      </c>
      <c r="D742" s="50" t="str">
        <f>VLOOKUP(C742,Product!A$2:B$21,1,0)</f>
        <v>PD0005</v>
      </c>
      <c r="E742" s="36">
        <v>38</v>
      </c>
      <c r="F742" s="38">
        <v>68396200</v>
      </c>
      <c r="G742" s="39" t="s">
        <v>3116</v>
      </c>
      <c r="H742" s="12"/>
      <c r="L742" s="12"/>
    </row>
    <row r="743" spans="1:12" ht="15.75" customHeight="1" x14ac:dyDescent="0.3">
      <c r="A743" s="29" t="s">
        <v>489</v>
      </c>
      <c r="B743" s="50" t="str">
        <f>VLOOKUP(A743,'Sales Order'!A$2:B$1029,1,0)</f>
        <v>SO0251</v>
      </c>
      <c r="C743" s="29" t="s">
        <v>40</v>
      </c>
      <c r="D743" s="50" t="str">
        <f>VLOOKUP(C743,Product!A$2:B$21,1,0)</f>
        <v>PD0006</v>
      </c>
      <c r="E743" s="36">
        <v>55</v>
      </c>
      <c r="F743" s="38">
        <v>8966100</v>
      </c>
      <c r="G743" s="39" t="s">
        <v>3117</v>
      </c>
      <c r="H743" s="12"/>
      <c r="L743" s="12"/>
    </row>
    <row r="744" spans="1:12" ht="15.75" customHeight="1" x14ac:dyDescent="0.3">
      <c r="A744" s="29" t="s">
        <v>489</v>
      </c>
      <c r="B744" s="50" t="str">
        <f>VLOOKUP(A744,'Sales Order'!A$2:B$1029,1,0)</f>
        <v>SO0251</v>
      </c>
      <c r="C744" s="29" t="s">
        <v>55</v>
      </c>
      <c r="D744" s="50" t="str">
        <f>VLOOKUP(C744,Product!A$2:B$21,1,0)</f>
        <v>PD0011</v>
      </c>
      <c r="E744" s="36">
        <v>129</v>
      </c>
      <c r="F744" s="38">
        <v>286052340</v>
      </c>
      <c r="G744" s="39" t="s">
        <v>3118</v>
      </c>
      <c r="H744" s="12"/>
      <c r="L744" s="12"/>
    </row>
    <row r="745" spans="1:12" ht="15.75" customHeight="1" x14ac:dyDescent="0.3">
      <c r="A745" s="17" t="s">
        <v>490</v>
      </c>
      <c r="B745" s="50" t="str">
        <f>VLOOKUP(A745,'Sales Order'!A$2:B$1029,1,0)</f>
        <v>SO0252</v>
      </c>
      <c r="C745" s="29" t="s">
        <v>48</v>
      </c>
      <c r="D745" s="50" t="str">
        <f>VLOOKUP(C745,Product!A$2:B$21,1,0)</f>
        <v>PD0009</v>
      </c>
      <c r="E745" s="36">
        <v>78</v>
      </c>
      <c r="F745" s="38">
        <v>8854560</v>
      </c>
      <c r="G745" s="39" t="s">
        <v>3119</v>
      </c>
      <c r="H745" s="12"/>
      <c r="L745" s="12"/>
    </row>
    <row r="746" spans="1:12" ht="15.75" customHeight="1" x14ac:dyDescent="0.3">
      <c r="A746" s="29" t="s">
        <v>490</v>
      </c>
      <c r="B746" s="50" t="str">
        <f>VLOOKUP(A746,'Sales Order'!A$2:B$1029,1,0)</f>
        <v>SO0252</v>
      </c>
      <c r="C746" s="29" t="s">
        <v>72</v>
      </c>
      <c r="D746" s="50" t="str">
        <f>VLOOKUP(C746,Product!A$2:B$21,1,0)</f>
        <v>PD0016</v>
      </c>
      <c r="E746" s="36">
        <v>146</v>
      </c>
      <c r="F746" s="38">
        <v>35863440</v>
      </c>
      <c r="G746" s="39" t="s">
        <v>3120</v>
      </c>
      <c r="H746" s="12"/>
      <c r="L746" s="12"/>
    </row>
    <row r="747" spans="1:12" ht="15.75" customHeight="1" x14ac:dyDescent="0.3">
      <c r="A747" s="29" t="s">
        <v>490</v>
      </c>
      <c r="B747" s="50" t="str">
        <f>VLOOKUP(A747,'Sales Order'!A$2:B$1029,1,0)</f>
        <v>SO0252</v>
      </c>
      <c r="C747" s="29" t="s">
        <v>28</v>
      </c>
      <c r="D747" s="50" t="str">
        <f>VLOOKUP(C747,Product!A$2:B$21,1,0)</f>
        <v>PD0003</v>
      </c>
      <c r="E747" s="36">
        <v>38</v>
      </c>
      <c r="F747" s="38">
        <v>26887280</v>
      </c>
      <c r="G747" s="39" t="s">
        <v>3121</v>
      </c>
      <c r="H747" s="12"/>
      <c r="L747" s="12"/>
    </row>
    <row r="748" spans="1:12" ht="15.75" customHeight="1" x14ac:dyDescent="0.3">
      <c r="A748" s="29" t="s">
        <v>490</v>
      </c>
      <c r="B748" s="50" t="str">
        <f>VLOOKUP(A748,'Sales Order'!A$2:B$1029,1,0)</f>
        <v>SO0252</v>
      </c>
      <c r="C748" s="29" t="s">
        <v>25</v>
      </c>
      <c r="D748" s="50" t="str">
        <f>VLOOKUP(C748,Product!A$2:B$21,1,0)</f>
        <v>PD0002</v>
      </c>
      <c r="E748" s="36">
        <v>74</v>
      </c>
      <c r="F748" s="38">
        <v>1272800</v>
      </c>
      <c r="G748" s="39" t="s">
        <v>3122</v>
      </c>
      <c r="H748" s="12"/>
      <c r="L748" s="12"/>
    </row>
    <row r="749" spans="1:12" ht="15.75" customHeight="1" x14ac:dyDescent="0.3">
      <c r="A749" s="17" t="s">
        <v>491</v>
      </c>
      <c r="B749" s="50" t="str">
        <f>VLOOKUP(A749,'Sales Order'!A$2:B$1029,1,0)</f>
        <v>SO0253</v>
      </c>
      <c r="C749" s="29" t="s">
        <v>75</v>
      </c>
      <c r="D749" s="50" t="str">
        <f>VLOOKUP(C749,Product!A$2:B$21,1,0)</f>
        <v>PD0017</v>
      </c>
      <c r="E749" s="36">
        <v>93</v>
      </c>
      <c r="F749" s="38">
        <v>207018000</v>
      </c>
      <c r="G749" s="39" t="s">
        <v>3123</v>
      </c>
      <c r="H749" s="12"/>
      <c r="L749" s="12"/>
    </row>
    <row r="750" spans="1:12" ht="15.75" customHeight="1" x14ac:dyDescent="0.3">
      <c r="A750" s="29" t="s">
        <v>491</v>
      </c>
      <c r="B750" s="50" t="str">
        <f>VLOOKUP(A750,'Sales Order'!A$2:B$1029,1,0)</f>
        <v>SO0253</v>
      </c>
      <c r="C750" s="29" t="s">
        <v>83</v>
      </c>
      <c r="D750" s="50" t="str">
        <f>VLOOKUP(C750,Product!A$2:B$21,1,0)</f>
        <v>PD0020</v>
      </c>
      <c r="E750" s="36">
        <v>142</v>
      </c>
      <c r="F750" s="38">
        <v>37833060</v>
      </c>
      <c r="G750" s="39" t="s">
        <v>3124</v>
      </c>
      <c r="H750" s="12"/>
      <c r="L750" s="12"/>
    </row>
    <row r="751" spans="1:12" ht="15.75" customHeight="1" x14ac:dyDescent="0.3">
      <c r="A751" s="17" t="s">
        <v>492</v>
      </c>
      <c r="B751" s="50" t="str">
        <f>VLOOKUP(A751,'Sales Order'!A$2:B$1029,1,0)</f>
        <v>SO0254</v>
      </c>
      <c r="C751" s="29" t="s">
        <v>83</v>
      </c>
      <c r="D751" s="50" t="str">
        <f>VLOOKUP(C751,Product!A$2:B$21,1,0)</f>
        <v>PD0020</v>
      </c>
      <c r="E751" s="36">
        <v>89</v>
      </c>
      <c r="F751" s="38">
        <v>21712440</v>
      </c>
      <c r="G751" s="39" t="s">
        <v>3125</v>
      </c>
      <c r="H751" s="12"/>
      <c r="L751" s="12"/>
    </row>
    <row r="752" spans="1:12" ht="15.75" customHeight="1" x14ac:dyDescent="0.3">
      <c r="A752" s="29" t="s">
        <v>492</v>
      </c>
      <c r="B752" s="50" t="str">
        <f>VLOOKUP(A752,'Sales Order'!A$2:B$1029,1,0)</f>
        <v>SO0254</v>
      </c>
      <c r="C752" s="29" t="s">
        <v>40</v>
      </c>
      <c r="D752" s="50" t="str">
        <f>VLOOKUP(C752,Product!A$2:B$21,1,0)</f>
        <v>PD0006</v>
      </c>
      <c r="E752" s="36">
        <v>44</v>
      </c>
      <c r="F752" s="38">
        <v>7816600</v>
      </c>
      <c r="G752" s="39" t="s">
        <v>3126</v>
      </c>
      <c r="H752" s="12"/>
      <c r="L752" s="12"/>
    </row>
    <row r="753" spans="1:12" ht="15.75" customHeight="1" x14ac:dyDescent="0.3">
      <c r="A753" s="29" t="s">
        <v>492</v>
      </c>
      <c r="B753" s="50" t="str">
        <f>VLOOKUP(A753,'Sales Order'!A$2:B$1029,1,0)</f>
        <v>SO0254</v>
      </c>
      <c r="C753" s="29" t="s">
        <v>75</v>
      </c>
      <c r="D753" s="50" t="str">
        <f>VLOOKUP(C753,Product!A$2:B$21,1,0)</f>
        <v>PD0017</v>
      </c>
      <c r="E753" s="36">
        <v>147</v>
      </c>
      <c r="F753" s="38">
        <v>319431000</v>
      </c>
      <c r="G753" s="39" t="s">
        <v>3127</v>
      </c>
      <c r="H753" s="12"/>
      <c r="L753" s="12"/>
    </row>
    <row r="754" spans="1:12" ht="15.75" customHeight="1" x14ac:dyDescent="0.3">
      <c r="A754" s="29" t="s">
        <v>492</v>
      </c>
      <c r="B754" s="50" t="str">
        <f>VLOOKUP(A754,'Sales Order'!A$2:B$1029,1,0)</f>
        <v>SO0254</v>
      </c>
      <c r="C754" s="29" t="s">
        <v>81</v>
      </c>
      <c r="D754" s="50" t="str">
        <f>VLOOKUP(C754,Product!A$2:B$21,1,0)</f>
        <v>PD0019</v>
      </c>
      <c r="E754" s="36">
        <v>149</v>
      </c>
      <c r="F754" s="38">
        <v>330426870</v>
      </c>
      <c r="G754" s="39" t="s">
        <v>3128</v>
      </c>
      <c r="H754" s="12"/>
      <c r="L754" s="12"/>
    </row>
    <row r="755" spans="1:12" ht="15.75" customHeight="1" x14ac:dyDescent="0.3">
      <c r="A755" s="17" t="s">
        <v>493</v>
      </c>
      <c r="B755" s="50" t="str">
        <f>VLOOKUP(A755,'Sales Order'!A$2:B$1029,1,0)</f>
        <v>SO0255</v>
      </c>
      <c r="C755" s="29" t="s">
        <v>33</v>
      </c>
      <c r="D755" s="50" t="str">
        <f>VLOOKUP(C755,Product!A$2:B$21,1,0)</f>
        <v>PD0004</v>
      </c>
      <c r="E755" s="36">
        <v>57</v>
      </c>
      <c r="F755" s="38">
        <v>9906600</v>
      </c>
      <c r="G755" s="39" t="s">
        <v>3129</v>
      </c>
      <c r="H755" s="12"/>
      <c r="L755" s="12"/>
    </row>
    <row r="756" spans="1:12" ht="15.75" customHeight="1" x14ac:dyDescent="0.3">
      <c r="A756" s="29" t="s">
        <v>493</v>
      </c>
      <c r="B756" s="50" t="str">
        <f>VLOOKUP(A756,'Sales Order'!A$2:B$1029,1,0)</f>
        <v>SO0255</v>
      </c>
      <c r="C756" s="29" t="s">
        <v>83</v>
      </c>
      <c r="D756" s="50" t="str">
        <f>VLOOKUP(C756,Product!A$2:B$21,1,0)</f>
        <v>PD0020</v>
      </c>
      <c r="E756" s="36">
        <v>134</v>
      </c>
      <c r="F756" s="38">
        <v>37852320</v>
      </c>
      <c r="G756" s="39" t="s">
        <v>3130</v>
      </c>
      <c r="H756" s="12"/>
      <c r="L756" s="12"/>
    </row>
    <row r="757" spans="1:12" ht="15.75" customHeight="1" x14ac:dyDescent="0.3">
      <c r="A757" s="29" t="s">
        <v>493</v>
      </c>
      <c r="B757" s="50" t="str">
        <f>VLOOKUP(A757,'Sales Order'!A$2:B$1029,1,0)</f>
        <v>SO0255</v>
      </c>
      <c r="C757" s="29" t="s">
        <v>35</v>
      </c>
      <c r="D757" s="50" t="str">
        <f>VLOOKUP(C757,Product!A$2:B$21,1,0)</f>
        <v>PD0005</v>
      </c>
      <c r="E757" s="36">
        <v>139</v>
      </c>
      <c r="F757" s="38">
        <v>283747650</v>
      </c>
      <c r="G757" s="39" t="s">
        <v>3131</v>
      </c>
      <c r="H757" s="12"/>
      <c r="L757" s="12"/>
    </row>
    <row r="758" spans="1:12" ht="15.75" customHeight="1" x14ac:dyDescent="0.3">
      <c r="A758" s="29" t="s">
        <v>493</v>
      </c>
      <c r="B758" s="50" t="str">
        <f>VLOOKUP(A758,'Sales Order'!A$2:B$1029,1,0)</f>
        <v>SO0255</v>
      </c>
      <c r="C758" s="29" t="s">
        <v>19</v>
      </c>
      <c r="D758" s="50" t="str">
        <f>VLOOKUP(C758,Product!A$2:B$21,1,0)</f>
        <v>PD0001</v>
      </c>
      <c r="E758" s="36">
        <v>33</v>
      </c>
      <c r="F758" s="38">
        <v>7806150</v>
      </c>
      <c r="G758" s="39" t="s">
        <v>3132</v>
      </c>
      <c r="H758" s="12"/>
      <c r="L758" s="12"/>
    </row>
    <row r="759" spans="1:12" ht="15.75" customHeight="1" x14ac:dyDescent="0.3">
      <c r="A759" s="17" t="s">
        <v>494</v>
      </c>
      <c r="B759" s="50" t="str">
        <f>VLOOKUP(A759,'Sales Order'!A$2:B$1029,1,0)</f>
        <v>SO0256</v>
      </c>
      <c r="C759" s="29" t="s">
        <v>65</v>
      </c>
      <c r="D759" s="50" t="str">
        <f>VLOOKUP(C759,Product!A$2:B$21,1,0)</f>
        <v>PD0014</v>
      </c>
      <c r="E759" s="36">
        <v>67</v>
      </c>
      <c r="F759" s="38">
        <v>16994550</v>
      </c>
      <c r="G759" s="39" t="s">
        <v>3133</v>
      </c>
      <c r="H759" s="12"/>
      <c r="L759" s="12"/>
    </row>
    <row r="760" spans="1:12" ht="15.75" customHeight="1" x14ac:dyDescent="0.3">
      <c r="A760" s="29" t="s">
        <v>494</v>
      </c>
      <c r="B760" s="50" t="str">
        <f>VLOOKUP(A760,'Sales Order'!A$2:B$1029,1,0)</f>
        <v>SO0256</v>
      </c>
      <c r="C760" s="29" t="s">
        <v>55</v>
      </c>
      <c r="D760" s="50" t="str">
        <f>VLOOKUP(C760,Product!A$2:B$21,1,0)</f>
        <v>PD0011</v>
      </c>
      <c r="E760" s="36">
        <v>150</v>
      </c>
      <c r="F760" s="38">
        <v>293695500</v>
      </c>
      <c r="G760" s="39" t="s">
        <v>3134</v>
      </c>
      <c r="H760" s="12"/>
      <c r="L760" s="12"/>
    </row>
    <row r="761" spans="1:12" ht="15.75" customHeight="1" x14ac:dyDescent="0.3">
      <c r="A761" s="29" t="s">
        <v>494</v>
      </c>
      <c r="B761" s="50" t="str">
        <f>VLOOKUP(A761,'Sales Order'!A$2:B$1029,1,0)</f>
        <v>SO0256</v>
      </c>
      <c r="C761" s="29" t="s">
        <v>25</v>
      </c>
      <c r="D761" s="50" t="str">
        <f>VLOOKUP(C761,Product!A$2:B$21,1,0)</f>
        <v>PD0002</v>
      </c>
      <c r="E761" s="36">
        <v>45</v>
      </c>
      <c r="F761" s="38">
        <v>711000</v>
      </c>
      <c r="G761" s="39" t="s">
        <v>3135</v>
      </c>
      <c r="H761" s="12"/>
      <c r="L761" s="12"/>
    </row>
    <row r="762" spans="1:12" ht="15.75" customHeight="1" x14ac:dyDescent="0.3">
      <c r="A762" s="17" t="s">
        <v>495</v>
      </c>
      <c r="B762" s="50" t="str">
        <f>VLOOKUP(A762,'Sales Order'!A$2:B$1029,1,0)</f>
        <v>SO0257</v>
      </c>
      <c r="C762" s="29" t="s">
        <v>48</v>
      </c>
      <c r="D762" s="50" t="str">
        <f>VLOOKUP(C762,Product!A$2:B$21,1,0)</f>
        <v>PD0009</v>
      </c>
      <c r="E762" s="36">
        <v>54</v>
      </c>
      <c r="F762" s="38">
        <v>6060420</v>
      </c>
      <c r="G762" s="39" t="s">
        <v>3136</v>
      </c>
      <c r="H762" s="12"/>
      <c r="L762" s="12"/>
    </row>
    <row r="763" spans="1:12" ht="15.75" customHeight="1" x14ac:dyDescent="0.3">
      <c r="A763" s="29" t="s">
        <v>495</v>
      </c>
      <c r="B763" s="50" t="str">
        <f>VLOOKUP(A763,'Sales Order'!A$2:B$1029,1,0)</f>
        <v>SO0257</v>
      </c>
      <c r="C763" s="29" t="s">
        <v>65</v>
      </c>
      <c r="D763" s="50" t="str">
        <f>VLOOKUP(C763,Product!A$2:B$21,1,0)</f>
        <v>PD0014</v>
      </c>
      <c r="E763" s="36">
        <v>136</v>
      </c>
      <c r="F763" s="38">
        <v>30865200</v>
      </c>
      <c r="G763" s="39" t="s">
        <v>3137</v>
      </c>
      <c r="H763" s="12"/>
      <c r="L763" s="12"/>
    </row>
    <row r="764" spans="1:12" ht="15.75" customHeight="1" x14ac:dyDescent="0.3">
      <c r="A764" s="29" t="s">
        <v>495</v>
      </c>
      <c r="B764" s="50" t="str">
        <f>VLOOKUP(A764,'Sales Order'!A$2:B$1029,1,0)</f>
        <v>SO0257</v>
      </c>
      <c r="C764" s="29" t="s">
        <v>33</v>
      </c>
      <c r="D764" s="50" t="str">
        <f>VLOOKUP(C764,Product!A$2:B$21,1,0)</f>
        <v>PD0004</v>
      </c>
      <c r="E764" s="36">
        <v>44</v>
      </c>
      <c r="F764" s="38">
        <v>8712000</v>
      </c>
      <c r="G764" s="39" t="s">
        <v>3138</v>
      </c>
      <c r="H764" s="12"/>
      <c r="L764" s="12"/>
    </row>
    <row r="765" spans="1:12" ht="15.75" customHeight="1" x14ac:dyDescent="0.3">
      <c r="A765" s="29" t="s">
        <v>495</v>
      </c>
      <c r="B765" s="50" t="str">
        <f>VLOOKUP(A765,'Sales Order'!A$2:B$1029,1,0)</f>
        <v>SO0257</v>
      </c>
      <c r="C765" s="29" t="s">
        <v>58</v>
      </c>
      <c r="D765" s="50" t="str">
        <f>VLOOKUP(C765,Product!A$2:B$21,1,0)</f>
        <v>PD0012</v>
      </c>
      <c r="E765" s="36">
        <v>130</v>
      </c>
      <c r="F765" s="38">
        <v>667093700</v>
      </c>
      <c r="G765" s="39" t="s">
        <v>3139</v>
      </c>
      <c r="H765" s="12"/>
      <c r="L765" s="12"/>
    </row>
    <row r="766" spans="1:12" ht="15.75" customHeight="1" x14ac:dyDescent="0.3">
      <c r="A766" s="17" t="s">
        <v>496</v>
      </c>
      <c r="B766" s="50" t="str">
        <f>VLOOKUP(A766,'Sales Order'!A$2:B$1029,1,0)</f>
        <v>SO0258</v>
      </c>
      <c r="C766" s="29" t="s">
        <v>81</v>
      </c>
      <c r="D766" s="50" t="str">
        <f>VLOOKUP(C766,Product!A$2:B$21,1,0)</f>
        <v>PD0019</v>
      </c>
      <c r="E766" s="36">
        <v>80</v>
      </c>
      <c r="F766" s="38">
        <v>181488800</v>
      </c>
      <c r="G766" s="39" t="s">
        <v>3140</v>
      </c>
      <c r="H766" s="12"/>
      <c r="L766" s="12"/>
    </row>
    <row r="767" spans="1:12" ht="15.75" customHeight="1" x14ac:dyDescent="0.3">
      <c r="A767" s="29" t="s">
        <v>496</v>
      </c>
      <c r="B767" s="50" t="str">
        <f>VLOOKUP(A767,'Sales Order'!A$2:B$1029,1,0)</f>
        <v>SO0258</v>
      </c>
      <c r="C767" s="29" t="s">
        <v>72</v>
      </c>
      <c r="D767" s="50" t="str">
        <f>VLOOKUP(C767,Product!A$2:B$21,1,0)</f>
        <v>PD0016</v>
      </c>
      <c r="E767" s="36">
        <v>112</v>
      </c>
      <c r="F767" s="38">
        <v>24521280</v>
      </c>
      <c r="G767" s="39" t="s">
        <v>3141</v>
      </c>
      <c r="H767" s="12"/>
      <c r="L767" s="12"/>
    </row>
    <row r="768" spans="1:12" ht="15.75" customHeight="1" x14ac:dyDescent="0.3">
      <c r="A768" s="29" t="s">
        <v>496</v>
      </c>
      <c r="B768" s="50" t="str">
        <f>VLOOKUP(A768,'Sales Order'!A$2:B$1029,1,0)</f>
        <v>SO0258</v>
      </c>
      <c r="C768" s="29" t="s">
        <v>45</v>
      </c>
      <c r="D768" s="50" t="str">
        <f>VLOOKUP(C768,Product!A$2:B$21,1,0)</f>
        <v>PD0008</v>
      </c>
      <c r="E768" s="36">
        <v>143</v>
      </c>
      <c r="F768" s="38">
        <v>18537090</v>
      </c>
      <c r="G768" s="39" t="s">
        <v>3142</v>
      </c>
      <c r="H768" s="12"/>
      <c r="L768" s="12"/>
    </row>
    <row r="769" spans="1:12" ht="15.75" customHeight="1" x14ac:dyDescent="0.3">
      <c r="A769" s="29" t="s">
        <v>496</v>
      </c>
      <c r="B769" s="50" t="str">
        <f>VLOOKUP(A769,'Sales Order'!A$2:B$1029,1,0)</f>
        <v>SO0258</v>
      </c>
      <c r="C769" s="29" t="s">
        <v>43</v>
      </c>
      <c r="D769" s="50" t="str">
        <f>VLOOKUP(C769,Product!A$2:B$21,1,0)</f>
        <v>PD0007</v>
      </c>
      <c r="E769" s="36">
        <v>127</v>
      </c>
      <c r="F769" s="38">
        <v>312928000</v>
      </c>
      <c r="G769" s="39" t="s">
        <v>3143</v>
      </c>
      <c r="H769" s="12"/>
      <c r="L769" s="12"/>
    </row>
    <row r="770" spans="1:12" ht="15.75" customHeight="1" x14ac:dyDescent="0.3">
      <c r="A770" s="17" t="s">
        <v>497</v>
      </c>
      <c r="B770" s="50" t="str">
        <f>VLOOKUP(A770,'Sales Order'!A$2:B$1029,1,0)</f>
        <v>SO0259</v>
      </c>
      <c r="C770" s="29" t="s">
        <v>61</v>
      </c>
      <c r="D770" s="50" t="str">
        <f>VLOOKUP(C770,Product!A$2:B$21,1,0)</f>
        <v>PD0013</v>
      </c>
      <c r="E770" s="36">
        <v>82</v>
      </c>
      <c r="F770" s="38">
        <v>31422400</v>
      </c>
      <c r="G770" s="39" t="s">
        <v>3144</v>
      </c>
      <c r="H770" s="12"/>
      <c r="L770" s="12"/>
    </row>
    <row r="771" spans="1:12" ht="15.75" customHeight="1" x14ac:dyDescent="0.3">
      <c r="A771" s="29" t="s">
        <v>497</v>
      </c>
      <c r="B771" s="50" t="str">
        <f>VLOOKUP(A771,'Sales Order'!A$2:B$1029,1,0)</f>
        <v>SO0259</v>
      </c>
      <c r="C771" s="29" t="s">
        <v>43</v>
      </c>
      <c r="D771" s="50" t="str">
        <f>VLOOKUP(C771,Product!A$2:B$21,1,0)</f>
        <v>PD0007</v>
      </c>
      <c r="E771" s="36">
        <v>40</v>
      </c>
      <c r="F771" s="38">
        <v>111360000</v>
      </c>
      <c r="G771" s="39" t="s">
        <v>3145</v>
      </c>
      <c r="H771" s="12"/>
      <c r="L771" s="12"/>
    </row>
    <row r="772" spans="1:12" ht="15.75" customHeight="1" x14ac:dyDescent="0.3">
      <c r="A772" s="17" t="s">
        <v>498</v>
      </c>
      <c r="B772" s="50" t="str">
        <f>VLOOKUP(A772,'Sales Order'!A$2:B$1029,1,0)</f>
        <v>SO0260</v>
      </c>
      <c r="C772" s="29" t="s">
        <v>55</v>
      </c>
      <c r="D772" s="50" t="str">
        <f>VLOOKUP(C772,Product!A$2:B$21,1,0)</f>
        <v>PD0011</v>
      </c>
      <c r="E772" s="36">
        <v>85</v>
      </c>
      <c r="F772" s="38">
        <v>164422300</v>
      </c>
      <c r="G772" s="39" t="s">
        <v>3146</v>
      </c>
      <c r="H772" s="12"/>
      <c r="L772" s="12"/>
    </row>
    <row r="773" spans="1:12" ht="15.75" customHeight="1" x14ac:dyDescent="0.3">
      <c r="A773" s="29" t="s">
        <v>498</v>
      </c>
      <c r="B773" s="50" t="str">
        <f>VLOOKUP(A773,'Sales Order'!A$2:B$1029,1,0)</f>
        <v>SO0260</v>
      </c>
      <c r="C773" s="29" t="s">
        <v>33</v>
      </c>
      <c r="D773" s="50" t="str">
        <f>VLOOKUP(C773,Product!A$2:B$21,1,0)</f>
        <v>PD0004</v>
      </c>
      <c r="E773" s="36">
        <v>112</v>
      </c>
      <c r="F773" s="38">
        <v>20204800</v>
      </c>
      <c r="G773" s="39" t="s">
        <v>3147</v>
      </c>
      <c r="H773" s="12"/>
      <c r="L773" s="12"/>
    </row>
    <row r="774" spans="1:12" ht="15.75" customHeight="1" x14ac:dyDescent="0.3">
      <c r="A774" s="17" t="s">
        <v>499</v>
      </c>
      <c r="B774" s="50" t="str">
        <f>VLOOKUP(A774,'Sales Order'!A$2:B$1029,1,0)</f>
        <v>SO0261</v>
      </c>
      <c r="C774" s="29" t="s">
        <v>19</v>
      </c>
      <c r="D774" s="50" t="str">
        <f>VLOOKUP(C774,Product!A$2:B$21,1,0)</f>
        <v>PD0001</v>
      </c>
      <c r="E774" s="36">
        <v>64</v>
      </c>
      <c r="F774" s="38">
        <v>14820479.999999998</v>
      </c>
      <c r="G774" s="39" t="s">
        <v>3148</v>
      </c>
      <c r="H774" s="12"/>
      <c r="L774" s="12"/>
    </row>
    <row r="775" spans="1:12" ht="15.75" customHeight="1" x14ac:dyDescent="0.3">
      <c r="A775" s="29" t="s">
        <v>499</v>
      </c>
      <c r="B775" s="50" t="str">
        <f>VLOOKUP(A775,'Sales Order'!A$2:B$1029,1,0)</f>
        <v>SO0261</v>
      </c>
      <c r="C775" s="29" t="s">
        <v>83</v>
      </c>
      <c r="D775" s="50" t="str">
        <f>VLOOKUP(C775,Product!A$2:B$21,1,0)</f>
        <v>PD0020</v>
      </c>
      <c r="E775" s="36">
        <v>134</v>
      </c>
      <c r="F775" s="38">
        <v>32690640</v>
      </c>
      <c r="G775" s="39" t="s">
        <v>3149</v>
      </c>
      <c r="H775" s="12"/>
      <c r="L775" s="12"/>
    </row>
    <row r="776" spans="1:12" ht="15.75" customHeight="1" x14ac:dyDescent="0.3">
      <c r="A776" s="17" t="s">
        <v>500</v>
      </c>
      <c r="B776" s="50" t="str">
        <f>VLOOKUP(A776,'Sales Order'!A$2:B$1029,1,0)</f>
        <v>SO0262</v>
      </c>
      <c r="C776" s="29" t="s">
        <v>69</v>
      </c>
      <c r="D776" s="50" t="str">
        <f>VLOOKUP(C776,Product!A$2:B$21,1,0)</f>
        <v>PD0015</v>
      </c>
      <c r="E776" s="36">
        <v>70</v>
      </c>
      <c r="F776" s="38">
        <v>8847090</v>
      </c>
      <c r="G776" s="39" t="s">
        <v>3150</v>
      </c>
      <c r="H776" s="12"/>
      <c r="L776" s="12"/>
    </row>
    <row r="777" spans="1:12" ht="15.75" customHeight="1" x14ac:dyDescent="0.3">
      <c r="A777" s="17" t="s">
        <v>501</v>
      </c>
      <c r="B777" s="50" t="str">
        <f>VLOOKUP(A777,'Sales Order'!A$2:B$1029,1,0)</f>
        <v>SO0263</v>
      </c>
      <c r="C777" s="29" t="s">
        <v>75</v>
      </c>
      <c r="D777" s="50" t="str">
        <f>VLOOKUP(C777,Product!A$2:B$21,1,0)</f>
        <v>PD0017</v>
      </c>
      <c r="E777" s="36">
        <v>108</v>
      </c>
      <c r="F777" s="38">
        <v>260442000</v>
      </c>
      <c r="G777" s="39" t="s">
        <v>3151</v>
      </c>
      <c r="H777" s="12"/>
      <c r="L777" s="12"/>
    </row>
    <row r="778" spans="1:12" ht="15.75" customHeight="1" x14ac:dyDescent="0.3">
      <c r="A778" s="17" t="s">
        <v>502</v>
      </c>
      <c r="B778" s="50" t="str">
        <f>VLOOKUP(A778,'Sales Order'!A$2:B$1029,1,0)</f>
        <v>SO0264</v>
      </c>
      <c r="C778" s="29" t="s">
        <v>45</v>
      </c>
      <c r="D778" s="50" t="str">
        <f>VLOOKUP(C778,Product!A$2:B$21,1,0)</f>
        <v>PD0008</v>
      </c>
      <c r="E778" s="36">
        <v>132</v>
      </c>
      <c r="F778" s="38">
        <v>15144360</v>
      </c>
      <c r="G778" s="39" t="s">
        <v>3152</v>
      </c>
      <c r="H778" s="12"/>
      <c r="L778" s="12"/>
    </row>
    <row r="779" spans="1:12" ht="15.75" customHeight="1" x14ac:dyDescent="0.3">
      <c r="A779" s="29" t="s">
        <v>502</v>
      </c>
      <c r="B779" s="50" t="str">
        <f>VLOOKUP(A779,'Sales Order'!A$2:B$1029,1,0)</f>
        <v>SO0264</v>
      </c>
      <c r="C779" s="29" t="s">
        <v>69</v>
      </c>
      <c r="D779" s="50" t="str">
        <f>VLOOKUP(C779,Product!A$2:B$21,1,0)</f>
        <v>PD0015</v>
      </c>
      <c r="E779" s="36">
        <v>143</v>
      </c>
      <c r="F779" s="38">
        <v>17295993</v>
      </c>
      <c r="G779" s="39" t="s">
        <v>3153</v>
      </c>
      <c r="H779" s="12"/>
      <c r="L779" s="12"/>
    </row>
    <row r="780" spans="1:12" ht="15.75" customHeight="1" x14ac:dyDescent="0.3">
      <c r="A780" s="17" t="s">
        <v>503</v>
      </c>
      <c r="B780" s="50" t="str">
        <f>VLOOKUP(A780,'Sales Order'!A$2:B$1029,1,0)</f>
        <v>SO0265</v>
      </c>
      <c r="C780" s="29" t="s">
        <v>58</v>
      </c>
      <c r="D780" s="50" t="str">
        <f>VLOOKUP(C780,Product!A$2:B$21,1,0)</f>
        <v>PD0012</v>
      </c>
      <c r="E780" s="36">
        <v>89</v>
      </c>
      <c r="F780" s="38">
        <v>456702610</v>
      </c>
      <c r="G780" s="39" t="s">
        <v>3154</v>
      </c>
      <c r="H780" s="12"/>
      <c r="L780" s="12"/>
    </row>
    <row r="781" spans="1:12" ht="15.75" customHeight="1" x14ac:dyDescent="0.3">
      <c r="A781" s="17" t="s">
        <v>504</v>
      </c>
      <c r="B781" s="50" t="str">
        <f>VLOOKUP(A781,'Sales Order'!A$2:B$1029,1,0)</f>
        <v>SO0266</v>
      </c>
      <c r="C781" s="29" t="s">
        <v>83</v>
      </c>
      <c r="D781" s="50" t="str">
        <f>VLOOKUP(C781,Product!A$2:B$21,1,0)</f>
        <v>PD0020</v>
      </c>
      <c r="E781" s="36">
        <v>80</v>
      </c>
      <c r="F781" s="38">
        <v>24139200</v>
      </c>
      <c r="G781" s="39" t="s">
        <v>3155</v>
      </c>
      <c r="H781" s="12"/>
      <c r="L781" s="12"/>
    </row>
    <row r="782" spans="1:12" ht="15.75" customHeight="1" x14ac:dyDescent="0.3">
      <c r="A782" s="29" t="s">
        <v>504</v>
      </c>
      <c r="B782" s="50" t="str">
        <f>VLOOKUP(A782,'Sales Order'!A$2:B$1029,1,0)</f>
        <v>SO0266</v>
      </c>
      <c r="C782" s="29" t="s">
        <v>40</v>
      </c>
      <c r="D782" s="50" t="str">
        <f>VLOOKUP(C782,Product!A$2:B$21,1,0)</f>
        <v>PD0006</v>
      </c>
      <c r="E782" s="36">
        <v>136</v>
      </c>
      <c r="F782" s="38">
        <v>25865840</v>
      </c>
      <c r="G782" s="39" t="s">
        <v>3156</v>
      </c>
      <c r="H782" s="12"/>
      <c r="L782" s="12"/>
    </row>
    <row r="783" spans="1:12" ht="15.75" customHeight="1" x14ac:dyDescent="0.3">
      <c r="A783" s="29" t="s">
        <v>504</v>
      </c>
      <c r="B783" s="50" t="str">
        <f>VLOOKUP(A783,'Sales Order'!A$2:B$1029,1,0)</f>
        <v>SO0266</v>
      </c>
      <c r="C783" s="29" t="s">
        <v>19</v>
      </c>
      <c r="D783" s="50" t="str">
        <f>VLOOKUP(C783,Product!A$2:B$21,1,0)</f>
        <v>PD0001</v>
      </c>
      <c r="E783" s="36">
        <v>112</v>
      </c>
      <c r="F783" s="38">
        <v>24262560</v>
      </c>
      <c r="G783" s="39" t="s">
        <v>3157</v>
      </c>
      <c r="H783" s="12"/>
      <c r="L783" s="12"/>
    </row>
    <row r="784" spans="1:12" ht="15.75" customHeight="1" x14ac:dyDescent="0.3">
      <c r="A784" s="17" t="s">
        <v>505</v>
      </c>
      <c r="B784" s="50" t="str">
        <f>VLOOKUP(A784,'Sales Order'!A$2:B$1029,1,0)</f>
        <v>SO0267</v>
      </c>
      <c r="C784" s="29" t="s">
        <v>58</v>
      </c>
      <c r="D784" s="50" t="str">
        <f>VLOOKUP(C784,Product!A$2:B$21,1,0)</f>
        <v>PD0012</v>
      </c>
      <c r="E784" s="36">
        <v>145</v>
      </c>
      <c r="F784" s="38">
        <v>629594350</v>
      </c>
      <c r="G784" s="39" t="s">
        <v>3158</v>
      </c>
      <c r="H784" s="12"/>
      <c r="L784" s="12"/>
    </row>
    <row r="785" spans="1:12" ht="15.75" customHeight="1" x14ac:dyDescent="0.3">
      <c r="A785" s="29" t="s">
        <v>505</v>
      </c>
      <c r="B785" s="50" t="str">
        <f>VLOOKUP(A785,'Sales Order'!A$2:B$1029,1,0)</f>
        <v>SO0267</v>
      </c>
      <c r="C785" s="29" t="s">
        <v>83</v>
      </c>
      <c r="D785" s="50" t="str">
        <f>VLOOKUP(C785,Product!A$2:B$21,1,0)</f>
        <v>PD0020</v>
      </c>
      <c r="E785" s="36">
        <v>132</v>
      </c>
      <c r="F785" s="38">
        <v>34321320</v>
      </c>
      <c r="G785" s="39" t="s">
        <v>3159</v>
      </c>
      <c r="H785" s="12"/>
      <c r="L785" s="12"/>
    </row>
    <row r="786" spans="1:12" ht="15.75" customHeight="1" x14ac:dyDescent="0.3">
      <c r="A786" s="29" t="s">
        <v>505</v>
      </c>
      <c r="B786" s="50" t="str">
        <f>VLOOKUP(A786,'Sales Order'!A$2:B$1029,1,0)</f>
        <v>SO0267</v>
      </c>
      <c r="C786" s="29" t="s">
        <v>28</v>
      </c>
      <c r="D786" s="50" t="str">
        <f>VLOOKUP(C786,Product!A$2:B$21,1,0)</f>
        <v>PD0003</v>
      </c>
      <c r="E786" s="36">
        <v>50</v>
      </c>
      <c r="F786" s="38">
        <v>43291500</v>
      </c>
      <c r="G786" s="39" t="s">
        <v>3160</v>
      </c>
      <c r="H786" s="12"/>
      <c r="L786" s="12"/>
    </row>
    <row r="787" spans="1:12" ht="15.75" customHeight="1" x14ac:dyDescent="0.3">
      <c r="A787" s="29" t="s">
        <v>505</v>
      </c>
      <c r="B787" s="50" t="str">
        <f>VLOOKUP(A787,'Sales Order'!A$2:B$1029,1,0)</f>
        <v>SO0267</v>
      </c>
      <c r="C787" s="29" t="s">
        <v>65</v>
      </c>
      <c r="D787" s="50" t="str">
        <f>VLOOKUP(C787,Product!A$2:B$21,1,0)</f>
        <v>PD0014</v>
      </c>
      <c r="E787" s="36">
        <v>36</v>
      </c>
      <c r="F787" s="38">
        <v>7689600</v>
      </c>
      <c r="G787" s="39" t="s">
        <v>3161</v>
      </c>
      <c r="H787" s="12"/>
      <c r="L787" s="12"/>
    </row>
    <row r="788" spans="1:12" ht="15.75" customHeight="1" x14ac:dyDescent="0.3">
      <c r="A788" s="17" t="s">
        <v>506</v>
      </c>
      <c r="B788" s="50" t="str">
        <f>VLOOKUP(A788,'Sales Order'!A$2:B$1029,1,0)</f>
        <v>SO0268</v>
      </c>
      <c r="C788" s="29" t="s">
        <v>78</v>
      </c>
      <c r="D788" s="50" t="str">
        <f>VLOOKUP(C788,Product!A$2:B$21,1,0)</f>
        <v>PD0018</v>
      </c>
      <c r="E788" s="36">
        <v>116</v>
      </c>
      <c r="F788" s="38">
        <v>54923680</v>
      </c>
      <c r="G788" s="39" t="s">
        <v>3162</v>
      </c>
      <c r="H788" s="12"/>
      <c r="L788" s="12"/>
    </row>
    <row r="789" spans="1:12" ht="15.75" customHeight="1" x14ac:dyDescent="0.3">
      <c r="A789" s="29" t="s">
        <v>506</v>
      </c>
      <c r="B789" s="50" t="str">
        <f>VLOOKUP(A789,'Sales Order'!A$2:B$1029,1,0)</f>
        <v>SO0268</v>
      </c>
      <c r="C789" s="29" t="s">
        <v>28</v>
      </c>
      <c r="D789" s="50" t="str">
        <f>VLOOKUP(C789,Product!A$2:B$21,1,0)</f>
        <v>PD0003</v>
      </c>
      <c r="E789" s="36">
        <v>44</v>
      </c>
      <c r="F789" s="38">
        <v>32771200</v>
      </c>
      <c r="G789" s="39" t="s">
        <v>3163</v>
      </c>
      <c r="H789" s="12"/>
      <c r="L789" s="12"/>
    </row>
    <row r="790" spans="1:12" ht="15.75" customHeight="1" x14ac:dyDescent="0.3">
      <c r="A790" s="29" t="s">
        <v>506</v>
      </c>
      <c r="B790" s="50" t="str">
        <f>VLOOKUP(A790,'Sales Order'!A$2:B$1029,1,0)</f>
        <v>SO0268</v>
      </c>
      <c r="C790" s="29" t="s">
        <v>25</v>
      </c>
      <c r="D790" s="50" t="str">
        <f>VLOOKUP(C790,Product!A$2:B$21,1,0)</f>
        <v>PD0002</v>
      </c>
      <c r="E790" s="36">
        <v>99</v>
      </c>
      <c r="F790" s="38">
        <v>1782000</v>
      </c>
      <c r="G790" s="39" t="s">
        <v>3164</v>
      </c>
      <c r="H790" s="12"/>
      <c r="L790" s="12"/>
    </row>
    <row r="791" spans="1:12" ht="15.75" customHeight="1" x14ac:dyDescent="0.3">
      <c r="A791" s="29" t="s">
        <v>506</v>
      </c>
      <c r="B791" s="50" t="str">
        <f>VLOOKUP(A791,'Sales Order'!A$2:B$1029,1,0)</f>
        <v>SO0268</v>
      </c>
      <c r="C791" s="29" t="s">
        <v>52</v>
      </c>
      <c r="D791" s="50" t="str">
        <f>VLOOKUP(C791,Product!A$2:B$21,1,0)</f>
        <v>PD0010</v>
      </c>
      <c r="E791" s="36">
        <v>134</v>
      </c>
      <c r="F791" s="38">
        <v>40937000</v>
      </c>
      <c r="G791" s="39" t="s">
        <v>3165</v>
      </c>
      <c r="H791" s="12"/>
      <c r="L791" s="12"/>
    </row>
    <row r="792" spans="1:12" ht="15.75" customHeight="1" x14ac:dyDescent="0.3">
      <c r="A792" s="29" t="s">
        <v>506</v>
      </c>
      <c r="B792" s="50" t="str">
        <f>VLOOKUP(A792,'Sales Order'!A$2:B$1029,1,0)</f>
        <v>SO0268</v>
      </c>
      <c r="C792" s="29" t="s">
        <v>45</v>
      </c>
      <c r="D792" s="50" t="str">
        <f>VLOOKUP(C792,Product!A$2:B$21,1,0)</f>
        <v>PD0008</v>
      </c>
      <c r="E792" s="36">
        <v>130</v>
      </c>
      <c r="F792" s="38">
        <v>18014100</v>
      </c>
      <c r="G792" s="39" t="s">
        <v>3166</v>
      </c>
      <c r="H792" s="12"/>
      <c r="L792" s="12"/>
    </row>
    <row r="793" spans="1:12" ht="15.75" customHeight="1" x14ac:dyDescent="0.3">
      <c r="A793" s="29" t="s">
        <v>507</v>
      </c>
      <c r="B793" s="50" t="str">
        <f>VLOOKUP(A793,'Sales Order'!A$2:B$1029,1,0)</f>
        <v>SO0269</v>
      </c>
      <c r="C793" s="29" t="s">
        <v>52</v>
      </c>
      <c r="D793" s="50" t="str">
        <f>VLOOKUP(C793,Product!A$2:B$21,1,0)</f>
        <v>PD0010</v>
      </c>
      <c r="E793" s="36">
        <v>140</v>
      </c>
      <c r="F793" s="38">
        <v>39585000</v>
      </c>
      <c r="G793" s="39" t="s">
        <v>3167</v>
      </c>
      <c r="H793" s="12"/>
      <c r="L793" s="12"/>
    </row>
    <row r="794" spans="1:12" ht="15.75" customHeight="1" x14ac:dyDescent="0.3">
      <c r="A794" s="29" t="s">
        <v>507</v>
      </c>
      <c r="B794" s="50" t="str">
        <f>VLOOKUP(A794,'Sales Order'!A$2:B$1029,1,0)</f>
        <v>SO0269</v>
      </c>
      <c r="C794" s="29" t="s">
        <v>83</v>
      </c>
      <c r="D794" s="50" t="str">
        <f>VLOOKUP(C794,Product!A$2:B$21,1,0)</f>
        <v>PD0020</v>
      </c>
      <c r="E794" s="36">
        <v>93</v>
      </c>
      <c r="F794" s="38">
        <v>26270640</v>
      </c>
      <c r="G794" s="39" t="s">
        <v>3168</v>
      </c>
      <c r="H794" s="12"/>
      <c r="L794" s="12"/>
    </row>
    <row r="795" spans="1:12" ht="15.75" customHeight="1" x14ac:dyDescent="0.3">
      <c r="A795" s="17" t="s">
        <v>508</v>
      </c>
      <c r="B795" s="50" t="str">
        <f>VLOOKUP(A795,'Sales Order'!A$2:B$1029,1,0)</f>
        <v>SO0270</v>
      </c>
      <c r="C795" s="29" t="s">
        <v>40</v>
      </c>
      <c r="D795" s="50" t="str">
        <f>VLOOKUP(C795,Product!A$2:B$21,1,0)</f>
        <v>PD0006</v>
      </c>
      <c r="E795" s="36">
        <v>98</v>
      </c>
      <c r="F795" s="38">
        <v>16795240</v>
      </c>
      <c r="G795" s="39" t="s">
        <v>3169</v>
      </c>
      <c r="H795" s="12"/>
      <c r="L795" s="12"/>
    </row>
    <row r="796" spans="1:12" ht="15.75" customHeight="1" x14ac:dyDescent="0.3">
      <c r="A796" s="17" t="s">
        <v>509</v>
      </c>
      <c r="B796" s="50" t="str">
        <f>VLOOKUP(A796,'Sales Order'!A$2:B$1029,1,0)</f>
        <v>SO0271</v>
      </c>
      <c r="C796" s="29" t="s">
        <v>33</v>
      </c>
      <c r="D796" s="50" t="str">
        <f>VLOOKUP(C796,Product!A$2:B$21,1,0)</f>
        <v>PD0004</v>
      </c>
      <c r="E796" s="36">
        <v>103</v>
      </c>
      <c r="F796" s="38">
        <v>19714200</v>
      </c>
      <c r="G796" s="39" t="s">
        <v>3170</v>
      </c>
      <c r="H796" s="12"/>
      <c r="L796" s="12"/>
    </row>
    <row r="797" spans="1:12" ht="15.75" customHeight="1" x14ac:dyDescent="0.3">
      <c r="A797" s="29" t="s">
        <v>509</v>
      </c>
      <c r="B797" s="50" t="str">
        <f>VLOOKUP(A797,'Sales Order'!A$2:B$1029,1,0)</f>
        <v>SO0271</v>
      </c>
      <c r="C797" s="29" t="s">
        <v>40</v>
      </c>
      <c r="D797" s="50" t="str">
        <f>VLOOKUP(C797,Product!A$2:B$21,1,0)</f>
        <v>PD0006</v>
      </c>
      <c r="E797" s="36">
        <v>86</v>
      </c>
      <c r="F797" s="38">
        <v>17075300</v>
      </c>
      <c r="G797" s="39" t="s">
        <v>3171</v>
      </c>
      <c r="H797" s="12"/>
      <c r="L797" s="12"/>
    </row>
    <row r="798" spans="1:12" ht="15.75" customHeight="1" x14ac:dyDescent="0.3">
      <c r="A798" s="29" t="s">
        <v>509</v>
      </c>
      <c r="B798" s="50" t="str">
        <f>VLOOKUP(A798,'Sales Order'!A$2:B$1029,1,0)</f>
        <v>SO0271</v>
      </c>
      <c r="C798" s="29" t="s">
        <v>45</v>
      </c>
      <c r="D798" s="50" t="str">
        <f>VLOOKUP(C798,Product!A$2:B$21,1,0)</f>
        <v>PD0008</v>
      </c>
      <c r="E798" s="36">
        <v>91</v>
      </c>
      <c r="F798" s="38">
        <v>10711610</v>
      </c>
      <c r="G798" s="39" t="s">
        <v>3172</v>
      </c>
      <c r="H798" s="12"/>
      <c r="L798" s="12"/>
    </row>
    <row r="799" spans="1:12" ht="15.75" customHeight="1" x14ac:dyDescent="0.3">
      <c r="A799" s="29" t="s">
        <v>509</v>
      </c>
      <c r="B799" s="50" t="str">
        <f>VLOOKUP(A799,'Sales Order'!A$2:B$1029,1,0)</f>
        <v>SO0271</v>
      </c>
      <c r="C799" s="29" t="s">
        <v>75</v>
      </c>
      <c r="D799" s="50" t="str">
        <f>VLOOKUP(C799,Product!A$2:B$21,1,0)</f>
        <v>PD0017</v>
      </c>
      <c r="E799" s="36">
        <v>138</v>
      </c>
      <c r="F799" s="38">
        <v>321816000</v>
      </c>
      <c r="G799" s="39" t="s">
        <v>3173</v>
      </c>
      <c r="H799" s="12"/>
      <c r="L799" s="12"/>
    </row>
    <row r="800" spans="1:12" ht="15.75" customHeight="1" x14ac:dyDescent="0.3">
      <c r="A800" s="17" t="s">
        <v>510</v>
      </c>
      <c r="B800" s="50" t="str">
        <f>VLOOKUP(A800,'Sales Order'!A$2:B$1029,1,0)</f>
        <v>SO0272</v>
      </c>
      <c r="C800" s="29" t="s">
        <v>35</v>
      </c>
      <c r="D800" s="50" t="str">
        <f>VLOOKUP(C800,Product!A$2:B$21,1,0)</f>
        <v>PD0005</v>
      </c>
      <c r="E800" s="36">
        <v>125</v>
      </c>
      <c r="F800" s="38">
        <v>222243750</v>
      </c>
      <c r="G800" s="39" t="s">
        <v>3174</v>
      </c>
      <c r="H800" s="12"/>
      <c r="L800" s="12"/>
    </row>
    <row r="801" spans="1:12" ht="15.75" customHeight="1" x14ac:dyDescent="0.3">
      <c r="A801" s="29" t="s">
        <v>510</v>
      </c>
      <c r="B801" s="50" t="str">
        <f>VLOOKUP(A801,'Sales Order'!A$2:B$1029,1,0)</f>
        <v>SO0272</v>
      </c>
      <c r="C801" s="29" t="s">
        <v>69</v>
      </c>
      <c r="D801" s="50" t="str">
        <f>VLOOKUP(C801,Product!A$2:B$21,1,0)</f>
        <v>PD0015</v>
      </c>
      <c r="E801" s="36">
        <v>89</v>
      </c>
      <c r="F801" s="38">
        <v>10159884</v>
      </c>
      <c r="G801" s="39" t="s">
        <v>3175</v>
      </c>
      <c r="H801" s="12"/>
      <c r="L801" s="12"/>
    </row>
    <row r="802" spans="1:12" ht="15.75" customHeight="1" x14ac:dyDescent="0.3">
      <c r="A802" s="17" t="s">
        <v>511</v>
      </c>
      <c r="B802" s="50" t="str">
        <f>VLOOKUP(A802,'Sales Order'!A$2:B$1029,1,0)</f>
        <v>SO0273</v>
      </c>
      <c r="C802" s="29" t="s">
        <v>28</v>
      </c>
      <c r="D802" s="50" t="str">
        <f>VLOOKUP(C802,Product!A$2:B$21,1,0)</f>
        <v>PD0003</v>
      </c>
      <c r="E802" s="36">
        <v>74</v>
      </c>
      <c r="F802" s="38">
        <v>65449300</v>
      </c>
      <c r="G802" s="39" t="s">
        <v>3176</v>
      </c>
      <c r="H802" s="12"/>
      <c r="L802" s="12"/>
    </row>
    <row r="803" spans="1:12" ht="15.75" customHeight="1" x14ac:dyDescent="0.3">
      <c r="A803" s="29" t="s">
        <v>511</v>
      </c>
      <c r="B803" s="50" t="str">
        <f>VLOOKUP(A803,'Sales Order'!A$2:B$1029,1,0)</f>
        <v>SO0273</v>
      </c>
      <c r="C803" s="29" t="s">
        <v>58</v>
      </c>
      <c r="D803" s="50" t="str">
        <f>VLOOKUP(C803,Product!A$2:B$21,1,0)</f>
        <v>PD0012</v>
      </c>
      <c r="E803" s="36">
        <v>38</v>
      </c>
      <c r="F803" s="38">
        <v>182139700</v>
      </c>
      <c r="G803" s="39" t="s">
        <v>3177</v>
      </c>
      <c r="H803" s="12"/>
      <c r="L803" s="12"/>
    </row>
    <row r="804" spans="1:12" ht="15.75" customHeight="1" x14ac:dyDescent="0.3">
      <c r="A804" s="29" t="s">
        <v>511</v>
      </c>
      <c r="B804" s="50" t="str">
        <f>VLOOKUP(A804,'Sales Order'!A$2:B$1029,1,0)</f>
        <v>SO0273</v>
      </c>
      <c r="C804" s="29" t="s">
        <v>52</v>
      </c>
      <c r="D804" s="50" t="str">
        <f>VLOOKUP(C804,Product!A$2:B$21,1,0)</f>
        <v>PD0010</v>
      </c>
      <c r="E804" s="36">
        <v>102</v>
      </c>
      <c r="F804" s="38">
        <v>30829499.999999996</v>
      </c>
      <c r="G804" s="39" t="s">
        <v>3178</v>
      </c>
      <c r="H804" s="12"/>
      <c r="L804" s="12"/>
    </row>
    <row r="805" spans="1:12" ht="15.75" customHeight="1" x14ac:dyDescent="0.3">
      <c r="A805" s="29" t="s">
        <v>511</v>
      </c>
      <c r="B805" s="50" t="str">
        <f>VLOOKUP(A805,'Sales Order'!A$2:B$1029,1,0)</f>
        <v>SO0273</v>
      </c>
      <c r="C805" s="29" t="s">
        <v>48</v>
      </c>
      <c r="D805" s="50" t="str">
        <f>VLOOKUP(C805,Product!A$2:B$21,1,0)</f>
        <v>PD0009</v>
      </c>
      <c r="E805" s="36">
        <v>138</v>
      </c>
      <c r="F805" s="38">
        <v>14241600</v>
      </c>
      <c r="G805" s="39" t="s">
        <v>3179</v>
      </c>
      <c r="H805" s="12"/>
      <c r="L805" s="12"/>
    </row>
    <row r="806" spans="1:12" ht="15.75" customHeight="1" x14ac:dyDescent="0.3">
      <c r="A806" s="17" t="s">
        <v>512</v>
      </c>
      <c r="B806" s="50" t="str">
        <f>VLOOKUP(A806,'Sales Order'!A$2:B$1029,1,0)</f>
        <v>SO0274</v>
      </c>
      <c r="C806" s="29" t="s">
        <v>52</v>
      </c>
      <c r="D806" s="50" t="str">
        <f>VLOOKUP(C806,Product!A$2:B$21,1,0)</f>
        <v>PD0010</v>
      </c>
      <c r="E806" s="36">
        <v>54</v>
      </c>
      <c r="F806" s="38">
        <v>16672500</v>
      </c>
      <c r="G806" s="39" t="s">
        <v>3180</v>
      </c>
      <c r="H806" s="12"/>
      <c r="L806" s="12"/>
    </row>
    <row r="807" spans="1:12" ht="15.75" customHeight="1" x14ac:dyDescent="0.3">
      <c r="A807" s="29" t="s">
        <v>512</v>
      </c>
      <c r="B807" s="50" t="str">
        <f>VLOOKUP(A807,'Sales Order'!A$2:B$1029,1,0)</f>
        <v>SO0274</v>
      </c>
      <c r="C807" s="29" t="s">
        <v>72</v>
      </c>
      <c r="D807" s="50" t="str">
        <f>VLOOKUP(C807,Product!A$2:B$21,1,0)</f>
        <v>PD0016</v>
      </c>
      <c r="E807" s="36">
        <v>32</v>
      </c>
      <c r="F807" s="38">
        <v>6920640</v>
      </c>
      <c r="G807" s="39" t="s">
        <v>3181</v>
      </c>
      <c r="H807" s="12"/>
      <c r="L807" s="12"/>
    </row>
    <row r="808" spans="1:12" ht="15.75" customHeight="1" x14ac:dyDescent="0.3">
      <c r="A808" s="17" t="s">
        <v>514</v>
      </c>
      <c r="B808" s="50" t="str">
        <f>VLOOKUP(A808,'Sales Order'!A$2:B$1029,1,0)</f>
        <v>SO0276</v>
      </c>
      <c r="C808" s="29" t="s">
        <v>55</v>
      </c>
      <c r="D808" s="50" t="str">
        <f>VLOOKUP(C808,Product!A$2:B$21,1,0)</f>
        <v>PD0011</v>
      </c>
      <c r="E808" s="36">
        <v>98</v>
      </c>
      <c r="F808" s="38">
        <v>184945600</v>
      </c>
      <c r="G808" s="39" t="s">
        <v>3182</v>
      </c>
      <c r="H808" s="12"/>
      <c r="L808" s="12"/>
    </row>
    <row r="809" spans="1:12" ht="15.75" customHeight="1" x14ac:dyDescent="0.3">
      <c r="A809" s="29" t="s">
        <v>514</v>
      </c>
      <c r="B809" s="50" t="str">
        <f>VLOOKUP(A809,'Sales Order'!A$2:B$1029,1,0)</f>
        <v>SO0276</v>
      </c>
      <c r="C809" s="29" t="s">
        <v>83</v>
      </c>
      <c r="D809" s="50" t="str">
        <f>VLOOKUP(C809,Product!A$2:B$21,1,0)</f>
        <v>PD0020</v>
      </c>
      <c r="E809" s="36">
        <v>126</v>
      </c>
      <c r="F809" s="38">
        <v>36805860</v>
      </c>
      <c r="G809" s="39" t="s">
        <v>3183</v>
      </c>
      <c r="H809" s="12"/>
      <c r="L809" s="12"/>
    </row>
    <row r="810" spans="1:12" ht="15.75" customHeight="1" x14ac:dyDescent="0.3">
      <c r="A810" s="29" t="s">
        <v>514</v>
      </c>
      <c r="B810" s="50" t="str">
        <f>VLOOKUP(A810,'Sales Order'!A$2:B$1029,1,0)</f>
        <v>SO0276</v>
      </c>
      <c r="C810" s="29" t="s">
        <v>81</v>
      </c>
      <c r="D810" s="50" t="str">
        <f>VLOOKUP(C810,Product!A$2:B$21,1,0)</f>
        <v>PD0019</v>
      </c>
      <c r="E810" s="36">
        <v>144</v>
      </c>
      <c r="F810" s="38">
        <v>319338720</v>
      </c>
      <c r="G810" s="39" t="s">
        <v>3184</v>
      </c>
      <c r="H810" s="12"/>
      <c r="L810" s="12"/>
    </row>
    <row r="811" spans="1:12" ht="15.75" customHeight="1" x14ac:dyDescent="0.3">
      <c r="A811" s="17" t="s">
        <v>515</v>
      </c>
      <c r="B811" s="50" t="str">
        <f>VLOOKUP(A811,'Sales Order'!A$2:B$1029,1,0)</f>
        <v>SO0277</v>
      </c>
      <c r="C811" s="29" t="s">
        <v>45</v>
      </c>
      <c r="D811" s="50" t="str">
        <f>VLOOKUP(C811,Product!A$2:B$21,1,0)</f>
        <v>PD0008</v>
      </c>
      <c r="E811" s="36">
        <v>150</v>
      </c>
      <c r="F811" s="38">
        <v>18997500</v>
      </c>
      <c r="G811" s="39" t="s">
        <v>3185</v>
      </c>
      <c r="H811" s="12"/>
      <c r="L811" s="12"/>
    </row>
    <row r="812" spans="1:12" ht="15.75" customHeight="1" x14ac:dyDescent="0.3">
      <c r="A812" s="29" t="s">
        <v>515</v>
      </c>
      <c r="B812" s="50" t="str">
        <f>VLOOKUP(A812,'Sales Order'!A$2:B$1029,1,0)</f>
        <v>SO0277</v>
      </c>
      <c r="C812" s="29" t="s">
        <v>33</v>
      </c>
      <c r="D812" s="50" t="str">
        <f>VLOOKUP(C812,Product!A$2:B$21,1,0)</f>
        <v>PD0004</v>
      </c>
      <c r="E812" s="36">
        <v>35</v>
      </c>
      <c r="F812" s="38">
        <v>6006000</v>
      </c>
      <c r="G812" s="39" t="s">
        <v>3186</v>
      </c>
      <c r="H812" s="12"/>
      <c r="L812" s="12"/>
    </row>
    <row r="813" spans="1:12" ht="15.75" customHeight="1" x14ac:dyDescent="0.3">
      <c r="A813" s="29" t="s">
        <v>515</v>
      </c>
      <c r="B813" s="50" t="str">
        <f>VLOOKUP(A813,'Sales Order'!A$2:B$1029,1,0)</f>
        <v>SO0277</v>
      </c>
      <c r="C813" s="29" t="s">
        <v>78</v>
      </c>
      <c r="D813" s="50" t="str">
        <f>VLOOKUP(C813,Product!A$2:B$21,1,0)</f>
        <v>PD0018</v>
      </c>
      <c r="E813" s="36">
        <v>99</v>
      </c>
      <c r="F813" s="38">
        <v>50034600</v>
      </c>
      <c r="G813" s="39" t="s">
        <v>3187</v>
      </c>
      <c r="H813" s="12"/>
      <c r="L813" s="12"/>
    </row>
    <row r="814" spans="1:12" ht="15.75" customHeight="1" x14ac:dyDescent="0.3">
      <c r="A814" s="29" t="s">
        <v>515</v>
      </c>
      <c r="B814" s="50" t="str">
        <f>VLOOKUP(A814,'Sales Order'!A$2:B$1029,1,0)</f>
        <v>SO0277</v>
      </c>
      <c r="C814" s="29" t="s">
        <v>61</v>
      </c>
      <c r="D814" s="50" t="str">
        <f>VLOOKUP(C814,Product!A$2:B$21,1,0)</f>
        <v>PD0013</v>
      </c>
      <c r="E814" s="36">
        <v>77</v>
      </c>
      <c r="F814" s="38">
        <v>29137570</v>
      </c>
      <c r="G814" s="39" t="s">
        <v>3188</v>
      </c>
      <c r="H814" s="12"/>
      <c r="L814" s="12"/>
    </row>
    <row r="815" spans="1:12" ht="15.75" customHeight="1" x14ac:dyDescent="0.3">
      <c r="A815" s="17" t="s">
        <v>516</v>
      </c>
      <c r="B815" s="50" t="str">
        <f>VLOOKUP(A815,'Sales Order'!A$2:B$1029,1,0)</f>
        <v>SO0278</v>
      </c>
      <c r="C815" s="29" t="s">
        <v>58</v>
      </c>
      <c r="D815" s="50" t="str">
        <f>VLOOKUP(C815,Product!A$2:B$21,1,0)</f>
        <v>PD0012</v>
      </c>
      <c r="E815" s="36">
        <v>112</v>
      </c>
      <c r="F815" s="38">
        <v>581042560</v>
      </c>
      <c r="G815" s="39" t="s">
        <v>3189</v>
      </c>
      <c r="H815" s="12"/>
      <c r="L815" s="12"/>
    </row>
    <row r="816" spans="1:12" ht="15.75" customHeight="1" x14ac:dyDescent="0.3">
      <c r="A816" s="29" t="s">
        <v>516</v>
      </c>
      <c r="B816" s="50" t="str">
        <f>VLOOKUP(A816,'Sales Order'!A$2:B$1029,1,0)</f>
        <v>SO0278</v>
      </c>
      <c r="C816" s="29" t="s">
        <v>43</v>
      </c>
      <c r="D816" s="50" t="str">
        <f>VLOOKUP(C816,Product!A$2:B$21,1,0)</f>
        <v>PD0007</v>
      </c>
      <c r="E816" s="36">
        <v>46</v>
      </c>
      <c r="F816" s="38">
        <v>135424000</v>
      </c>
      <c r="G816" s="39" t="s">
        <v>3190</v>
      </c>
      <c r="H816" s="12"/>
      <c r="L816" s="12"/>
    </row>
    <row r="817" spans="1:12" ht="15.75" customHeight="1" x14ac:dyDescent="0.3">
      <c r="A817" s="29" t="s">
        <v>516</v>
      </c>
      <c r="B817" s="50" t="str">
        <f>VLOOKUP(A817,'Sales Order'!A$2:B$1029,1,0)</f>
        <v>SO0278</v>
      </c>
      <c r="C817" s="29" t="s">
        <v>35</v>
      </c>
      <c r="D817" s="50" t="str">
        <f>VLOOKUP(C817,Product!A$2:B$21,1,0)</f>
        <v>PD0005</v>
      </c>
      <c r="E817" s="36">
        <v>124</v>
      </c>
      <c r="F817" s="38">
        <v>225909400</v>
      </c>
      <c r="G817" s="39" t="s">
        <v>3191</v>
      </c>
      <c r="H817" s="12"/>
      <c r="L817" s="12"/>
    </row>
    <row r="818" spans="1:12" ht="15.75" customHeight="1" x14ac:dyDescent="0.3">
      <c r="A818" s="29" t="s">
        <v>516</v>
      </c>
      <c r="B818" s="50" t="str">
        <f>VLOOKUP(A818,'Sales Order'!A$2:B$1029,1,0)</f>
        <v>SO0278</v>
      </c>
      <c r="C818" s="29" t="s">
        <v>78</v>
      </c>
      <c r="D818" s="50" t="str">
        <f>VLOOKUP(C818,Product!A$2:B$21,1,0)</f>
        <v>PD0018</v>
      </c>
      <c r="E818" s="36">
        <v>135</v>
      </c>
      <c r="F818" s="38">
        <v>58174200.000000007</v>
      </c>
      <c r="G818" s="39" t="s">
        <v>3192</v>
      </c>
      <c r="H818" s="12"/>
      <c r="L818" s="12"/>
    </row>
    <row r="819" spans="1:12" ht="15.75" customHeight="1" x14ac:dyDescent="0.3">
      <c r="A819" s="17" t="s">
        <v>517</v>
      </c>
      <c r="B819" s="50" t="str">
        <f>VLOOKUP(A819,'Sales Order'!A$2:B$1029,1,0)</f>
        <v>SO0279</v>
      </c>
      <c r="C819" s="29" t="s">
        <v>55</v>
      </c>
      <c r="D819" s="50" t="str">
        <f>VLOOKUP(C819,Product!A$2:B$21,1,0)</f>
        <v>PD0011</v>
      </c>
      <c r="E819" s="36">
        <v>87</v>
      </c>
      <c r="F819" s="38">
        <v>158029410</v>
      </c>
      <c r="G819" s="39" t="s">
        <v>3193</v>
      </c>
      <c r="H819" s="12"/>
      <c r="L819" s="12"/>
    </row>
    <row r="820" spans="1:12" ht="15.75" customHeight="1" x14ac:dyDescent="0.3">
      <c r="A820" s="29" t="s">
        <v>517</v>
      </c>
      <c r="B820" s="50" t="str">
        <f>VLOOKUP(A820,'Sales Order'!A$2:B$1029,1,0)</f>
        <v>SO0279</v>
      </c>
      <c r="C820" s="29" t="s">
        <v>35</v>
      </c>
      <c r="D820" s="50" t="str">
        <f>VLOOKUP(C820,Product!A$2:B$21,1,0)</f>
        <v>PD0005</v>
      </c>
      <c r="E820" s="36">
        <v>120</v>
      </c>
      <c r="F820" s="38">
        <v>221256000</v>
      </c>
      <c r="G820" s="39" t="s">
        <v>3194</v>
      </c>
      <c r="H820" s="12"/>
      <c r="L820" s="12"/>
    </row>
    <row r="821" spans="1:12" ht="15.75" customHeight="1" x14ac:dyDescent="0.3">
      <c r="A821" s="29" t="s">
        <v>517</v>
      </c>
      <c r="B821" s="50" t="str">
        <f>VLOOKUP(A821,'Sales Order'!A$2:B$1029,1,0)</f>
        <v>SO0279</v>
      </c>
      <c r="C821" s="29" t="s">
        <v>33</v>
      </c>
      <c r="D821" s="50" t="str">
        <f>VLOOKUP(C821,Product!A$2:B$21,1,0)</f>
        <v>PD0004</v>
      </c>
      <c r="E821" s="36">
        <v>136</v>
      </c>
      <c r="F821" s="38">
        <v>28124800</v>
      </c>
      <c r="G821" s="39" t="s">
        <v>3195</v>
      </c>
      <c r="H821" s="12"/>
      <c r="L821" s="12"/>
    </row>
    <row r="822" spans="1:12" ht="15.75" customHeight="1" x14ac:dyDescent="0.3">
      <c r="A822" s="17" t="s">
        <v>518</v>
      </c>
      <c r="B822" s="50" t="str">
        <f>VLOOKUP(A822,'Sales Order'!A$2:B$1029,1,0)</f>
        <v>SO0280</v>
      </c>
      <c r="C822" s="29" t="s">
        <v>33</v>
      </c>
      <c r="D822" s="50" t="str">
        <f>VLOOKUP(C822,Product!A$2:B$21,1,0)</f>
        <v>PD0004</v>
      </c>
      <c r="E822" s="36">
        <v>44</v>
      </c>
      <c r="F822" s="38">
        <v>8034400</v>
      </c>
      <c r="G822" s="39" t="s">
        <v>3196</v>
      </c>
      <c r="H822" s="12"/>
      <c r="L822" s="12"/>
    </row>
    <row r="823" spans="1:12" ht="15.75" customHeight="1" x14ac:dyDescent="0.3">
      <c r="A823" s="29" t="s">
        <v>518</v>
      </c>
      <c r="B823" s="50" t="str">
        <f>VLOOKUP(A823,'Sales Order'!A$2:B$1029,1,0)</f>
        <v>SO0280</v>
      </c>
      <c r="C823" s="29" t="s">
        <v>19</v>
      </c>
      <c r="D823" s="50" t="str">
        <f>VLOOKUP(C823,Product!A$2:B$21,1,0)</f>
        <v>PD0001</v>
      </c>
      <c r="E823" s="36">
        <v>59</v>
      </c>
      <c r="F823" s="38">
        <v>13662630</v>
      </c>
      <c r="G823" s="39" t="s">
        <v>3197</v>
      </c>
      <c r="H823" s="12"/>
      <c r="L823" s="12"/>
    </row>
    <row r="824" spans="1:12" ht="15.75" customHeight="1" x14ac:dyDescent="0.3">
      <c r="A824" s="29" t="s">
        <v>518</v>
      </c>
      <c r="B824" s="50" t="str">
        <f>VLOOKUP(A824,'Sales Order'!A$2:B$1029,1,0)</f>
        <v>SO0280</v>
      </c>
      <c r="C824" s="29" t="s">
        <v>48</v>
      </c>
      <c r="D824" s="50" t="str">
        <f>VLOOKUP(C824,Product!A$2:B$21,1,0)</f>
        <v>PD0009</v>
      </c>
      <c r="E824" s="36">
        <v>85</v>
      </c>
      <c r="F824" s="38">
        <v>9758850</v>
      </c>
      <c r="G824" s="39" t="s">
        <v>3198</v>
      </c>
      <c r="H824" s="12"/>
      <c r="L824" s="12"/>
    </row>
    <row r="825" spans="1:12" ht="15.75" customHeight="1" x14ac:dyDescent="0.3">
      <c r="A825" s="17" t="s">
        <v>519</v>
      </c>
      <c r="B825" s="50" t="str">
        <f>VLOOKUP(A825,'Sales Order'!A$2:B$1029,1,0)</f>
        <v>SO0281</v>
      </c>
      <c r="C825" s="29" t="s">
        <v>52</v>
      </c>
      <c r="D825" s="50" t="str">
        <f>VLOOKUP(C825,Product!A$2:B$21,1,0)</f>
        <v>PD0010</v>
      </c>
      <c r="E825" s="36">
        <v>52</v>
      </c>
      <c r="F825" s="38">
        <v>14365000</v>
      </c>
      <c r="G825" s="39" t="s">
        <v>3199</v>
      </c>
      <c r="H825" s="12"/>
      <c r="L825" s="12"/>
    </row>
    <row r="826" spans="1:12" ht="15.75" customHeight="1" x14ac:dyDescent="0.3">
      <c r="A826" s="29" t="s">
        <v>519</v>
      </c>
      <c r="B826" s="50" t="str">
        <f>VLOOKUP(A826,'Sales Order'!A$2:B$1029,1,0)</f>
        <v>SO0281</v>
      </c>
      <c r="C826" s="29" t="s">
        <v>58</v>
      </c>
      <c r="D826" s="50" t="str">
        <f>VLOOKUP(C826,Product!A$2:B$21,1,0)</f>
        <v>PD0012</v>
      </c>
      <c r="E826" s="36">
        <v>84</v>
      </c>
      <c r="F826" s="38">
        <v>440518680</v>
      </c>
      <c r="G826" s="39" t="s">
        <v>3200</v>
      </c>
      <c r="H826" s="12"/>
      <c r="L826" s="12"/>
    </row>
    <row r="827" spans="1:12" ht="15.75" customHeight="1" x14ac:dyDescent="0.3">
      <c r="A827" s="29" t="s">
        <v>519</v>
      </c>
      <c r="B827" s="50" t="str">
        <f>VLOOKUP(A827,'Sales Order'!A$2:B$1029,1,0)</f>
        <v>SO0281</v>
      </c>
      <c r="C827" s="29" t="s">
        <v>81</v>
      </c>
      <c r="D827" s="50" t="str">
        <f>VLOOKUP(C827,Product!A$2:B$21,1,0)</f>
        <v>PD0019</v>
      </c>
      <c r="E827" s="36">
        <v>86</v>
      </c>
      <c r="F827" s="38">
        <v>197292600</v>
      </c>
      <c r="G827" s="39" t="s">
        <v>3201</v>
      </c>
      <c r="H827" s="12"/>
      <c r="L827" s="12"/>
    </row>
    <row r="828" spans="1:12" ht="15.75" customHeight="1" x14ac:dyDescent="0.3">
      <c r="A828" s="29" t="s">
        <v>519</v>
      </c>
      <c r="B828" s="50" t="str">
        <f>VLOOKUP(A828,'Sales Order'!A$2:B$1029,1,0)</f>
        <v>SO0281</v>
      </c>
      <c r="C828" s="29" t="s">
        <v>28</v>
      </c>
      <c r="D828" s="50" t="str">
        <f>VLOOKUP(C828,Product!A$2:B$21,1,0)</f>
        <v>PD0003</v>
      </c>
      <c r="E828" s="36">
        <v>33</v>
      </c>
      <c r="F828" s="38">
        <v>24271170</v>
      </c>
      <c r="G828" s="39" t="s">
        <v>3202</v>
      </c>
      <c r="H828" s="12"/>
      <c r="L828" s="12"/>
    </row>
    <row r="829" spans="1:12" ht="15.75" customHeight="1" x14ac:dyDescent="0.3">
      <c r="A829" s="29" t="s">
        <v>519</v>
      </c>
      <c r="B829" s="50" t="str">
        <f>VLOOKUP(A829,'Sales Order'!A$2:B$1029,1,0)</f>
        <v>SO0281</v>
      </c>
      <c r="C829" s="29" t="s">
        <v>69</v>
      </c>
      <c r="D829" s="50" t="str">
        <f>VLOOKUP(C829,Product!A$2:B$21,1,0)</f>
        <v>PD0015</v>
      </c>
      <c r="E829" s="36">
        <v>105</v>
      </c>
      <c r="F829" s="38">
        <v>10702125</v>
      </c>
      <c r="G829" s="39" t="s">
        <v>3203</v>
      </c>
      <c r="H829" s="12"/>
      <c r="L829" s="12"/>
    </row>
    <row r="830" spans="1:12" ht="15.75" customHeight="1" x14ac:dyDescent="0.3">
      <c r="A830" s="29" t="s">
        <v>519</v>
      </c>
      <c r="B830" s="50" t="str">
        <f>VLOOKUP(A830,'Sales Order'!A$2:B$1029,1,0)</f>
        <v>SO0281</v>
      </c>
      <c r="C830" s="29" t="s">
        <v>43</v>
      </c>
      <c r="D830" s="50" t="str">
        <f>VLOOKUP(C830,Product!A$2:B$21,1,0)</f>
        <v>PD0007</v>
      </c>
      <c r="E830" s="36">
        <v>139</v>
      </c>
      <c r="F830" s="38">
        <v>391424000</v>
      </c>
      <c r="G830" s="39" t="s">
        <v>3204</v>
      </c>
      <c r="H830" s="12"/>
      <c r="L830" s="12"/>
    </row>
    <row r="831" spans="1:12" ht="15.75" customHeight="1" x14ac:dyDescent="0.3">
      <c r="A831" s="29" t="s">
        <v>519</v>
      </c>
      <c r="B831" s="50" t="str">
        <f>VLOOKUP(A831,'Sales Order'!A$2:B$1029,1,0)</f>
        <v>SO0281</v>
      </c>
      <c r="C831" s="29" t="s">
        <v>19</v>
      </c>
      <c r="D831" s="50" t="str">
        <f>VLOOKUP(C831,Product!A$2:B$21,1,0)</f>
        <v>PD0001</v>
      </c>
      <c r="E831" s="36">
        <v>101</v>
      </c>
      <c r="F831" s="38">
        <v>20119200</v>
      </c>
      <c r="G831" s="39" t="s">
        <v>3205</v>
      </c>
      <c r="H831" s="12"/>
      <c r="L831" s="12"/>
    </row>
    <row r="832" spans="1:12" ht="15.75" customHeight="1" x14ac:dyDescent="0.3">
      <c r="A832" s="29" t="s">
        <v>520</v>
      </c>
      <c r="B832" s="50" t="str">
        <f>VLOOKUP(A832,'Sales Order'!A$2:B$1029,1,0)</f>
        <v>SO0282</v>
      </c>
      <c r="C832" s="29" t="s">
        <v>55</v>
      </c>
      <c r="D832" s="50" t="str">
        <f>VLOOKUP(C832,Product!A$2:B$21,1,0)</f>
        <v>PD0011</v>
      </c>
      <c r="E832" s="36">
        <v>48</v>
      </c>
      <c r="F832" s="38">
        <v>91717920</v>
      </c>
      <c r="G832" s="39" t="s">
        <v>3206</v>
      </c>
      <c r="H832" s="12"/>
      <c r="L832" s="12"/>
    </row>
    <row r="833" spans="1:12" ht="15.75" customHeight="1" x14ac:dyDescent="0.3">
      <c r="A833" s="17" t="s">
        <v>521</v>
      </c>
      <c r="B833" s="50" t="str">
        <f>VLOOKUP(A833,'Sales Order'!A$2:B$1029,1,0)</f>
        <v>SO0283</v>
      </c>
      <c r="C833" s="29" t="s">
        <v>43</v>
      </c>
      <c r="D833" s="50" t="str">
        <f>VLOOKUP(C833,Product!A$2:B$21,1,0)</f>
        <v>PD0007</v>
      </c>
      <c r="E833" s="36">
        <v>127</v>
      </c>
      <c r="F833" s="38">
        <v>316992000</v>
      </c>
      <c r="G833" s="39" t="s">
        <v>3207</v>
      </c>
      <c r="H833" s="12"/>
      <c r="L833" s="12"/>
    </row>
    <row r="834" spans="1:12" ht="15.75" customHeight="1" x14ac:dyDescent="0.3">
      <c r="A834" s="29" t="s">
        <v>521</v>
      </c>
      <c r="B834" s="50" t="str">
        <f>VLOOKUP(A834,'Sales Order'!A$2:B$1029,1,0)</f>
        <v>SO0283</v>
      </c>
      <c r="C834" s="29" t="s">
        <v>55</v>
      </c>
      <c r="D834" s="50" t="str">
        <f>VLOOKUP(C834,Product!A$2:B$21,1,0)</f>
        <v>PD0011</v>
      </c>
      <c r="E834" s="36">
        <v>95</v>
      </c>
      <c r="F834" s="38">
        <v>210658700</v>
      </c>
      <c r="G834" s="39" t="s">
        <v>3208</v>
      </c>
      <c r="H834" s="12"/>
      <c r="L834" s="12"/>
    </row>
    <row r="835" spans="1:12" ht="15.75" customHeight="1" x14ac:dyDescent="0.3">
      <c r="A835" s="29" t="s">
        <v>521</v>
      </c>
      <c r="B835" s="50" t="str">
        <f>VLOOKUP(A835,'Sales Order'!A$2:B$1029,1,0)</f>
        <v>SO0283</v>
      </c>
      <c r="C835" s="29" t="s">
        <v>33</v>
      </c>
      <c r="D835" s="50" t="str">
        <f>VLOOKUP(C835,Product!A$2:B$21,1,0)</f>
        <v>PD0004</v>
      </c>
      <c r="E835" s="36">
        <v>76</v>
      </c>
      <c r="F835" s="38">
        <v>14212000</v>
      </c>
      <c r="G835" s="39" t="s">
        <v>3209</v>
      </c>
      <c r="H835" s="12"/>
      <c r="L835" s="12"/>
    </row>
    <row r="836" spans="1:12" ht="15.75" customHeight="1" x14ac:dyDescent="0.3">
      <c r="A836" s="29" t="s">
        <v>521</v>
      </c>
      <c r="B836" s="50" t="str">
        <f>VLOOKUP(A836,'Sales Order'!A$2:B$1029,1,0)</f>
        <v>SO0283</v>
      </c>
      <c r="C836" s="29" t="s">
        <v>72</v>
      </c>
      <c r="D836" s="50" t="str">
        <f>VLOOKUP(C836,Product!A$2:B$21,1,0)</f>
        <v>PD0016</v>
      </c>
      <c r="E836" s="36">
        <v>144</v>
      </c>
      <c r="F836" s="38">
        <v>36525600</v>
      </c>
      <c r="G836" s="39" t="s">
        <v>3210</v>
      </c>
      <c r="H836" s="12"/>
      <c r="L836" s="12"/>
    </row>
    <row r="837" spans="1:12" ht="15.75" customHeight="1" x14ac:dyDescent="0.3">
      <c r="A837" s="29" t="s">
        <v>521</v>
      </c>
      <c r="B837" s="50" t="str">
        <f>VLOOKUP(A837,'Sales Order'!A$2:B$1029,1,0)</f>
        <v>SO0283</v>
      </c>
      <c r="C837" s="29" t="s">
        <v>58</v>
      </c>
      <c r="D837" s="50" t="str">
        <f>VLOOKUP(C837,Product!A$2:B$21,1,0)</f>
        <v>PD0012</v>
      </c>
      <c r="E837" s="36">
        <v>110</v>
      </c>
      <c r="F837" s="38">
        <v>539652300</v>
      </c>
      <c r="G837" s="39" t="s">
        <v>3211</v>
      </c>
      <c r="H837" s="12"/>
      <c r="L837" s="12"/>
    </row>
    <row r="838" spans="1:12" ht="15.75" customHeight="1" x14ac:dyDescent="0.3">
      <c r="A838" s="17" t="s">
        <v>522</v>
      </c>
      <c r="B838" s="50" t="str">
        <f>VLOOKUP(A838,'Sales Order'!A$2:B$1029,1,0)</f>
        <v>SO0284</v>
      </c>
      <c r="C838" s="29" t="s">
        <v>83</v>
      </c>
      <c r="D838" s="50" t="str">
        <f>VLOOKUP(C838,Product!A$2:B$21,1,0)</f>
        <v>PD0020</v>
      </c>
      <c r="E838" s="36">
        <v>131</v>
      </c>
      <c r="F838" s="38">
        <v>31958760</v>
      </c>
      <c r="G838" s="39" t="s">
        <v>3212</v>
      </c>
      <c r="H838" s="12"/>
      <c r="L838" s="12"/>
    </row>
    <row r="839" spans="1:12" ht="15.75" customHeight="1" x14ac:dyDescent="0.3">
      <c r="A839" s="29" t="s">
        <v>522</v>
      </c>
      <c r="B839" s="50" t="str">
        <f>VLOOKUP(A839,'Sales Order'!A$2:B$1029,1,0)</f>
        <v>SO0284</v>
      </c>
      <c r="C839" s="29" t="s">
        <v>35</v>
      </c>
      <c r="D839" s="50" t="str">
        <f>VLOOKUP(C839,Product!A$2:B$21,1,0)</f>
        <v>PD0005</v>
      </c>
      <c r="E839" s="36">
        <v>117</v>
      </c>
      <c r="F839" s="38">
        <v>192611250</v>
      </c>
      <c r="G839" s="39" t="s">
        <v>3213</v>
      </c>
      <c r="H839" s="12"/>
      <c r="L839" s="12"/>
    </row>
    <row r="840" spans="1:12" ht="15.75" customHeight="1" x14ac:dyDescent="0.3">
      <c r="A840" s="29" t="s">
        <v>522</v>
      </c>
      <c r="B840" s="50" t="str">
        <f>VLOOKUP(A840,'Sales Order'!A$2:B$1029,1,0)</f>
        <v>SO0284</v>
      </c>
      <c r="C840" s="29" t="s">
        <v>45</v>
      </c>
      <c r="D840" s="50" t="str">
        <f>VLOOKUP(C840,Product!A$2:B$21,1,0)</f>
        <v>PD0008</v>
      </c>
      <c r="E840" s="36">
        <v>111</v>
      </c>
      <c r="F840" s="38">
        <v>13396590</v>
      </c>
      <c r="G840" s="39" t="s">
        <v>3214</v>
      </c>
      <c r="H840" s="12"/>
      <c r="L840" s="12"/>
    </row>
    <row r="841" spans="1:12" ht="15.75" customHeight="1" x14ac:dyDescent="0.3">
      <c r="A841" s="29" t="s">
        <v>522</v>
      </c>
      <c r="B841" s="50" t="str">
        <f>VLOOKUP(A841,'Sales Order'!A$2:B$1029,1,0)</f>
        <v>SO0284</v>
      </c>
      <c r="C841" s="29" t="s">
        <v>55</v>
      </c>
      <c r="D841" s="50" t="str">
        <f>VLOOKUP(C841,Product!A$2:B$21,1,0)</f>
        <v>PD0011</v>
      </c>
      <c r="E841" s="36">
        <v>104</v>
      </c>
      <c r="F841" s="38">
        <v>188908720</v>
      </c>
      <c r="G841" s="39" t="s">
        <v>3215</v>
      </c>
      <c r="H841" s="12"/>
      <c r="L841" s="12"/>
    </row>
    <row r="842" spans="1:12" ht="15.75" customHeight="1" x14ac:dyDescent="0.3">
      <c r="A842" s="29" t="s">
        <v>522</v>
      </c>
      <c r="B842" s="50" t="str">
        <f>VLOOKUP(A842,'Sales Order'!A$2:B$1029,1,0)</f>
        <v>SO0284</v>
      </c>
      <c r="C842" s="29" t="s">
        <v>61</v>
      </c>
      <c r="D842" s="50" t="str">
        <f>VLOOKUP(C842,Product!A$2:B$21,1,0)</f>
        <v>PD0013</v>
      </c>
      <c r="E842" s="36">
        <v>93</v>
      </c>
      <c r="F842" s="38">
        <v>40983240</v>
      </c>
      <c r="G842" s="39" t="s">
        <v>3216</v>
      </c>
      <c r="H842" s="12"/>
      <c r="L842" s="12"/>
    </row>
    <row r="843" spans="1:12" ht="15.75" customHeight="1" x14ac:dyDescent="0.3">
      <c r="A843" s="17" t="s">
        <v>523</v>
      </c>
      <c r="B843" s="50" t="str">
        <f>VLOOKUP(A843,'Sales Order'!A$2:B$1029,1,0)</f>
        <v>SO0285</v>
      </c>
      <c r="C843" s="29" t="s">
        <v>72</v>
      </c>
      <c r="D843" s="50" t="str">
        <f>VLOOKUP(C843,Product!A$2:B$21,1,0)</f>
        <v>PD0016</v>
      </c>
      <c r="E843" s="36">
        <v>132</v>
      </c>
      <c r="F843" s="38">
        <v>26785440</v>
      </c>
      <c r="G843" s="39" t="s">
        <v>3217</v>
      </c>
      <c r="H843" s="12"/>
      <c r="L843" s="12"/>
    </row>
    <row r="844" spans="1:12" ht="15.75" customHeight="1" x14ac:dyDescent="0.3">
      <c r="A844" s="29" t="s">
        <v>523</v>
      </c>
      <c r="B844" s="50" t="str">
        <f>VLOOKUP(A844,'Sales Order'!A$2:B$1029,1,0)</f>
        <v>SO0285</v>
      </c>
      <c r="C844" s="29" t="s">
        <v>81</v>
      </c>
      <c r="D844" s="50" t="str">
        <f>VLOOKUP(C844,Product!A$2:B$21,1,0)</f>
        <v>PD0019</v>
      </c>
      <c r="E844" s="36">
        <v>29</v>
      </c>
      <c r="F844" s="38">
        <v>57658380</v>
      </c>
      <c r="G844" s="39" t="s">
        <v>3218</v>
      </c>
      <c r="H844" s="12"/>
      <c r="L844" s="12"/>
    </row>
    <row r="845" spans="1:12" ht="15.75" customHeight="1" x14ac:dyDescent="0.3">
      <c r="A845" s="29" t="s">
        <v>523</v>
      </c>
      <c r="B845" s="50" t="str">
        <f>VLOOKUP(A845,'Sales Order'!A$2:B$1029,1,0)</f>
        <v>SO0285</v>
      </c>
      <c r="C845" s="29" t="s">
        <v>65</v>
      </c>
      <c r="D845" s="50" t="str">
        <f>VLOOKUP(C845,Product!A$2:B$21,1,0)</f>
        <v>PD0014</v>
      </c>
      <c r="E845" s="36">
        <v>32</v>
      </c>
      <c r="F845" s="38">
        <v>8031360</v>
      </c>
      <c r="G845" s="39" t="s">
        <v>3219</v>
      </c>
      <c r="H845" s="12"/>
      <c r="L845" s="12"/>
    </row>
    <row r="846" spans="1:12" ht="15.75" customHeight="1" x14ac:dyDescent="0.3">
      <c r="A846" s="29" t="s">
        <v>523</v>
      </c>
      <c r="B846" s="50" t="str">
        <f>VLOOKUP(A846,'Sales Order'!A$2:B$1029,1,0)</f>
        <v>SO0285</v>
      </c>
      <c r="C846" s="29" t="s">
        <v>78</v>
      </c>
      <c r="D846" s="50" t="str">
        <f>VLOOKUP(C846,Product!A$2:B$21,1,0)</f>
        <v>PD0018</v>
      </c>
      <c r="E846" s="36">
        <v>130</v>
      </c>
      <c r="F846" s="38">
        <v>51870000</v>
      </c>
      <c r="G846" s="39" t="s">
        <v>3220</v>
      </c>
      <c r="H846" s="12"/>
      <c r="L846" s="12"/>
    </row>
    <row r="847" spans="1:12" ht="15.75" customHeight="1" x14ac:dyDescent="0.3">
      <c r="A847" s="29" t="s">
        <v>523</v>
      </c>
      <c r="B847" s="50" t="str">
        <f>VLOOKUP(A847,'Sales Order'!A$2:B$1029,1,0)</f>
        <v>SO0285</v>
      </c>
      <c r="C847" s="29" t="s">
        <v>33</v>
      </c>
      <c r="D847" s="50" t="str">
        <f>VLOOKUP(C847,Product!A$2:B$21,1,0)</f>
        <v>PD0004</v>
      </c>
      <c r="E847" s="36">
        <v>53</v>
      </c>
      <c r="F847" s="38">
        <v>9677800</v>
      </c>
      <c r="G847" s="39" t="s">
        <v>3221</v>
      </c>
      <c r="H847" s="12"/>
      <c r="L847" s="12"/>
    </row>
    <row r="848" spans="1:12" ht="15.75" customHeight="1" x14ac:dyDescent="0.3">
      <c r="A848" s="17" t="s">
        <v>524</v>
      </c>
      <c r="B848" s="50" t="str">
        <f>VLOOKUP(A848,'Sales Order'!A$2:B$1029,1,0)</f>
        <v>SO0286</v>
      </c>
      <c r="C848" s="29" t="s">
        <v>45</v>
      </c>
      <c r="D848" s="50" t="str">
        <f>VLOOKUP(C848,Product!A$2:B$21,1,0)</f>
        <v>PD0008</v>
      </c>
      <c r="E848" s="36">
        <v>111</v>
      </c>
      <c r="F848" s="38">
        <v>14885100</v>
      </c>
      <c r="G848" s="39" t="s">
        <v>3222</v>
      </c>
      <c r="H848" s="12"/>
      <c r="L848" s="12"/>
    </row>
    <row r="849" spans="1:12" ht="15.75" customHeight="1" x14ac:dyDescent="0.3">
      <c r="A849" s="29" t="s">
        <v>524</v>
      </c>
      <c r="B849" s="50" t="str">
        <f>VLOOKUP(A849,'Sales Order'!A$2:B$1029,1,0)</f>
        <v>SO0286</v>
      </c>
      <c r="C849" s="29" t="s">
        <v>55</v>
      </c>
      <c r="D849" s="50" t="str">
        <f>VLOOKUP(C849,Product!A$2:B$21,1,0)</f>
        <v>PD0011</v>
      </c>
      <c r="E849" s="36">
        <v>56</v>
      </c>
      <c r="F849" s="38">
        <v>105683200</v>
      </c>
      <c r="G849" s="39" t="s">
        <v>3223</v>
      </c>
      <c r="H849" s="12"/>
      <c r="L849" s="12"/>
    </row>
    <row r="850" spans="1:12" ht="15.75" customHeight="1" x14ac:dyDescent="0.3">
      <c r="A850" s="29" t="s">
        <v>524</v>
      </c>
      <c r="B850" s="50" t="str">
        <f>VLOOKUP(A850,'Sales Order'!A$2:B$1029,1,0)</f>
        <v>SO0286</v>
      </c>
      <c r="C850" s="29" t="s">
        <v>61</v>
      </c>
      <c r="D850" s="50" t="str">
        <f>VLOOKUP(C850,Product!A$2:B$21,1,0)</f>
        <v>PD0013</v>
      </c>
      <c r="E850" s="36">
        <v>51</v>
      </c>
      <c r="F850" s="38">
        <v>21741810</v>
      </c>
      <c r="G850" s="39" t="s">
        <v>3224</v>
      </c>
      <c r="H850" s="12"/>
      <c r="L850" s="12"/>
    </row>
    <row r="851" spans="1:12" ht="15.75" customHeight="1" x14ac:dyDescent="0.3">
      <c r="A851" s="29" t="s">
        <v>524</v>
      </c>
      <c r="B851" s="50" t="str">
        <f>VLOOKUP(A851,'Sales Order'!A$2:B$1029,1,0)</f>
        <v>SO0286</v>
      </c>
      <c r="C851" s="29" t="s">
        <v>65</v>
      </c>
      <c r="D851" s="50" t="str">
        <f>VLOOKUP(C851,Product!A$2:B$21,1,0)</f>
        <v>PD0014</v>
      </c>
      <c r="E851" s="36">
        <v>28</v>
      </c>
      <c r="F851" s="38">
        <v>5607000</v>
      </c>
      <c r="G851" s="39" t="s">
        <v>3225</v>
      </c>
      <c r="H851" s="12"/>
      <c r="L851" s="12"/>
    </row>
    <row r="852" spans="1:12" ht="15.75" customHeight="1" x14ac:dyDescent="0.3">
      <c r="A852" s="29" t="s">
        <v>524</v>
      </c>
      <c r="B852" s="50" t="str">
        <f>VLOOKUP(A852,'Sales Order'!A$2:B$1029,1,0)</f>
        <v>SO0286</v>
      </c>
      <c r="C852" s="29" t="s">
        <v>72</v>
      </c>
      <c r="D852" s="50" t="str">
        <f>VLOOKUP(C852,Product!A$2:B$21,1,0)</f>
        <v>PD0016</v>
      </c>
      <c r="E852" s="36">
        <v>83</v>
      </c>
      <c r="F852" s="38">
        <v>19723290</v>
      </c>
      <c r="G852" s="39" t="s">
        <v>3226</v>
      </c>
      <c r="H852" s="12"/>
      <c r="L852" s="12"/>
    </row>
    <row r="853" spans="1:12" ht="15.75" customHeight="1" x14ac:dyDescent="0.3">
      <c r="A853" s="29" t="s">
        <v>524</v>
      </c>
      <c r="B853" s="50" t="str">
        <f>VLOOKUP(A853,'Sales Order'!A$2:B$1029,1,0)</f>
        <v>SO0286</v>
      </c>
      <c r="C853" s="29" t="s">
        <v>43</v>
      </c>
      <c r="D853" s="50" t="str">
        <f>VLOOKUP(C853,Product!A$2:B$21,1,0)</f>
        <v>PD0007</v>
      </c>
      <c r="E853" s="36">
        <v>120</v>
      </c>
      <c r="F853" s="38">
        <v>311040000</v>
      </c>
      <c r="G853" s="39" t="s">
        <v>3227</v>
      </c>
      <c r="H853" s="12"/>
      <c r="L853" s="12"/>
    </row>
    <row r="854" spans="1:12" ht="15.75" customHeight="1" x14ac:dyDescent="0.3">
      <c r="A854" s="29" t="s">
        <v>524</v>
      </c>
      <c r="B854" s="50" t="str">
        <f>VLOOKUP(A854,'Sales Order'!A$2:B$1029,1,0)</f>
        <v>SO0286</v>
      </c>
      <c r="C854" s="29" t="s">
        <v>52</v>
      </c>
      <c r="D854" s="50" t="str">
        <f>VLOOKUP(C854,Product!A$2:B$21,1,0)</f>
        <v>PD0010</v>
      </c>
      <c r="E854" s="36">
        <v>136</v>
      </c>
      <c r="F854" s="38">
        <v>34034000</v>
      </c>
      <c r="G854" s="39" t="s">
        <v>3228</v>
      </c>
      <c r="H854" s="12"/>
      <c r="L854" s="12"/>
    </row>
    <row r="855" spans="1:12" ht="15.75" customHeight="1" x14ac:dyDescent="0.3">
      <c r="A855" s="17" t="s">
        <v>525</v>
      </c>
      <c r="B855" s="50" t="str">
        <f>VLOOKUP(A855,'Sales Order'!A$2:B$1029,1,0)</f>
        <v>SO0287</v>
      </c>
      <c r="C855" s="29" t="s">
        <v>72</v>
      </c>
      <c r="D855" s="50" t="str">
        <f>VLOOKUP(C855,Product!A$2:B$21,1,0)</f>
        <v>PD0016</v>
      </c>
      <c r="E855" s="36">
        <v>105</v>
      </c>
      <c r="F855" s="38">
        <v>25792200</v>
      </c>
      <c r="G855" s="39" t="s">
        <v>3229</v>
      </c>
      <c r="H855" s="12"/>
      <c r="L855" s="12"/>
    </row>
    <row r="856" spans="1:12" ht="15.75" customHeight="1" x14ac:dyDescent="0.3">
      <c r="A856" s="29" t="s">
        <v>525</v>
      </c>
      <c r="B856" s="50" t="str">
        <f>VLOOKUP(A856,'Sales Order'!A$2:B$1029,1,0)</f>
        <v>SO0287</v>
      </c>
      <c r="C856" s="29" t="s">
        <v>45</v>
      </c>
      <c r="D856" s="50" t="str">
        <f>VLOOKUP(C856,Product!A$2:B$21,1,0)</f>
        <v>PD0008</v>
      </c>
      <c r="E856" s="36">
        <v>131</v>
      </c>
      <c r="F856" s="38">
        <v>16200770</v>
      </c>
      <c r="G856" s="39" t="s">
        <v>3230</v>
      </c>
      <c r="H856" s="12"/>
      <c r="L856" s="12"/>
    </row>
    <row r="857" spans="1:12" ht="15.75" customHeight="1" x14ac:dyDescent="0.3">
      <c r="A857" s="29" t="s">
        <v>525</v>
      </c>
      <c r="B857" s="50" t="str">
        <f>VLOOKUP(A857,'Sales Order'!A$2:B$1029,1,0)</f>
        <v>SO0287</v>
      </c>
      <c r="C857" s="29" t="s">
        <v>35</v>
      </c>
      <c r="D857" s="50" t="str">
        <f>VLOOKUP(C857,Product!A$2:B$21,1,0)</f>
        <v>PD0005</v>
      </c>
      <c r="E857" s="36">
        <v>79</v>
      </c>
      <c r="F857" s="38">
        <v>156064500</v>
      </c>
      <c r="G857" s="39" t="s">
        <v>3231</v>
      </c>
      <c r="H857" s="12"/>
      <c r="L857" s="12"/>
    </row>
    <row r="858" spans="1:12" ht="15.75" customHeight="1" x14ac:dyDescent="0.3">
      <c r="A858" s="29" t="s">
        <v>525</v>
      </c>
      <c r="B858" s="50" t="str">
        <f>VLOOKUP(A858,'Sales Order'!A$2:B$1029,1,0)</f>
        <v>SO0287</v>
      </c>
      <c r="C858" s="29" t="s">
        <v>33</v>
      </c>
      <c r="D858" s="50" t="str">
        <f>VLOOKUP(C858,Product!A$2:B$21,1,0)</f>
        <v>PD0004</v>
      </c>
      <c r="E858" s="36">
        <v>68</v>
      </c>
      <c r="F858" s="38">
        <v>13464000</v>
      </c>
      <c r="G858" s="39" t="s">
        <v>3232</v>
      </c>
      <c r="H858" s="12"/>
      <c r="L858" s="12"/>
    </row>
    <row r="859" spans="1:12" ht="15.75" customHeight="1" x14ac:dyDescent="0.3">
      <c r="A859" s="17" t="s">
        <v>526</v>
      </c>
      <c r="B859" s="50" t="str">
        <f>VLOOKUP(A859,'Sales Order'!A$2:B$1029,1,0)</f>
        <v>SO0288</v>
      </c>
      <c r="C859" s="29" t="s">
        <v>83</v>
      </c>
      <c r="D859" s="50" t="str">
        <f>VLOOKUP(C859,Product!A$2:B$21,1,0)</f>
        <v>PD0020</v>
      </c>
      <c r="E859" s="36">
        <v>34</v>
      </c>
      <c r="F859" s="38">
        <v>10368300</v>
      </c>
      <c r="G859" s="39" t="s">
        <v>3233</v>
      </c>
      <c r="H859" s="12"/>
      <c r="L859" s="12"/>
    </row>
    <row r="860" spans="1:12" ht="15.75" customHeight="1" x14ac:dyDescent="0.3">
      <c r="A860" s="29" t="s">
        <v>526</v>
      </c>
      <c r="B860" s="50" t="str">
        <f>VLOOKUP(A860,'Sales Order'!A$2:B$1029,1,0)</f>
        <v>SO0288</v>
      </c>
      <c r="C860" s="29" t="s">
        <v>55</v>
      </c>
      <c r="D860" s="50" t="str">
        <f>VLOOKUP(C860,Product!A$2:B$21,1,0)</f>
        <v>PD0011</v>
      </c>
      <c r="E860" s="36">
        <v>139</v>
      </c>
      <c r="F860" s="38">
        <v>259041790</v>
      </c>
      <c r="G860" s="39" t="s">
        <v>3234</v>
      </c>
      <c r="H860" s="12"/>
      <c r="L860" s="12"/>
    </row>
    <row r="861" spans="1:12" ht="15.75" customHeight="1" x14ac:dyDescent="0.3">
      <c r="A861" s="29" t="s">
        <v>526</v>
      </c>
      <c r="B861" s="50" t="str">
        <f>VLOOKUP(A861,'Sales Order'!A$2:B$1029,1,0)</f>
        <v>SO0288</v>
      </c>
      <c r="C861" s="29" t="s">
        <v>25</v>
      </c>
      <c r="D861" s="50" t="str">
        <f>VLOOKUP(C861,Product!A$2:B$21,1,0)</f>
        <v>PD0002</v>
      </c>
      <c r="E861" s="36">
        <v>39</v>
      </c>
      <c r="F861" s="38">
        <v>655200</v>
      </c>
      <c r="G861" s="39" t="s">
        <v>3235</v>
      </c>
      <c r="H861" s="12"/>
      <c r="L861" s="12"/>
    </row>
    <row r="862" spans="1:12" ht="15.75" customHeight="1" x14ac:dyDescent="0.3">
      <c r="A862" s="17" t="s">
        <v>527</v>
      </c>
      <c r="B862" s="50" t="str">
        <f>VLOOKUP(A862,'Sales Order'!A$2:B$1029,1,0)</f>
        <v>SO0289</v>
      </c>
      <c r="C862" s="29" t="s">
        <v>61</v>
      </c>
      <c r="D862" s="50" t="str">
        <f>VLOOKUP(C862,Product!A$2:B$21,1,0)</f>
        <v>PD0013</v>
      </c>
      <c r="E862" s="36">
        <v>100</v>
      </c>
      <c r="F862" s="38">
        <v>38320000</v>
      </c>
      <c r="G862" s="39" t="s">
        <v>3236</v>
      </c>
      <c r="H862" s="12"/>
      <c r="L862" s="12"/>
    </row>
    <row r="863" spans="1:12" ht="15.75" customHeight="1" x14ac:dyDescent="0.3">
      <c r="A863" s="29" t="s">
        <v>527</v>
      </c>
      <c r="B863" s="50" t="str">
        <f>VLOOKUP(A863,'Sales Order'!A$2:B$1029,1,0)</f>
        <v>SO0289</v>
      </c>
      <c r="C863" s="29" t="s">
        <v>52</v>
      </c>
      <c r="D863" s="50" t="str">
        <f>VLOOKUP(C863,Product!A$2:B$21,1,0)</f>
        <v>PD0010</v>
      </c>
      <c r="E863" s="36">
        <v>131</v>
      </c>
      <c r="F863" s="38">
        <v>40446250</v>
      </c>
      <c r="G863" s="39" t="s">
        <v>3237</v>
      </c>
      <c r="H863" s="12"/>
      <c r="L863" s="12"/>
    </row>
    <row r="864" spans="1:12" ht="15.75" customHeight="1" x14ac:dyDescent="0.3">
      <c r="A864" s="17" t="s">
        <v>528</v>
      </c>
      <c r="B864" s="50" t="str">
        <f>VLOOKUP(A864,'Sales Order'!A$2:B$1029,1,0)</f>
        <v>SO0290</v>
      </c>
      <c r="C864" s="29" t="s">
        <v>45</v>
      </c>
      <c r="D864" s="50" t="str">
        <f>VLOOKUP(C864,Product!A$2:B$21,1,0)</f>
        <v>PD0008</v>
      </c>
      <c r="E864" s="36">
        <v>53</v>
      </c>
      <c r="F864" s="38">
        <v>6396570</v>
      </c>
      <c r="G864" s="39" t="s">
        <v>3238</v>
      </c>
      <c r="H864" s="12"/>
      <c r="L864" s="12"/>
    </row>
    <row r="865" spans="1:12" ht="15.75" customHeight="1" x14ac:dyDescent="0.3">
      <c r="A865" s="29" t="s">
        <v>528</v>
      </c>
      <c r="B865" s="50" t="str">
        <f>VLOOKUP(A865,'Sales Order'!A$2:B$1029,1,0)</f>
        <v>SO0290</v>
      </c>
      <c r="C865" s="29" t="s">
        <v>72</v>
      </c>
      <c r="D865" s="50" t="str">
        <f>VLOOKUP(C865,Product!A$2:B$21,1,0)</f>
        <v>PD0016</v>
      </c>
      <c r="E865" s="36">
        <v>44</v>
      </c>
      <c r="F865" s="38">
        <v>9633360</v>
      </c>
      <c r="G865" s="39" t="s">
        <v>3239</v>
      </c>
      <c r="H865" s="12"/>
      <c r="L865" s="12"/>
    </row>
    <row r="866" spans="1:12" ht="15.75" customHeight="1" x14ac:dyDescent="0.3">
      <c r="A866" s="29" t="s">
        <v>528</v>
      </c>
      <c r="B866" s="50" t="str">
        <f>VLOOKUP(A866,'Sales Order'!A$2:B$1029,1,0)</f>
        <v>SO0290</v>
      </c>
      <c r="C866" s="29" t="s">
        <v>33</v>
      </c>
      <c r="D866" s="50" t="str">
        <f>VLOOKUP(C866,Product!A$2:B$21,1,0)</f>
        <v>PD0004</v>
      </c>
      <c r="E866" s="36">
        <v>30</v>
      </c>
      <c r="F866" s="38">
        <v>5544000</v>
      </c>
      <c r="G866" s="39" t="s">
        <v>3240</v>
      </c>
      <c r="H866" s="12"/>
      <c r="L866" s="12"/>
    </row>
    <row r="867" spans="1:12" ht="15.75" customHeight="1" x14ac:dyDescent="0.3">
      <c r="A867" s="29" t="s">
        <v>528</v>
      </c>
      <c r="B867" s="50" t="str">
        <f>VLOOKUP(A867,'Sales Order'!A$2:B$1029,1,0)</f>
        <v>SO0290</v>
      </c>
      <c r="C867" s="29" t="s">
        <v>69</v>
      </c>
      <c r="D867" s="50" t="str">
        <f>VLOOKUP(C867,Product!A$2:B$21,1,0)</f>
        <v>PD0015</v>
      </c>
      <c r="E867" s="36">
        <v>26</v>
      </c>
      <c r="F867" s="38">
        <v>2685384</v>
      </c>
      <c r="G867" s="39" t="s">
        <v>3241</v>
      </c>
      <c r="H867" s="12"/>
      <c r="L867" s="12"/>
    </row>
    <row r="868" spans="1:12" ht="15.75" customHeight="1" x14ac:dyDescent="0.3">
      <c r="A868" s="17" t="s">
        <v>529</v>
      </c>
      <c r="B868" s="50" t="str">
        <f>VLOOKUP(A868,'Sales Order'!A$2:B$1029,1,0)</f>
        <v>SO0291</v>
      </c>
      <c r="C868" s="29" t="s">
        <v>43</v>
      </c>
      <c r="D868" s="50" t="str">
        <f>VLOOKUP(C868,Product!A$2:B$21,1,0)</f>
        <v>PD0007</v>
      </c>
      <c r="E868" s="36">
        <v>60</v>
      </c>
      <c r="F868" s="38">
        <v>163200000</v>
      </c>
      <c r="G868" s="39" t="s">
        <v>3242</v>
      </c>
      <c r="H868" s="12"/>
      <c r="L868" s="12"/>
    </row>
    <row r="869" spans="1:12" ht="15.75" customHeight="1" x14ac:dyDescent="0.3">
      <c r="A869" s="29" t="s">
        <v>529</v>
      </c>
      <c r="B869" s="50" t="str">
        <f>VLOOKUP(A869,'Sales Order'!A$2:B$1029,1,0)</f>
        <v>SO0291</v>
      </c>
      <c r="C869" s="29" t="s">
        <v>48</v>
      </c>
      <c r="D869" s="50" t="str">
        <f>VLOOKUP(C869,Product!A$2:B$21,1,0)</f>
        <v>PD0009</v>
      </c>
      <c r="E869" s="36">
        <v>78</v>
      </c>
      <c r="F869" s="38">
        <v>9357660</v>
      </c>
      <c r="G869" s="39" t="s">
        <v>3243</v>
      </c>
      <c r="H869" s="12"/>
      <c r="L869" s="12"/>
    </row>
    <row r="870" spans="1:12" ht="15.75" customHeight="1" x14ac:dyDescent="0.3">
      <c r="A870" s="29" t="s">
        <v>529</v>
      </c>
      <c r="B870" s="50" t="str">
        <f>VLOOKUP(A870,'Sales Order'!A$2:B$1029,1,0)</f>
        <v>SO0291</v>
      </c>
      <c r="C870" s="29" t="s">
        <v>45</v>
      </c>
      <c r="D870" s="50" t="str">
        <f>VLOOKUP(C870,Product!A$2:B$21,1,0)</f>
        <v>PD0008</v>
      </c>
      <c r="E870" s="36">
        <v>85</v>
      </c>
      <c r="F870" s="38">
        <v>10511950</v>
      </c>
      <c r="G870" s="39" t="s">
        <v>3244</v>
      </c>
      <c r="H870" s="12"/>
      <c r="L870" s="12"/>
    </row>
    <row r="871" spans="1:12" ht="15.75" customHeight="1" x14ac:dyDescent="0.3">
      <c r="A871" s="29" t="s">
        <v>529</v>
      </c>
      <c r="B871" s="50" t="str">
        <f>VLOOKUP(A871,'Sales Order'!A$2:B$1029,1,0)</f>
        <v>SO0291</v>
      </c>
      <c r="C871" s="29" t="s">
        <v>58</v>
      </c>
      <c r="D871" s="50" t="str">
        <f>VLOOKUP(C871,Product!A$2:B$21,1,0)</f>
        <v>PD0012</v>
      </c>
      <c r="E871" s="36">
        <v>124</v>
      </c>
      <c r="F871" s="38">
        <v>643297120</v>
      </c>
      <c r="G871" s="39" t="s">
        <v>3245</v>
      </c>
      <c r="H871" s="12"/>
      <c r="L871" s="12"/>
    </row>
    <row r="872" spans="1:12" ht="15.75" customHeight="1" x14ac:dyDescent="0.3">
      <c r="A872" s="29" t="s">
        <v>529</v>
      </c>
      <c r="B872" s="50" t="str">
        <f>VLOOKUP(A872,'Sales Order'!A$2:B$1029,1,0)</f>
        <v>SO0291</v>
      </c>
      <c r="C872" s="29" t="s">
        <v>33</v>
      </c>
      <c r="D872" s="50" t="str">
        <f>VLOOKUP(C872,Product!A$2:B$21,1,0)</f>
        <v>PD0004</v>
      </c>
      <c r="E872" s="36">
        <v>137</v>
      </c>
      <c r="F872" s="38">
        <v>25016200</v>
      </c>
      <c r="G872" s="39" t="s">
        <v>3246</v>
      </c>
      <c r="H872" s="12"/>
      <c r="L872" s="12"/>
    </row>
    <row r="873" spans="1:12" ht="15.75" customHeight="1" x14ac:dyDescent="0.3">
      <c r="A873" s="17" t="s">
        <v>530</v>
      </c>
      <c r="B873" s="50" t="str">
        <f>VLOOKUP(A873,'Sales Order'!A$2:B$1029,1,0)</f>
        <v>SO0292</v>
      </c>
      <c r="C873" s="29" t="s">
        <v>43</v>
      </c>
      <c r="D873" s="50" t="str">
        <f>VLOOKUP(C873,Product!A$2:B$21,1,0)</f>
        <v>PD0007</v>
      </c>
      <c r="E873" s="36">
        <v>101</v>
      </c>
      <c r="F873" s="38">
        <v>255328000</v>
      </c>
      <c r="G873" s="39" t="s">
        <v>3247</v>
      </c>
      <c r="H873" s="12"/>
      <c r="L873" s="12"/>
    </row>
    <row r="874" spans="1:12" ht="15.75" customHeight="1" x14ac:dyDescent="0.3">
      <c r="A874" s="29" t="s">
        <v>530</v>
      </c>
      <c r="B874" s="50" t="str">
        <f>VLOOKUP(A874,'Sales Order'!A$2:B$1029,1,0)</f>
        <v>SO0292</v>
      </c>
      <c r="C874" s="29" t="s">
        <v>52</v>
      </c>
      <c r="D874" s="50" t="str">
        <f>VLOOKUP(C874,Product!A$2:B$21,1,0)</f>
        <v>PD0010</v>
      </c>
      <c r="E874" s="36">
        <v>64</v>
      </c>
      <c r="F874" s="38">
        <v>18720000</v>
      </c>
      <c r="G874" s="39" t="s">
        <v>3248</v>
      </c>
      <c r="H874" s="12"/>
      <c r="L874" s="12"/>
    </row>
    <row r="875" spans="1:12" ht="15.75" customHeight="1" x14ac:dyDescent="0.3">
      <c r="A875" s="17" t="s">
        <v>531</v>
      </c>
      <c r="B875" s="50" t="str">
        <f>VLOOKUP(A875,'Sales Order'!A$2:B$1029,1,0)</f>
        <v>SO0293</v>
      </c>
      <c r="C875" s="29" t="s">
        <v>81</v>
      </c>
      <c r="D875" s="50" t="str">
        <f>VLOOKUP(C875,Product!A$2:B$21,1,0)</f>
        <v>PD0019</v>
      </c>
      <c r="E875" s="36">
        <v>112</v>
      </c>
      <c r="F875" s="38">
        <v>271213600</v>
      </c>
      <c r="G875" s="39" t="s">
        <v>3249</v>
      </c>
      <c r="H875" s="12"/>
      <c r="L875" s="12"/>
    </row>
    <row r="876" spans="1:12" ht="15.75" customHeight="1" x14ac:dyDescent="0.3">
      <c r="A876" s="29" t="s">
        <v>531</v>
      </c>
      <c r="B876" s="50" t="str">
        <f>VLOOKUP(A876,'Sales Order'!A$2:B$1029,1,0)</f>
        <v>SO0293</v>
      </c>
      <c r="C876" s="29" t="s">
        <v>83</v>
      </c>
      <c r="D876" s="50" t="str">
        <f>VLOOKUP(C876,Product!A$2:B$21,1,0)</f>
        <v>PD0020</v>
      </c>
      <c r="E876" s="36">
        <v>87</v>
      </c>
      <c r="F876" s="38">
        <v>23737950</v>
      </c>
      <c r="G876" s="39" t="s">
        <v>3250</v>
      </c>
      <c r="H876" s="12"/>
      <c r="L876" s="12"/>
    </row>
    <row r="877" spans="1:12" ht="15.75" customHeight="1" x14ac:dyDescent="0.3">
      <c r="A877" s="29" t="s">
        <v>531</v>
      </c>
      <c r="B877" s="50" t="str">
        <f>VLOOKUP(A877,'Sales Order'!A$2:B$1029,1,0)</f>
        <v>SO0293</v>
      </c>
      <c r="C877" s="29" t="s">
        <v>55</v>
      </c>
      <c r="D877" s="50" t="str">
        <f>VLOOKUP(C877,Product!A$2:B$21,1,0)</f>
        <v>PD0011</v>
      </c>
      <c r="E877" s="36">
        <v>72</v>
      </c>
      <c r="F877" s="38">
        <v>146069280</v>
      </c>
      <c r="G877" s="39" t="s">
        <v>3251</v>
      </c>
      <c r="H877" s="12"/>
      <c r="L877" s="12"/>
    </row>
    <row r="878" spans="1:12" ht="15.75" customHeight="1" x14ac:dyDescent="0.3">
      <c r="A878" s="17" t="s">
        <v>532</v>
      </c>
      <c r="B878" s="50" t="str">
        <f>VLOOKUP(A878,'Sales Order'!A$2:B$1029,1,0)</f>
        <v>SO0294</v>
      </c>
      <c r="C878" s="29" t="s">
        <v>65</v>
      </c>
      <c r="D878" s="50" t="str">
        <f>VLOOKUP(C878,Product!A$2:B$21,1,0)</f>
        <v>PD0014</v>
      </c>
      <c r="E878" s="36">
        <v>57</v>
      </c>
      <c r="F878" s="38">
        <v>13544910</v>
      </c>
      <c r="G878" s="39" t="s">
        <v>3252</v>
      </c>
      <c r="H878" s="12"/>
      <c r="L878" s="12"/>
    </row>
    <row r="879" spans="1:12" ht="15.75" customHeight="1" x14ac:dyDescent="0.3">
      <c r="A879" s="29" t="s">
        <v>532</v>
      </c>
      <c r="B879" s="50" t="str">
        <f>VLOOKUP(A879,'Sales Order'!A$2:B$1029,1,0)</f>
        <v>SO0294</v>
      </c>
      <c r="C879" s="29" t="s">
        <v>48</v>
      </c>
      <c r="D879" s="50" t="str">
        <f>VLOOKUP(C879,Product!A$2:B$21,1,0)</f>
        <v>PD0009</v>
      </c>
      <c r="E879" s="36">
        <v>105</v>
      </c>
      <c r="F879" s="38">
        <v>12732300</v>
      </c>
      <c r="G879" s="39" t="s">
        <v>3253</v>
      </c>
      <c r="H879" s="12"/>
      <c r="L879" s="12"/>
    </row>
    <row r="880" spans="1:12" ht="15.75" customHeight="1" x14ac:dyDescent="0.3">
      <c r="A880" s="17" t="s">
        <v>533</v>
      </c>
      <c r="B880" s="50" t="str">
        <f>VLOOKUP(A880,'Sales Order'!A$2:B$1029,1,0)</f>
        <v>SO0295</v>
      </c>
      <c r="C880" s="29" t="s">
        <v>19</v>
      </c>
      <c r="D880" s="50" t="str">
        <f>VLOOKUP(C880,Product!A$2:B$21,1,0)</f>
        <v>PD0001</v>
      </c>
      <c r="E880" s="36">
        <v>103</v>
      </c>
      <c r="F880" s="38">
        <v>22312890</v>
      </c>
      <c r="G880" s="39" t="s">
        <v>3254</v>
      </c>
      <c r="H880" s="12"/>
      <c r="L880" s="12"/>
    </row>
    <row r="881" spans="1:12" ht="15.75" customHeight="1" x14ac:dyDescent="0.3">
      <c r="A881" s="29" t="s">
        <v>533</v>
      </c>
      <c r="B881" s="50" t="str">
        <f>VLOOKUP(A881,'Sales Order'!A$2:B$1029,1,0)</f>
        <v>SO0295</v>
      </c>
      <c r="C881" s="29" t="s">
        <v>65</v>
      </c>
      <c r="D881" s="50" t="str">
        <f>VLOOKUP(C881,Product!A$2:B$21,1,0)</f>
        <v>PD0014</v>
      </c>
      <c r="E881" s="36">
        <v>73</v>
      </c>
      <c r="F881" s="38">
        <v>18516450</v>
      </c>
      <c r="G881" s="39" t="s">
        <v>3255</v>
      </c>
      <c r="H881" s="12"/>
      <c r="L881" s="12"/>
    </row>
    <row r="882" spans="1:12" ht="15.75" customHeight="1" x14ac:dyDescent="0.3">
      <c r="A882" s="29" t="s">
        <v>533</v>
      </c>
      <c r="B882" s="50" t="str">
        <f>VLOOKUP(A882,'Sales Order'!A$2:B$1029,1,0)</f>
        <v>SO0295</v>
      </c>
      <c r="C882" s="29" t="s">
        <v>35</v>
      </c>
      <c r="D882" s="50" t="str">
        <f>VLOOKUP(C882,Product!A$2:B$21,1,0)</f>
        <v>PD0005</v>
      </c>
      <c r="E882" s="36">
        <v>37</v>
      </c>
      <c r="F882" s="38">
        <v>61723400</v>
      </c>
      <c r="G882" s="39" t="s">
        <v>3256</v>
      </c>
      <c r="H882" s="12"/>
      <c r="L882" s="12"/>
    </row>
    <row r="883" spans="1:12" ht="15.75" customHeight="1" x14ac:dyDescent="0.3">
      <c r="A883" s="29" t="s">
        <v>533</v>
      </c>
      <c r="B883" s="50" t="str">
        <f>VLOOKUP(A883,'Sales Order'!A$2:B$1029,1,0)</f>
        <v>SO0295</v>
      </c>
      <c r="C883" s="29" t="s">
        <v>61</v>
      </c>
      <c r="D883" s="50" t="str">
        <f>VLOOKUP(C883,Product!A$2:B$21,1,0)</f>
        <v>PD0013</v>
      </c>
      <c r="E883" s="36">
        <v>54</v>
      </c>
      <c r="F883" s="38">
        <v>20434140</v>
      </c>
      <c r="G883" s="39" t="s">
        <v>3257</v>
      </c>
      <c r="H883" s="12"/>
      <c r="L883" s="12"/>
    </row>
    <row r="884" spans="1:12" ht="15.75" customHeight="1" x14ac:dyDescent="0.3">
      <c r="A884" s="17" t="s">
        <v>534</v>
      </c>
      <c r="B884" s="50" t="str">
        <f>VLOOKUP(A884,'Sales Order'!A$2:B$1029,1,0)</f>
        <v>SO0296</v>
      </c>
      <c r="C884" s="29" t="s">
        <v>72</v>
      </c>
      <c r="D884" s="50" t="str">
        <f>VLOOKUP(C884,Product!A$2:B$21,1,0)</f>
        <v>PD0016</v>
      </c>
      <c r="E884" s="36">
        <v>88</v>
      </c>
      <c r="F884" s="38">
        <v>22321200</v>
      </c>
      <c r="G884" s="39" t="s">
        <v>3258</v>
      </c>
      <c r="H884" s="12"/>
      <c r="L884" s="12"/>
    </row>
    <row r="885" spans="1:12" ht="15.75" customHeight="1" x14ac:dyDescent="0.3">
      <c r="A885" s="29" t="s">
        <v>534</v>
      </c>
      <c r="B885" s="50" t="str">
        <f>VLOOKUP(A885,'Sales Order'!A$2:B$1029,1,0)</f>
        <v>SO0296</v>
      </c>
      <c r="C885" s="29" t="s">
        <v>33</v>
      </c>
      <c r="D885" s="50" t="str">
        <f>VLOOKUP(C885,Product!A$2:B$21,1,0)</f>
        <v>PD0004</v>
      </c>
      <c r="E885" s="36">
        <v>34</v>
      </c>
      <c r="F885" s="38">
        <v>6058800</v>
      </c>
      <c r="G885" s="39" t="s">
        <v>3259</v>
      </c>
      <c r="H885" s="12"/>
      <c r="L885" s="12"/>
    </row>
    <row r="886" spans="1:12" ht="15.75" customHeight="1" x14ac:dyDescent="0.3">
      <c r="A886" s="29" t="s">
        <v>534</v>
      </c>
      <c r="B886" s="50" t="str">
        <f>VLOOKUP(A886,'Sales Order'!A$2:B$1029,1,0)</f>
        <v>SO0296</v>
      </c>
      <c r="C886" s="29" t="s">
        <v>52</v>
      </c>
      <c r="D886" s="50" t="str">
        <f>VLOOKUP(C886,Product!A$2:B$21,1,0)</f>
        <v>PD0010</v>
      </c>
      <c r="E886" s="36">
        <v>103</v>
      </c>
      <c r="F886" s="38">
        <v>26110500</v>
      </c>
      <c r="G886" s="39" t="s">
        <v>3260</v>
      </c>
      <c r="H886" s="12"/>
      <c r="L886" s="12"/>
    </row>
    <row r="887" spans="1:12" ht="15.75" customHeight="1" x14ac:dyDescent="0.3">
      <c r="A887" s="29" t="s">
        <v>534</v>
      </c>
      <c r="B887" s="50" t="str">
        <f>VLOOKUP(A887,'Sales Order'!A$2:B$1029,1,0)</f>
        <v>SO0296</v>
      </c>
      <c r="C887" s="29" t="s">
        <v>35</v>
      </c>
      <c r="D887" s="50" t="str">
        <f>VLOOKUP(C887,Product!A$2:B$21,1,0)</f>
        <v>PD0005</v>
      </c>
      <c r="E887" s="36">
        <v>64</v>
      </c>
      <c r="F887" s="38">
        <v>112384000</v>
      </c>
      <c r="G887" s="39" t="s">
        <v>3261</v>
      </c>
      <c r="H887" s="12"/>
      <c r="L887" s="12"/>
    </row>
    <row r="888" spans="1:12" ht="15.75" customHeight="1" x14ac:dyDescent="0.3">
      <c r="A888" s="17" t="s">
        <v>535</v>
      </c>
      <c r="B888" s="50" t="str">
        <f>VLOOKUP(A888,'Sales Order'!A$2:B$1029,1,0)</f>
        <v>SO0297</v>
      </c>
      <c r="C888" s="29" t="s">
        <v>69</v>
      </c>
      <c r="D888" s="50" t="str">
        <f>VLOOKUP(C888,Product!A$2:B$21,1,0)</f>
        <v>PD0015</v>
      </c>
      <c r="E888" s="36">
        <v>104</v>
      </c>
      <c r="F888" s="38">
        <v>12578904</v>
      </c>
      <c r="G888" s="39" t="s">
        <v>3262</v>
      </c>
      <c r="H888" s="12"/>
      <c r="L888" s="12"/>
    </row>
    <row r="889" spans="1:12" ht="15.75" customHeight="1" x14ac:dyDescent="0.3">
      <c r="A889" s="29" t="s">
        <v>535</v>
      </c>
      <c r="B889" s="50" t="str">
        <f>VLOOKUP(A889,'Sales Order'!A$2:B$1029,1,0)</f>
        <v>SO0297</v>
      </c>
      <c r="C889" s="29" t="s">
        <v>58</v>
      </c>
      <c r="D889" s="50" t="str">
        <f>VLOOKUP(C889,Product!A$2:B$21,1,0)</f>
        <v>PD0012</v>
      </c>
      <c r="E889" s="36">
        <v>75</v>
      </c>
      <c r="F889" s="38">
        <v>351027750</v>
      </c>
      <c r="G889" s="39" t="s">
        <v>3263</v>
      </c>
      <c r="H889" s="12"/>
      <c r="L889" s="12"/>
    </row>
    <row r="890" spans="1:12" ht="15.75" customHeight="1" x14ac:dyDescent="0.3">
      <c r="A890" s="29" t="s">
        <v>535</v>
      </c>
      <c r="B890" s="50" t="str">
        <f>VLOOKUP(A890,'Sales Order'!A$2:B$1029,1,0)</f>
        <v>SO0297</v>
      </c>
      <c r="C890" s="29" t="s">
        <v>61</v>
      </c>
      <c r="D890" s="50" t="str">
        <f>VLOOKUP(C890,Product!A$2:B$21,1,0)</f>
        <v>PD0013</v>
      </c>
      <c r="E890" s="36">
        <v>137</v>
      </c>
      <c r="F890" s="38">
        <v>55123320</v>
      </c>
      <c r="G890" s="39" t="s">
        <v>3264</v>
      </c>
      <c r="H890" s="12"/>
      <c r="L890" s="12"/>
    </row>
    <row r="891" spans="1:12" ht="15.75" customHeight="1" x14ac:dyDescent="0.3">
      <c r="A891" s="29" t="s">
        <v>535</v>
      </c>
      <c r="B891" s="50" t="str">
        <f>VLOOKUP(A891,'Sales Order'!A$2:B$1029,1,0)</f>
        <v>SO0297</v>
      </c>
      <c r="C891" s="29" t="s">
        <v>52</v>
      </c>
      <c r="D891" s="50" t="str">
        <f>VLOOKUP(C891,Product!A$2:B$21,1,0)</f>
        <v>PD0010</v>
      </c>
      <c r="E891" s="36">
        <v>131</v>
      </c>
      <c r="F891" s="38">
        <v>34060000</v>
      </c>
      <c r="G891" s="39" t="s">
        <v>3265</v>
      </c>
      <c r="H891" s="12"/>
      <c r="L891" s="12"/>
    </row>
    <row r="892" spans="1:12" ht="15.75" customHeight="1" x14ac:dyDescent="0.3">
      <c r="A892" s="29" t="s">
        <v>535</v>
      </c>
      <c r="B892" s="50" t="str">
        <f>VLOOKUP(A892,'Sales Order'!A$2:B$1029,1,0)</f>
        <v>SO0297</v>
      </c>
      <c r="C892" s="29" t="s">
        <v>81</v>
      </c>
      <c r="D892" s="50" t="str">
        <f>VLOOKUP(C892,Product!A$2:B$21,1,0)</f>
        <v>PD0019</v>
      </c>
      <c r="E892" s="36">
        <v>56</v>
      </c>
      <c r="F892" s="38">
        <v>134179359.99999999</v>
      </c>
      <c r="G892" s="39" t="s">
        <v>3266</v>
      </c>
      <c r="H892" s="12"/>
      <c r="L892" s="12"/>
    </row>
    <row r="893" spans="1:12" ht="15.75" customHeight="1" x14ac:dyDescent="0.3">
      <c r="A893" s="17" t="s">
        <v>536</v>
      </c>
      <c r="B893" s="50" t="str">
        <f>VLOOKUP(A893,'Sales Order'!A$2:B$1029,1,0)</f>
        <v>SO0298</v>
      </c>
      <c r="C893" s="29" t="s">
        <v>81</v>
      </c>
      <c r="D893" s="50" t="str">
        <f>VLOOKUP(C893,Product!A$2:B$21,1,0)</f>
        <v>PD0019</v>
      </c>
      <c r="E893" s="36">
        <v>113</v>
      </c>
      <c r="F893" s="38">
        <v>239070710</v>
      </c>
      <c r="G893" s="39" t="s">
        <v>3267</v>
      </c>
      <c r="H893" s="12"/>
      <c r="L893" s="12"/>
    </row>
    <row r="894" spans="1:12" ht="15.75" customHeight="1" x14ac:dyDescent="0.3">
      <c r="A894" s="29" t="s">
        <v>536</v>
      </c>
      <c r="B894" s="50" t="str">
        <f>VLOOKUP(A894,'Sales Order'!A$2:B$1029,1,0)</f>
        <v>SO0298</v>
      </c>
      <c r="C894" s="29" t="s">
        <v>45</v>
      </c>
      <c r="D894" s="50" t="str">
        <f>VLOOKUP(C894,Product!A$2:B$21,1,0)</f>
        <v>PD0008</v>
      </c>
      <c r="E894" s="36">
        <v>94</v>
      </c>
      <c r="F894" s="38">
        <v>12885520</v>
      </c>
      <c r="G894" s="39" t="s">
        <v>3268</v>
      </c>
      <c r="H894" s="12"/>
      <c r="L894" s="12"/>
    </row>
    <row r="895" spans="1:12" ht="15.75" customHeight="1" x14ac:dyDescent="0.3">
      <c r="A895" s="29" t="s">
        <v>537</v>
      </c>
      <c r="B895" s="50" t="str">
        <f>VLOOKUP(A895,'Sales Order'!A$2:B$1029,1,0)</f>
        <v>SO0299</v>
      </c>
      <c r="C895" s="29" t="s">
        <v>43</v>
      </c>
      <c r="D895" s="50" t="str">
        <f>VLOOKUP(C895,Product!A$2:B$21,1,0)</f>
        <v>PD0007</v>
      </c>
      <c r="E895" s="36">
        <v>87</v>
      </c>
      <c r="F895" s="38">
        <v>222720000</v>
      </c>
      <c r="G895" s="39" t="s">
        <v>3269</v>
      </c>
      <c r="H895" s="12"/>
      <c r="L895" s="12"/>
    </row>
    <row r="896" spans="1:12" ht="15.75" customHeight="1" x14ac:dyDescent="0.3">
      <c r="A896" s="29" t="s">
        <v>538</v>
      </c>
      <c r="B896" s="50" t="str">
        <f>VLOOKUP(A896,'Sales Order'!A$2:B$1029,1,0)</f>
        <v>SO0300</v>
      </c>
      <c r="C896" s="29" t="s">
        <v>75</v>
      </c>
      <c r="D896" s="50" t="str">
        <f>VLOOKUP(C896,Product!A$2:B$21,1,0)</f>
        <v>PD0017</v>
      </c>
      <c r="E896" s="36">
        <v>141</v>
      </c>
      <c r="F896" s="38">
        <v>340021500</v>
      </c>
      <c r="G896" s="39" t="s">
        <v>3270</v>
      </c>
      <c r="H896" s="12"/>
      <c r="L896" s="12"/>
    </row>
    <row r="897" spans="1:12" ht="15.75" customHeight="1" x14ac:dyDescent="0.3">
      <c r="A897" s="29" t="s">
        <v>538</v>
      </c>
      <c r="B897" s="50" t="str">
        <f>VLOOKUP(A897,'Sales Order'!A$2:B$1029,1,0)</f>
        <v>SO0300</v>
      </c>
      <c r="C897" s="29" t="s">
        <v>58</v>
      </c>
      <c r="D897" s="50" t="str">
        <f>VLOOKUP(C897,Product!A$2:B$21,1,0)</f>
        <v>PD0012</v>
      </c>
      <c r="E897" s="36">
        <v>79</v>
      </c>
      <c r="F897" s="38">
        <v>387568470</v>
      </c>
      <c r="G897" s="39" t="s">
        <v>3271</v>
      </c>
      <c r="H897" s="12"/>
      <c r="L897" s="12"/>
    </row>
    <row r="898" spans="1:12" ht="15.75" customHeight="1" x14ac:dyDescent="0.3">
      <c r="A898" s="17" t="s">
        <v>539</v>
      </c>
      <c r="B898" s="50" t="str">
        <f>VLOOKUP(A898,'Sales Order'!A$2:B$1029,1,0)</f>
        <v>SO0301</v>
      </c>
      <c r="C898" s="29" t="s">
        <v>81</v>
      </c>
      <c r="D898" s="50" t="str">
        <f>VLOOKUP(C898,Product!A$2:B$21,1,0)</f>
        <v>PD0019</v>
      </c>
      <c r="E898" s="36">
        <v>75</v>
      </c>
      <c r="F898" s="38">
        <v>162498750</v>
      </c>
      <c r="G898" s="39" t="s">
        <v>3272</v>
      </c>
      <c r="H898" s="12"/>
      <c r="L898" s="12"/>
    </row>
    <row r="899" spans="1:12" ht="15.75" customHeight="1" x14ac:dyDescent="0.3">
      <c r="A899" s="17" t="s">
        <v>540</v>
      </c>
      <c r="B899" s="50" t="str">
        <f>VLOOKUP(A899,'Sales Order'!A$2:B$1029,1,0)</f>
        <v>SO0302</v>
      </c>
      <c r="C899" s="29" t="s">
        <v>81</v>
      </c>
      <c r="D899" s="50" t="str">
        <f>VLOOKUP(C899,Product!A$2:B$21,1,0)</f>
        <v>PD0019</v>
      </c>
      <c r="E899" s="36">
        <v>104</v>
      </c>
      <c r="F899" s="38">
        <v>246539279.99999997</v>
      </c>
      <c r="G899" s="39" t="s">
        <v>3273</v>
      </c>
      <c r="H899" s="12"/>
      <c r="L899" s="12"/>
    </row>
    <row r="900" spans="1:12" ht="15.75" customHeight="1" x14ac:dyDescent="0.3">
      <c r="A900" s="29" t="s">
        <v>540</v>
      </c>
      <c r="B900" s="50" t="str">
        <f>VLOOKUP(A900,'Sales Order'!A$2:B$1029,1,0)</f>
        <v>SO0302</v>
      </c>
      <c r="C900" s="29" t="s">
        <v>75</v>
      </c>
      <c r="D900" s="50" t="str">
        <f>VLOOKUP(C900,Product!A$2:B$21,1,0)</f>
        <v>PD0017</v>
      </c>
      <c r="E900" s="36">
        <v>82</v>
      </c>
      <c r="F900" s="38">
        <v>202089000</v>
      </c>
      <c r="G900" s="39" t="s">
        <v>3274</v>
      </c>
      <c r="H900" s="12"/>
      <c r="L900" s="12"/>
    </row>
    <row r="901" spans="1:12" ht="15.75" customHeight="1" x14ac:dyDescent="0.3">
      <c r="A901" s="17" t="s">
        <v>541</v>
      </c>
      <c r="B901" s="50" t="str">
        <f>VLOOKUP(A901,'Sales Order'!A$2:B$1029,1,0)</f>
        <v>SO0303</v>
      </c>
      <c r="C901" s="29" t="s">
        <v>48</v>
      </c>
      <c r="D901" s="50" t="str">
        <f>VLOOKUP(C901,Product!A$2:B$21,1,0)</f>
        <v>PD0009</v>
      </c>
      <c r="E901" s="36">
        <v>87</v>
      </c>
      <c r="F901" s="38">
        <v>10100700</v>
      </c>
      <c r="G901" s="39" t="s">
        <v>3275</v>
      </c>
      <c r="H901" s="12"/>
      <c r="L901" s="12"/>
    </row>
    <row r="902" spans="1:12" ht="15.75" customHeight="1" x14ac:dyDescent="0.3">
      <c r="A902" s="29" t="s">
        <v>541</v>
      </c>
      <c r="B902" s="50" t="str">
        <f>VLOOKUP(A902,'Sales Order'!A$2:B$1029,1,0)</f>
        <v>SO0303</v>
      </c>
      <c r="C902" s="29" t="s">
        <v>35</v>
      </c>
      <c r="D902" s="50" t="str">
        <f>VLOOKUP(C902,Product!A$2:B$21,1,0)</f>
        <v>PD0005</v>
      </c>
      <c r="E902" s="36">
        <v>123</v>
      </c>
      <c r="F902" s="38">
        <v>251086049.99999997</v>
      </c>
      <c r="G902" s="39" t="s">
        <v>3276</v>
      </c>
      <c r="H902" s="12"/>
      <c r="L902" s="12"/>
    </row>
    <row r="903" spans="1:12" ht="15.75" customHeight="1" x14ac:dyDescent="0.3">
      <c r="A903" s="29" t="s">
        <v>541</v>
      </c>
      <c r="B903" s="50" t="str">
        <f>VLOOKUP(A903,'Sales Order'!A$2:B$1029,1,0)</f>
        <v>SO0303</v>
      </c>
      <c r="C903" s="29" t="s">
        <v>43</v>
      </c>
      <c r="D903" s="50" t="str">
        <f>VLOOKUP(C903,Product!A$2:B$21,1,0)</f>
        <v>PD0007</v>
      </c>
      <c r="E903" s="36">
        <v>71</v>
      </c>
      <c r="F903" s="38">
        <v>204480000</v>
      </c>
      <c r="G903" s="39" t="s">
        <v>3277</v>
      </c>
      <c r="H903" s="12"/>
      <c r="L903" s="12"/>
    </row>
    <row r="904" spans="1:12" ht="15.75" customHeight="1" x14ac:dyDescent="0.3">
      <c r="A904" s="29" t="s">
        <v>541</v>
      </c>
      <c r="B904" s="50" t="str">
        <f>VLOOKUP(A904,'Sales Order'!A$2:B$1029,1,0)</f>
        <v>SO0303</v>
      </c>
      <c r="C904" s="29" t="s">
        <v>72</v>
      </c>
      <c r="D904" s="50" t="str">
        <f>VLOOKUP(C904,Product!A$2:B$21,1,0)</f>
        <v>PD0016</v>
      </c>
      <c r="E904" s="36">
        <v>79</v>
      </c>
      <c r="F904" s="38">
        <v>15819750</v>
      </c>
      <c r="G904" s="39" t="s">
        <v>3278</v>
      </c>
      <c r="H904" s="12"/>
      <c r="L904" s="12"/>
    </row>
    <row r="905" spans="1:12" ht="15.75" customHeight="1" x14ac:dyDescent="0.3">
      <c r="A905" s="17" t="s">
        <v>542</v>
      </c>
      <c r="B905" s="50" t="str">
        <f>VLOOKUP(A905,'Sales Order'!A$2:B$1029,1,0)</f>
        <v>SO0304</v>
      </c>
      <c r="C905" s="29" t="s">
        <v>52</v>
      </c>
      <c r="D905" s="50" t="str">
        <f>VLOOKUP(C905,Product!A$2:B$21,1,0)</f>
        <v>PD0010</v>
      </c>
      <c r="E905" s="36">
        <v>114</v>
      </c>
      <c r="F905" s="38">
        <v>30381000.000000004</v>
      </c>
      <c r="G905" s="39" t="s">
        <v>3279</v>
      </c>
      <c r="H905" s="12"/>
      <c r="L905" s="12"/>
    </row>
    <row r="906" spans="1:12" ht="15.75" customHeight="1" x14ac:dyDescent="0.3">
      <c r="A906" s="29" t="s">
        <v>542</v>
      </c>
      <c r="B906" s="50" t="str">
        <f>VLOOKUP(A906,'Sales Order'!A$2:B$1029,1,0)</f>
        <v>SO0304</v>
      </c>
      <c r="C906" s="29" t="s">
        <v>40</v>
      </c>
      <c r="D906" s="50" t="str">
        <f>VLOOKUP(C906,Product!A$2:B$21,1,0)</f>
        <v>PD0006</v>
      </c>
      <c r="E906" s="36">
        <v>89</v>
      </c>
      <c r="F906" s="38">
        <v>16926910</v>
      </c>
      <c r="G906" s="39" t="s">
        <v>3280</v>
      </c>
      <c r="H906" s="12"/>
      <c r="L906" s="12"/>
    </row>
    <row r="907" spans="1:12" ht="15.75" customHeight="1" x14ac:dyDescent="0.3">
      <c r="A907" s="29" t="s">
        <v>542</v>
      </c>
      <c r="B907" s="50" t="str">
        <f>VLOOKUP(A907,'Sales Order'!A$2:B$1029,1,0)</f>
        <v>SO0304</v>
      </c>
      <c r="C907" s="29" t="s">
        <v>43</v>
      </c>
      <c r="D907" s="50" t="str">
        <f>VLOOKUP(C907,Product!A$2:B$21,1,0)</f>
        <v>PD0007</v>
      </c>
      <c r="E907" s="36">
        <v>81</v>
      </c>
      <c r="F907" s="38">
        <v>209952000</v>
      </c>
      <c r="G907" s="39" t="s">
        <v>3281</v>
      </c>
      <c r="H907" s="12"/>
      <c r="L907" s="12"/>
    </row>
    <row r="908" spans="1:12" ht="15.75" customHeight="1" x14ac:dyDescent="0.3">
      <c r="A908" s="17" t="s">
        <v>543</v>
      </c>
      <c r="B908" s="50" t="str">
        <f>VLOOKUP(A908,'Sales Order'!A$2:B$1029,1,0)</f>
        <v>SO0305</v>
      </c>
      <c r="C908" s="29" t="s">
        <v>45</v>
      </c>
      <c r="D908" s="50" t="str">
        <f>VLOOKUP(C908,Product!A$2:B$21,1,0)</f>
        <v>PD0008</v>
      </c>
      <c r="E908" s="36">
        <v>74</v>
      </c>
      <c r="F908" s="38">
        <v>9702880</v>
      </c>
      <c r="G908" s="39" t="s">
        <v>3282</v>
      </c>
      <c r="H908" s="12"/>
      <c r="L908" s="12"/>
    </row>
    <row r="909" spans="1:12" ht="15.75" customHeight="1" x14ac:dyDescent="0.3">
      <c r="A909" s="29" t="s">
        <v>543</v>
      </c>
      <c r="B909" s="50" t="str">
        <f>VLOOKUP(A909,'Sales Order'!A$2:B$1029,1,0)</f>
        <v>SO0305</v>
      </c>
      <c r="C909" s="29" t="s">
        <v>40</v>
      </c>
      <c r="D909" s="50" t="str">
        <f>VLOOKUP(C909,Product!A$2:B$21,1,0)</f>
        <v>PD0006</v>
      </c>
      <c r="E909" s="36">
        <v>100</v>
      </c>
      <c r="F909" s="38">
        <v>16511000</v>
      </c>
      <c r="G909" s="39" t="s">
        <v>3283</v>
      </c>
      <c r="H909" s="12"/>
      <c r="L909" s="12"/>
    </row>
    <row r="910" spans="1:12" ht="15.75" customHeight="1" x14ac:dyDescent="0.3">
      <c r="A910" s="29" t="s">
        <v>543</v>
      </c>
      <c r="B910" s="50" t="str">
        <f>VLOOKUP(A910,'Sales Order'!A$2:B$1029,1,0)</f>
        <v>SO0305</v>
      </c>
      <c r="C910" s="29" t="s">
        <v>58</v>
      </c>
      <c r="D910" s="50" t="str">
        <f>VLOOKUP(C910,Product!A$2:B$21,1,0)</f>
        <v>PD0012</v>
      </c>
      <c r="E910" s="36">
        <v>113</v>
      </c>
      <c r="F910" s="38">
        <v>528881810</v>
      </c>
      <c r="G910" s="39" t="s">
        <v>3284</v>
      </c>
      <c r="H910" s="12"/>
      <c r="L910" s="12"/>
    </row>
    <row r="911" spans="1:12" ht="15.75" customHeight="1" x14ac:dyDescent="0.3">
      <c r="A911" s="17" t="s">
        <v>544</v>
      </c>
      <c r="B911" s="50" t="str">
        <f>VLOOKUP(A911,'Sales Order'!A$2:B$1029,1,0)</f>
        <v>SO0306</v>
      </c>
      <c r="C911" s="29" t="s">
        <v>40</v>
      </c>
      <c r="D911" s="50" t="str">
        <f>VLOOKUP(C911,Product!A$2:B$21,1,0)</f>
        <v>PD0006</v>
      </c>
      <c r="E911" s="36">
        <v>72</v>
      </c>
      <c r="F911" s="38">
        <v>12790800</v>
      </c>
      <c r="G911" s="39" t="s">
        <v>3285</v>
      </c>
      <c r="H911" s="12"/>
      <c r="L911" s="12"/>
    </row>
    <row r="912" spans="1:12" ht="15.75" customHeight="1" x14ac:dyDescent="0.3">
      <c r="A912" s="29" t="s">
        <v>544</v>
      </c>
      <c r="B912" s="50" t="str">
        <f>VLOOKUP(A912,'Sales Order'!A$2:B$1029,1,0)</f>
        <v>SO0306</v>
      </c>
      <c r="C912" s="29" t="s">
        <v>28</v>
      </c>
      <c r="D912" s="50" t="str">
        <f>VLOOKUP(C912,Product!A$2:B$21,1,0)</f>
        <v>PD0003</v>
      </c>
      <c r="E912" s="36">
        <v>111</v>
      </c>
      <c r="F912" s="38">
        <v>81639390</v>
      </c>
      <c r="G912" s="39" t="s">
        <v>3286</v>
      </c>
      <c r="H912" s="12"/>
      <c r="L912" s="12"/>
    </row>
    <row r="913" spans="1:12" ht="15.75" customHeight="1" x14ac:dyDescent="0.3">
      <c r="A913" s="29" t="s">
        <v>544</v>
      </c>
      <c r="B913" s="50" t="str">
        <f>VLOOKUP(A913,'Sales Order'!A$2:B$1029,1,0)</f>
        <v>SO0306</v>
      </c>
      <c r="C913" s="29" t="s">
        <v>83</v>
      </c>
      <c r="D913" s="50" t="str">
        <f>VLOOKUP(C913,Product!A$2:B$21,1,0)</f>
        <v>PD0020</v>
      </c>
      <c r="E913" s="36">
        <v>89</v>
      </c>
      <c r="F913" s="38">
        <v>22569510</v>
      </c>
      <c r="G913" s="39" t="s">
        <v>3287</v>
      </c>
      <c r="H913" s="12"/>
      <c r="L913" s="12"/>
    </row>
    <row r="914" spans="1:12" ht="15.75" customHeight="1" x14ac:dyDescent="0.3">
      <c r="A914" s="17" t="s">
        <v>545</v>
      </c>
      <c r="B914" s="50" t="str">
        <f>VLOOKUP(A914,'Sales Order'!A$2:B$1029,1,0)</f>
        <v>SO0307</v>
      </c>
      <c r="C914" s="29" t="s">
        <v>25</v>
      </c>
      <c r="D914" s="50" t="str">
        <f>VLOOKUP(C914,Product!A$2:B$21,1,0)</f>
        <v>PD0002</v>
      </c>
      <c r="E914" s="36">
        <v>58</v>
      </c>
      <c r="F914" s="38">
        <v>974400</v>
      </c>
      <c r="G914" s="39" t="s">
        <v>3288</v>
      </c>
      <c r="H914" s="12"/>
      <c r="L914" s="12"/>
    </row>
    <row r="915" spans="1:12" ht="15.75" customHeight="1" x14ac:dyDescent="0.3">
      <c r="A915" s="29" t="s">
        <v>545</v>
      </c>
      <c r="B915" s="50" t="str">
        <f>VLOOKUP(A915,'Sales Order'!A$2:B$1029,1,0)</f>
        <v>SO0307</v>
      </c>
      <c r="C915" s="29" t="s">
        <v>75</v>
      </c>
      <c r="D915" s="50" t="str">
        <f>VLOOKUP(C915,Product!A$2:B$21,1,0)</f>
        <v>PD0017</v>
      </c>
      <c r="E915" s="36">
        <v>127</v>
      </c>
      <c r="F915" s="38">
        <v>252412500</v>
      </c>
      <c r="G915" s="39" t="s">
        <v>3289</v>
      </c>
      <c r="H915" s="12"/>
      <c r="L915" s="12"/>
    </row>
    <row r="916" spans="1:12" ht="15.75" customHeight="1" x14ac:dyDescent="0.3">
      <c r="A916" s="17" t="s">
        <v>546</v>
      </c>
      <c r="B916" s="50" t="str">
        <f>VLOOKUP(A916,'Sales Order'!A$2:B$1029,1,0)</f>
        <v>SO0308</v>
      </c>
      <c r="C916" s="29" t="s">
        <v>78</v>
      </c>
      <c r="D916" s="50" t="str">
        <f>VLOOKUP(C916,Product!A$2:B$21,1,0)</f>
        <v>PD0018</v>
      </c>
      <c r="E916" s="36">
        <v>28</v>
      </c>
      <c r="F916" s="38">
        <v>12810560</v>
      </c>
      <c r="G916" s="39" t="s">
        <v>3290</v>
      </c>
      <c r="H916" s="12"/>
      <c r="L916" s="12"/>
    </row>
    <row r="917" spans="1:12" ht="15.75" customHeight="1" x14ac:dyDescent="0.3">
      <c r="A917" s="29" t="s">
        <v>546</v>
      </c>
      <c r="B917" s="50" t="str">
        <f>VLOOKUP(A917,'Sales Order'!A$2:B$1029,1,0)</f>
        <v>SO0308</v>
      </c>
      <c r="C917" s="29" t="s">
        <v>81</v>
      </c>
      <c r="D917" s="50" t="str">
        <f>VLOOKUP(C917,Product!A$2:B$21,1,0)</f>
        <v>PD0019</v>
      </c>
      <c r="E917" s="36">
        <v>103</v>
      </c>
      <c r="F917" s="38">
        <v>217914010</v>
      </c>
      <c r="G917" s="39" t="s">
        <v>3291</v>
      </c>
      <c r="H917" s="12"/>
      <c r="L917" s="12"/>
    </row>
    <row r="918" spans="1:12" ht="15.75" customHeight="1" x14ac:dyDescent="0.3">
      <c r="A918" s="29" t="s">
        <v>546</v>
      </c>
      <c r="B918" s="50" t="str">
        <f>VLOOKUP(A918,'Sales Order'!A$2:B$1029,1,0)</f>
        <v>SO0308</v>
      </c>
      <c r="C918" s="29" t="s">
        <v>65</v>
      </c>
      <c r="D918" s="50" t="str">
        <f>VLOOKUP(C918,Product!A$2:B$21,1,0)</f>
        <v>PD0014</v>
      </c>
      <c r="E918" s="36">
        <v>115</v>
      </c>
      <c r="F918" s="38">
        <v>27020400</v>
      </c>
      <c r="G918" s="39" t="s">
        <v>3292</v>
      </c>
      <c r="H918" s="12"/>
      <c r="L918" s="12"/>
    </row>
    <row r="919" spans="1:12" ht="15.75" customHeight="1" x14ac:dyDescent="0.3">
      <c r="A919" s="17" t="s">
        <v>547</v>
      </c>
      <c r="B919" s="50" t="str">
        <f>VLOOKUP(A919,'Sales Order'!A$2:B$1029,1,0)</f>
        <v>SO0309</v>
      </c>
      <c r="C919" s="29" t="s">
        <v>52</v>
      </c>
      <c r="D919" s="50" t="str">
        <f>VLOOKUP(C919,Product!A$2:B$21,1,0)</f>
        <v>PD0010</v>
      </c>
      <c r="E919" s="36">
        <v>92</v>
      </c>
      <c r="F919" s="38">
        <v>26611000</v>
      </c>
      <c r="G919" s="39" t="s">
        <v>3293</v>
      </c>
      <c r="H919" s="12"/>
      <c r="L919" s="12"/>
    </row>
    <row r="920" spans="1:12" ht="15.75" customHeight="1" x14ac:dyDescent="0.3">
      <c r="A920" s="29" t="s">
        <v>547</v>
      </c>
      <c r="B920" s="50" t="str">
        <f>VLOOKUP(A920,'Sales Order'!A$2:B$1029,1,0)</f>
        <v>SO0309</v>
      </c>
      <c r="C920" s="29" t="s">
        <v>35</v>
      </c>
      <c r="D920" s="50" t="str">
        <f>VLOOKUP(C920,Product!A$2:B$21,1,0)</f>
        <v>PD0005</v>
      </c>
      <c r="E920" s="36">
        <v>28</v>
      </c>
      <c r="F920" s="38">
        <v>57157799.999999993</v>
      </c>
      <c r="G920" s="39" t="s">
        <v>3294</v>
      </c>
      <c r="H920" s="12"/>
      <c r="L920" s="12"/>
    </row>
    <row r="921" spans="1:12" ht="15.75" customHeight="1" x14ac:dyDescent="0.3">
      <c r="A921" s="29" t="s">
        <v>547</v>
      </c>
      <c r="B921" s="50" t="str">
        <f>VLOOKUP(A921,'Sales Order'!A$2:B$1029,1,0)</f>
        <v>SO0309</v>
      </c>
      <c r="C921" s="29" t="s">
        <v>28</v>
      </c>
      <c r="D921" s="50" t="str">
        <f>VLOOKUP(C921,Product!A$2:B$21,1,0)</f>
        <v>PD0003</v>
      </c>
      <c r="E921" s="36">
        <v>94</v>
      </c>
      <c r="F921" s="38">
        <v>71761480</v>
      </c>
      <c r="G921" s="39" t="s">
        <v>3295</v>
      </c>
      <c r="H921" s="12"/>
      <c r="L921" s="12"/>
    </row>
    <row r="922" spans="1:12" ht="15.75" customHeight="1" x14ac:dyDescent="0.3">
      <c r="A922" s="17" t="s">
        <v>548</v>
      </c>
      <c r="B922" s="50" t="str">
        <f>VLOOKUP(A922,'Sales Order'!A$2:B$1029,1,0)</f>
        <v>SO0310</v>
      </c>
      <c r="C922" s="29" t="s">
        <v>48</v>
      </c>
      <c r="D922" s="50" t="str">
        <f>VLOOKUP(C922,Product!A$2:B$21,1,0)</f>
        <v>PD0009</v>
      </c>
      <c r="E922" s="36">
        <v>111</v>
      </c>
      <c r="F922" s="38">
        <v>11741580</v>
      </c>
      <c r="G922" s="39" t="s">
        <v>3296</v>
      </c>
      <c r="H922" s="12"/>
      <c r="L922" s="12"/>
    </row>
    <row r="923" spans="1:12" ht="15.75" customHeight="1" x14ac:dyDescent="0.3">
      <c r="A923" s="29" t="s">
        <v>548</v>
      </c>
      <c r="B923" s="50" t="str">
        <f>VLOOKUP(A923,'Sales Order'!A$2:B$1029,1,0)</f>
        <v>SO0310</v>
      </c>
      <c r="C923" s="29" t="s">
        <v>72</v>
      </c>
      <c r="D923" s="50" t="str">
        <f>VLOOKUP(C923,Product!A$2:B$21,1,0)</f>
        <v>PD0016</v>
      </c>
      <c r="E923" s="36">
        <v>100</v>
      </c>
      <c r="F923" s="38">
        <v>22695000</v>
      </c>
      <c r="G923" s="39" t="s">
        <v>3297</v>
      </c>
      <c r="H923" s="12"/>
      <c r="L923" s="12"/>
    </row>
    <row r="924" spans="1:12" ht="15.75" customHeight="1" x14ac:dyDescent="0.3">
      <c r="A924" s="29" t="s">
        <v>548</v>
      </c>
      <c r="B924" s="50" t="str">
        <f>VLOOKUP(A924,'Sales Order'!A$2:B$1029,1,0)</f>
        <v>SO0310</v>
      </c>
      <c r="C924" s="29" t="s">
        <v>81</v>
      </c>
      <c r="D924" s="50" t="str">
        <f>VLOOKUP(C924,Product!A$2:B$21,1,0)</f>
        <v>PD0019</v>
      </c>
      <c r="E924" s="36">
        <v>121</v>
      </c>
      <c r="F924" s="38">
        <v>246743200</v>
      </c>
      <c r="G924" s="39" t="s">
        <v>3298</v>
      </c>
      <c r="H924" s="12"/>
      <c r="L924" s="12"/>
    </row>
    <row r="925" spans="1:12" ht="15.75" customHeight="1" x14ac:dyDescent="0.3">
      <c r="A925" s="17" t="s">
        <v>549</v>
      </c>
      <c r="B925" s="50" t="str">
        <f>VLOOKUP(A925,'Sales Order'!A$2:B$1029,1,0)</f>
        <v>SO0311</v>
      </c>
      <c r="C925" s="29" t="s">
        <v>78</v>
      </c>
      <c r="D925" s="50" t="str">
        <f>VLOOKUP(C925,Product!A$2:B$21,1,0)</f>
        <v>PD0018</v>
      </c>
      <c r="E925" s="36">
        <v>132</v>
      </c>
      <c r="F925" s="38">
        <v>63201600</v>
      </c>
      <c r="G925" s="39" t="s">
        <v>3299</v>
      </c>
      <c r="H925" s="12"/>
      <c r="L925" s="12"/>
    </row>
    <row r="926" spans="1:12" ht="15.75" customHeight="1" x14ac:dyDescent="0.3">
      <c r="A926" s="17" t="s">
        <v>550</v>
      </c>
      <c r="B926" s="50" t="str">
        <f>VLOOKUP(A926,'Sales Order'!A$2:B$1029,1,0)</f>
        <v>SO0312</v>
      </c>
      <c r="C926" s="29" t="s">
        <v>33</v>
      </c>
      <c r="D926" s="50" t="str">
        <f>VLOOKUP(C926,Product!A$2:B$21,1,0)</f>
        <v>PD0004</v>
      </c>
      <c r="E926" s="36">
        <v>150</v>
      </c>
      <c r="F926" s="38">
        <v>24750000</v>
      </c>
      <c r="G926" s="39" t="s">
        <v>3300</v>
      </c>
      <c r="H926" s="12"/>
      <c r="L926" s="12"/>
    </row>
    <row r="927" spans="1:12" ht="15.75" customHeight="1" x14ac:dyDescent="0.3">
      <c r="A927" s="17" t="s">
        <v>551</v>
      </c>
      <c r="B927" s="50" t="str">
        <f>VLOOKUP(A927,'Sales Order'!A$2:B$1029,1,0)</f>
        <v>SO0313</v>
      </c>
      <c r="C927" s="29" t="s">
        <v>61</v>
      </c>
      <c r="D927" s="50" t="str">
        <f>VLOOKUP(C927,Product!A$2:B$21,1,0)</f>
        <v>PD0013</v>
      </c>
      <c r="E927" s="36">
        <v>73</v>
      </c>
      <c r="F927" s="38">
        <v>29372280</v>
      </c>
      <c r="G927" s="39" t="s">
        <v>3301</v>
      </c>
      <c r="H927" s="12"/>
      <c r="L927" s="12"/>
    </row>
    <row r="928" spans="1:12" ht="15.75" customHeight="1" x14ac:dyDescent="0.3">
      <c r="A928" s="29" t="s">
        <v>551</v>
      </c>
      <c r="B928" s="50" t="str">
        <f>VLOOKUP(A928,'Sales Order'!A$2:B$1029,1,0)</f>
        <v>SO0313</v>
      </c>
      <c r="C928" s="29" t="s">
        <v>40</v>
      </c>
      <c r="D928" s="50" t="str">
        <f>VLOOKUP(C928,Product!A$2:B$21,1,0)</f>
        <v>PD0006</v>
      </c>
      <c r="E928" s="36">
        <v>92</v>
      </c>
      <c r="F928" s="38">
        <v>14613280</v>
      </c>
      <c r="G928" s="39" t="s">
        <v>3302</v>
      </c>
      <c r="H928" s="12"/>
      <c r="L928" s="12"/>
    </row>
    <row r="929" spans="1:12" ht="15.75" customHeight="1" x14ac:dyDescent="0.3">
      <c r="A929" s="29" t="s">
        <v>551</v>
      </c>
      <c r="B929" s="50" t="str">
        <f>VLOOKUP(A929,'Sales Order'!A$2:B$1029,1,0)</f>
        <v>SO0313</v>
      </c>
      <c r="C929" s="29" t="s">
        <v>28</v>
      </c>
      <c r="D929" s="50" t="str">
        <f>VLOOKUP(C929,Product!A$2:B$21,1,0)</f>
        <v>PD0003</v>
      </c>
      <c r="E929" s="36">
        <v>43</v>
      </c>
      <c r="F929" s="38">
        <v>36430030</v>
      </c>
      <c r="G929" s="39" t="s">
        <v>3303</v>
      </c>
      <c r="H929" s="12"/>
      <c r="L929" s="12"/>
    </row>
    <row r="930" spans="1:12" ht="15.75" customHeight="1" x14ac:dyDescent="0.3">
      <c r="A930" s="17" t="s">
        <v>552</v>
      </c>
      <c r="B930" s="50" t="str">
        <f>VLOOKUP(A930,'Sales Order'!A$2:B$1029,1,0)</f>
        <v>SO0314</v>
      </c>
      <c r="C930" s="29" t="s">
        <v>45</v>
      </c>
      <c r="D930" s="50" t="str">
        <f>VLOOKUP(C930,Product!A$2:B$21,1,0)</f>
        <v>PD0008</v>
      </c>
      <c r="E930" s="36">
        <v>60</v>
      </c>
      <c r="F930" s="38">
        <v>7241400.0000000009</v>
      </c>
      <c r="G930" s="39" t="s">
        <v>3304</v>
      </c>
      <c r="H930" s="12"/>
      <c r="L930" s="12"/>
    </row>
    <row r="931" spans="1:12" ht="15.75" customHeight="1" x14ac:dyDescent="0.3">
      <c r="A931" s="29" t="s">
        <v>552</v>
      </c>
      <c r="B931" s="50" t="str">
        <f>VLOOKUP(A931,'Sales Order'!A$2:B$1029,1,0)</f>
        <v>SO0314</v>
      </c>
      <c r="C931" s="29" t="s">
        <v>65</v>
      </c>
      <c r="D931" s="50" t="str">
        <f>VLOOKUP(C931,Product!A$2:B$21,1,0)</f>
        <v>PD0014</v>
      </c>
      <c r="E931" s="36">
        <v>76</v>
      </c>
      <c r="F931" s="38">
        <v>15421920</v>
      </c>
      <c r="G931" s="39" t="s">
        <v>3305</v>
      </c>
      <c r="H931" s="12"/>
      <c r="L931" s="12"/>
    </row>
    <row r="932" spans="1:12" ht="15.75" customHeight="1" x14ac:dyDescent="0.3">
      <c r="A932" s="29" t="s">
        <v>552</v>
      </c>
      <c r="B932" s="50" t="str">
        <f>VLOOKUP(A932,'Sales Order'!A$2:B$1029,1,0)</f>
        <v>SO0314</v>
      </c>
      <c r="C932" s="29" t="s">
        <v>35</v>
      </c>
      <c r="D932" s="50" t="str">
        <f>VLOOKUP(C932,Product!A$2:B$21,1,0)</f>
        <v>PD0005</v>
      </c>
      <c r="E932" s="36">
        <v>35</v>
      </c>
      <c r="F932" s="38">
        <v>63764750</v>
      </c>
      <c r="G932" s="39" t="s">
        <v>3306</v>
      </c>
      <c r="H932" s="12"/>
      <c r="L932" s="12"/>
    </row>
    <row r="933" spans="1:12" ht="15.75" customHeight="1" x14ac:dyDescent="0.3">
      <c r="A933" s="17" t="s">
        <v>553</v>
      </c>
      <c r="B933" s="50" t="str">
        <f>VLOOKUP(A933,'Sales Order'!A$2:B$1029,1,0)</f>
        <v>SO0315</v>
      </c>
      <c r="C933" s="29" t="s">
        <v>75</v>
      </c>
      <c r="D933" s="50" t="str">
        <f>VLOOKUP(C933,Product!A$2:B$21,1,0)</f>
        <v>PD0017</v>
      </c>
      <c r="E933" s="36">
        <v>145</v>
      </c>
      <c r="F933" s="38">
        <v>288187500</v>
      </c>
      <c r="G933" s="39" t="s">
        <v>3307</v>
      </c>
      <c r="H933" s="12"/>
      <c r="L933" s="12"/>
    </row>
    <row r="934" spans="1:12" ht="15.75" customHeight="1" x14ac:dyDescent="0.3">
      <c r="A934" s="29" t="s">
        <v>553</v>
      </c>
      <c r="B934" s="50" t="str">
        <f>VLOOKUP(A934,'Sales Order'!A$2:B$1029,1,0)</f>
        <v>SO0315</v>
      </c>
      <c r="C934" s="29" t="s">
        <v>81</v>
      </c>
      <c r="D934" s="50" t="str">
        <f>VLOOKUP(C934,Product!A$2:B$21,1,0)</f>
        <v>PD0019</v>
      </c>
      <c r="E934" s="36">
        <v>109</v>
      </c>
      <c r="F934" s="38">
        <v>222272800</v>
      </c>
      <c r="G934" s="39" t="s">
        <v>3308</v>
      </c>
      <c r="H934" s="12"/>
      <c r="L934" s="12"/>
    </row>
    <row r="935" spans="1:12" ht="15.75" customHeight="1" x14ac:dyDescent="0.3">
      <c r="A935" s="29" t="s">
        <v>553</v>
      </c>
      <c r="B935" s="50" t="str">
        <f>VLOOKUP(A935,'Sales Order'!A$2:B$1029,1,0)</f>
        <v>SO0315</v>
      </c>
      <c r="C935" s="29" t="s">
        <v>61</v>
      </c>
      <c r="D935" s="50" t="str">
        <f>VLOOKUP(C935,Product!A$2:B$21,1,0)</f>
        <v>PD0013</v>
      </c>
      <c r="E935" s="36">
        <v>96</v>
      </c>
      <c r="F935" s="38">
        <v>39086400</v>
      </c>
      <c r="G935" s="39" t="s">
        <v>3309</v>
      </c>
      <c r="H935" s="12"/>
      <c r="L935" s="12"/>
    </row>
    <row r="936" spans="1:12" ht="15.75" customHeight="1" x14ac:dyDescent="0.3">
      <c r="A936" s="17" t="s">
        <v>554</v>
      </c>
      <c r="B936" s="50" t="str">
        <f>VLOOKUP(A936,'Sales Order'!A$2:B$1029,1,0)</f>
        <v>SO0316</v>
      </c>
      <c r="C936" s="29" t="s">
        <v>35</v>
      </c>
      <c r="D936" s="50" t="str">
        <f>VLOOKUP(C936,Product!A$2:B$21,1,0)</f>
        <v>PD0005</v>
      </c>
      <c r="E936" s="36">
        <v>27</v>
      </c>
      <c r="F936" s="38">
        <v>53338500</v>
      </c>
      <c r="G936" s="39" t="s">
        <v>3310</v>
      </c>
      <c r="H936" s="12"/>
      <c r="L936" s="12"/>
    </row>
    <row r="937" spans="1:12" ht="15.75" customHeight="1" x14ac:dyDescent="0.3">
      <c r="A937" s="29" t="s">
        <v>554</v>
      </c>
      <c r="B937" s="50" t="str">
        <f>VLOOKUP(A937,'Sales Order'!A$2:B$1029,1,0)</f>
        <v>SO0316</v>
      </c>
      <c r="C937" s="29" t="s">
        <v>43</v>
      </c>
      <c r="D937" s="50" t="str">
        <f>VLOOKUP(C937,Product!A$2:B$21,1,0)</f>
        <v>PD0007</v>
      </c>
      <c r="E937" s="36">
        <v>93</v>
      </c>
      <c r="F937" s="38">
        <v>276768000</v>
      </c>
      <c r="G937" s="39" t="s">
        <v>3311</v>
      </c>
      <c r="H937" s="12"/>
      <c r="L937" s="12"/>
    </row>
    <row r="938" spans="1:12" ht="15.75" customHeight="1" x14ac:dyDescent="0.3">
      <c r="A938" s="29" t="s">
        <v>554</v>
      </c>
      <c r="B938" s="50" t="str">
        <f>VLOOKUP(A938,'Sales Order'!A$2:B$1029,1,0)</f>
        <v>SO0316</v>
      </c>
      <c r="C938" s="29" t="s">
        <v>52</v>
      </c>
      <c r="D938" s="50" t="str">
        <f>VLOOKUP(C938,Product!A$2:B$21,1,0)</f>
        <v>PD0010</v>
      </c>
      <c r="E938" s="36">
        <v>35</v>
      </c>
      <c r="F938" s="38">
        <v>8986250</v>
      </c>
      <c r="G938" s="39" t="s">
        <v>3312</v>
      </c>
      <c r="H938" s="12"/>
      <c r="L938" s="12"/>
    </row>
    <row r="939" spans="1:12" ht="15.75" customHeight="1" x14ac:dyDescent="0.3">
      <c r="A939" s="17" t="s">
        <v>555</v>
      </c>
      <c r="B939" s="50" t="str">
        <f>VLOOKUP(A939,'Sales Order'!A$2:B$1029,1,0)</f>
        <v>SO0317</v>
      </c>
      <c r="C939" s="29" t="s">
        <v>65</v>
      </c>
      <c r="D939" s="50" t="str">
        <f>VLOOKUP(C939,Product!A$2:B$21,1,0)</f>
        <v>PD0014</v>
      </c>
      <c r="E939" s="36">
        <v>32</v>
      </c>
      <c r="F939" s="38">
        <v>7775040</v>
      </c>
      <c r="G939" s="39" t="s">
        <v>3313</v>
      </c>
      <c r="H939" s="12"/>
      <c r="L939" s="12"/>
    </row>
    <row r="940" spans="1:12" ht="15.75" customHeight="1" x14ac:dyDescent="0.3">
      <c r="A940" s="29" t="s">
        <v>555</v>
      </c>
      <c r="B940" s="50" t="str">
        <f>VLOOKUP(A940,'Sales Order'!A$2:B$1029,1,0)</f>
        <v>SO0317</v>
      </c>
      <c r="C940" s="29" t="s">
        <v>52</v>
      </c>
      <c r="D940" s="50" t="str">
        <f>VLOOKUP(C940,Product!A$2:B$21,1,0)</f>
        <v>PD0010</v>
      </c>
      <c r="E940" s="36">
        <v>99</v>
      </c>
      <c r="F940" s="38">
        <v>25418250</v>
      </c>
      <c r="G940" s="39" t="s">
        <v>3314</v>
      </c>
      <c r="H940" s="12"/>
      <c r="L940" s="12"/>
    </row>
    <row r="941" spans="1:12" ht="15.75" customHeight="1" x14ac:dyDescent="0.3">
      <c r="A941" s="29" t="s">
        <v>555</v>
      </c>
      <c r="B941" s="50" t="str">
        <f>VLOOKUP(A941,'Sales Order'!A$2:B$1029,1,0)</f>
        <v>SO0317</v>
      </c>
      <c r="C941" s="29" t="s">
        <v>69</v>
      </c>
      <c r="D941" s="50" t="str">
        <f>VLOOKUP(C941,Product!A$2:B$21,1,0)</f>
        <v>PD0015</v>
      </c>
      <c r="E941" s="36">
        <v>93</v>
      </c>
      <c r="F941" s="38">
        <v>9984573</v>
      </c>
      <c r="G941" s="39" t="s">
        <v>3315</v>
      </c>
      <c r="H941" s="12"/>
      <c r="L941" s="12"/>
    </row>
    <row r="942" spans="1:12" ht="15.75" customHeight="1" x14ac:dyDescent="0.3">
      <c r="A942" s="17" t="s">
        <v>556</v>
      </c>
      <c r="B942" s="50" t="str">
        <f>VLOOKUP(A942,'Sales Order'!A$2:B$1029,1,0)</f>
        <v>SO0318</v>
      </c>
      <c r="C942" s="29" t="s">
        <v>65</v>
      </c>
      <c r="D942" s="50" t="str">
        <f>VLOOKUP(C942,Product!A$2:B$21,1,0)</f>
        <v>PD0014</v>
      </c>
      <c r="E942" s="36">
        <v>123</v>
      </c>
      <c r="F942" s="38">
        <v>24959160</v>
      </c>
      <c r="G942" s="39" t="s">
        <v>3316</v>
      </c>
      <c r="H942" s="12"/>
      <c r="L942" s="12"/>
    </row>
    <row r="943" spans="1:12" ht="15.75" customHeight="1" x14ac:dyDescent="0.3">
      <c r="A943" s="29" t="s">
        <v>556</v>
      </c>
      <c r="B943" s="50" t="str">
        <f>VLOOKUP(A943,'Sales Order'!A$2:B$1029,1,0)</f>
        <v>SO0318</v>
      </c>
      <c r="C943" s="29" t="s">
        <v>78</v>
      </c>
      <c r="D943" s="50" t="str">
        <f>VLOOKUP(C943,Product!A$2:B$21,1,0)</f>
        <v>PD0018</v>
      </c>
      <c r="E943" s="36">
        <v>54</v>
      </c>
      <c r="F943" s="38">
        <v>23844240</v>
      </c>
      <c r="G943" s="39" t="s">
        <v>3317</v>
      </c>
      <c r="H943" s="12"/>
      <c r="L943" s="12"/>
    </row>
    <row r="944" spans="1:12" ht="15.75" customHeight="1" x14ac:dyDescent="0.3">
      <c r="A944" s="29" t="s">
        <v>556</v>
      </c>
      <c r="B944" s="50" t="str">
        <f>VLOOKUP(A944,'Sales Order'!A$2:B$1029,1,0)</f>
        <v>SO0318</v>
      </c>
      <c r="C944" s="29" t="s">
        <v>81</v>
      </c>
      <c r="D944" s="50" t="str">
        <f>VLOOKUP(C944,Product!A$2:B$21,1,0)</f>
        <v>PD0019</v>
      </c>
      <c r="E944" s="36">
        <v>85</v>
      </c>
      <c r="F944" s="38">
        <v>194998500</v>
      </c>
      <c r="G944" s="39" t="s">
        <v>3318</v>
      </c>
      <c r="H944" s="12"/>
      <c r="L944" s="12"/>
    </row>
    <row r="945" spans="1:12" ht="15.75" customHeight="1" x14ac:dyDescent="0.3">
      <c r="A945" s="29" t="s">
        <v>557</v>
      </c>
      <c r="B945" s="50" t="str">
        <f>VLOOKUP(A945,'Sales Order'!A$2:B$1029,1,0)</f>
        <v>SO0319</v>
      </c>
      <c r="C945" s="29" t="s">
        <v>55</v>
      </c>
      <c r="D945" s="50" t="str">
        <f>VLOOKUP(C945,Product!A$2:B$21,1,0)</f>
        <v>PD0011</v>
      </c>
      <c r="E945" s="36">
        <v>75</v>
      </c>
      <c r="F945" s="38">
        <v>132693750</v>
      </c>
      <c r="G945" s="39" t="s">
        <v>3319</v>
      </c>
      <c r="H945" s="12"/>
      <c r="L945" s="12"/>
    </row>
    <row r="946" spans="1:12" ht="15.75" customHeight="1" x14ac:dyDescent="0.3">
      <c r="A946" s="17" t="s">
        <v>558</v>
      </c>
      <c r="B946" s="50" t="str">
        <f>VLOOKUP(A946,'Sales Order'!A$2:B$1029,1,0)</f>
        <v>SO0320</v>
      </c>
      <c r="C946" s="29" t="s">
        <v>48</v>
      </c>
      <c r="D946" s="50" t="str">
        <f>VLOOKUP(C946,Product!A$2:B$21,1,0)</f>
        <v>PD0009</v>
      </c>
      <c r="E946" s="36">
        <v>56</v>
      </c>
      <c r="F946" s="38">
        <v>6068160</v>
      </c>
      <c r="G946" s="39" t="s">
        <v>3320</v>
      </c>
      <c r="H946" s="12"/>
      <c r="L946" s="12"/>
    </row>
    <row r="947" spans="1:12" ht="15.75" customHeight="1" x14ac:dyDescent="0.3">
      <c r="A947" s="29" t="s">
        <v>558</v>
      </c>
      <c r="B947" s="50" t="str">
        <f>VLOOKUP(A947,'Sales Order'!A$2:B$1029,1,0)</f>
        <v>SO0320</v>
      </c>
      <c r="C947" s="29" t="s">
        <v>65</v>
      </c>
      <c r="D947" s="50" t="str">
        <f>VLOOKUP(C947,Product!A$2:B$21,1,0)</f>
        <v>PD0014</v>
      </c>
      <c r="E947" s="36">
        <v>44</v>
      </c>
      <c r="F947" s="38">
        <v>10808160</v>
      </c>
      <c r="G947" s="39" t="s">
        <v>3321</v>
      </c>
      <c r="H947" s="12"/>
      <c r="L947" s="12"/>
    </row>
    <row r="948" spans="1:12" ht="15.75" customHeight="1" x14ac:dyDescent="0.3">
      <c r="A948" s="17" t="s">
        <v>559</v>
      </c>
      <c r="B948" s="50" t="str">
        <f>VLOOKUP(A948,'Sales Order'!A$2:B$1029,1,0)</f>
        <v>SO0321</v>
      </c>
      <c r="C948" s="29" t="s">
        <v>28</v>
      </c>
      <c r="D948" s="50" t="str">
        <f>VLOOKUP(C948,Product!A$2:B$21,1,0)</f>
        <v>PD0003</v>
      </c>
      <c r="E948" s="36">
        <v>59</v>
      </c>
      <c r="F948" s="38">
        <v>46140360</v>
      </c>
      <c r="G948" s="39" t="s">
        <v>3322</v>
      </c>
      <c r="H948" s="12"/>
      <c r="L948" s="12"/>
    </row>
    <row r="949" spans="1:12" ht="15.75" customHeight="1" x14ac:dyDescent="0.3">
      <c r="A949" s="29" t="s">
        <v>559</v>
      </c>
      <c r="B949" s="50" t="str">
        <f>VLOOKUP(A949,'Sales Order'!A$2:B$1029,1,0)</f>
        <v>SO0321</v>
      </c>
      <c r="C949" s="29" t="s">
        <v>45</v>
      </c>
      <c r="D949" s="50" t="str">
        <f>VLOOKUP(C949,Product!A$2:B$21,1,0)</f>
        <v>PD0008</v>
      </c>
      <c r="E949" s="36">
        <v>131</v>
      </c>
      <c r="F949" s="38">
        <v>14834440</v>
      </c>
      <c r="G949" s="39" t="s">
        <v>3323</v>
      </c>
      <c r="H949" s="12"/>
      <c r="L949" s="12"/>
    </row>
    <row r="950" spans="1:12" ht="15.75" customHeight="1" x14ac:dyDescent="0.3">
      <c r="A950" s="29" t="s">
        <v>559</v>
      </c>
      <c r="B950" s="50" t="str">
        <f>VLOOKUP(A950,'Sales Order'!A$2:B$1029,1,0)</f>
        <v>SO0321</v>
      </c>
      <c r="C950" s="29" t="s">
        <v>61</v>
      </c>
      <c r="D950" s="50" t="str">
        <f>VLOOKUP(C950,Product!A$2:B$21,1,0)</f>
        <v>PD0013</v>
      </c>
      <c r="E950" s="36">
        <v>36</v>
      </c>
      <c r="F950" s="38">
        <v>15002280</v>
      </c>
      <c r="G950" s="39" t="s">
        <v>3324</v>
      </c>
      <c r="H950" s="12"/>
      <c r="L950" s="12"/>
    </row>
    <row r="951" spans="1:12" ht="15.75" customHeight="1" x14ac:dyDescent="0.3">
      <c r="A951" s="29" t="s">
        <v>559</v>
      </c>
      <c r="B951" s="50" t="str">
        <f>VLOOKUP(A951,'Sales Order'!A$2:B$1029,1,0)</f>
        <v>SO0321</v>
      </c>
      <c r="C951" s="29" t="s">
        <v>19</v>
      </c>
      <c r="D951" s="50" t="str">
        <f>VLOOKUP(C951,Product!A$2:B$21,1,0)</f>
        <v>PD0001</v>
      </c>
      <c r="E951" s="36">
        <v>145</v>
      </c>
      <c r="F951" s="38">
        <v>29245050.000000004</v>
      </c>
      <c r="G951" s="39" t="s">
        <v>3325</v>
      </c>
      <c r="H951" s="12"/>
      <c r="L951" s="12"/>
    </row>
    <row r="952" spans="1:12" ht="15.75" customHeight="1" x14ac:dyDescent="0.3">
      <c r="A952" s="17" t="s">
        <v>560</v>
      </c>
      <c r="B952" s="50" t="str">
        <f>VLOOKUP(A952,'Sales Order'!A$2:B$1029,1,0)</f>
        <v>SO0322</v>
      </c>
      <c r="C952" s="29" t="s">
        <v>35</v>
      </c>
      <c r="D952" s="50" t="str">
        <f>VLOOKUP(C952,Product!A$2:B$21,1,0)</f>
        <v>PD0005</v>
      </c>
      <c r="E952" s="36">
        <v>105</v>
      </c>
      <c r="F952" s="38">
        <v>216646500</v>
      </c>
      <c r="G952" s="39" t="s">
        <v>3326</v>
      </c>
      <c r="H952" s="12"/>
      <c r="L952" s="12"/>
    </row>
    <row r="953" spans="1:12" ht="15.75" customHeight="1" x14ac:dyDescent="0.3">
      <c r="A953" s="29" t="s">
        <v>560</v>
      </c>
      <c r="B953" s="50" t="str">
        <f>VLOOKUP(A953,'Sales Order'!A$2:B$1029,1,0)</f>
        <v>SO0322</v>
      </c>
      <c r="C953" s="29" t="s">
        <v>45</v>
      </c>
      <c r="D953" s="50" t="str">
        <f>VLOOKUP(C953,Product!A$2:B$21,1,0)</f>
        <v>PD0008</v>
      </c>
      <c r="E953" s="36">
        <v>91</v>
      </c>
      <c r="F953" s="38">
        <v>11253970</v>
      </c>
      <c r="G953" s="39" t="s">
        <v>3327</v>
      </c>
      <c r="H953" s="12"/>
      <c r="L953" s="12"/>
    </row>
    <row r="954" spans="1:12" ht="15.75" customHeight="1" x14ac:dyDescent="0.3">
      <c r="A954" s="29" t="s">
        <v>560</v>
      </c>
      <c r="B954" s="50" t="str">
        <f>VLOOKUP(A954,'Sales Order'!A$2:B$1029,1,0)</f>
        <v>SO0322</v>
      </c>
      <c r="C954" s="29" t="s">
        <v>58</v>
      </c>
      <c r="D954" s="50" t="str">
        <f>VLOOKUP(C954,Product!A$2:B$21,1,0)</f>
        <v>PD0012</v>
      </c>
      <c r="E954" s="36">
        <v>33</v>
      </c>
      <c r="F954" s="38">
        <v>143286990</v>
      </c>
      <c r="G954" s="39" t="s">
        <v>3328</v>
      </c>
      <c r="H954" s="12"/>
      <c r="L954" s="12"/>
    </row>
    <row r="955" spans="1:12" ht="15.75" customHeight="1" x14ac:dyDescent="0.3">
      <c r="A955" s="17" t="s">
        <v>561</v>
      </c>
      <c r="B955" s="50" t="str">
        <f>VLOOKUP(A955,'Sales Order'!A$2:B$1029,1,0)</f>
        <v>SO0323</v>
      </c>
      <c r="C955" s="29" t="s">
        <v>35</v>
      </c>
      <c r="D955" s="50" t="str">
        <f>VLOOKUP(C955,Product!A$2:B$21,1,0)</f>
        <v>PD0005</v>
      </c>
      <c r="E955" s="36">
        <v>145</v>
      </c>
      <c r="F955" s="38">
        <v>260985500.00000003</v>
      </c>
      <c r="G955" s="39" t="s">
        <v>3329</v>
      </c>
      <c r="H955" s="12"/>
      <c r="L955" s="12"/>
    </row>
    <row r="956" spans="1:12" ht="15.75" customHeight="1" x14ac:dyDescent="0.3">
      <c r="A956" s="29" t="s">
        <v>561</v>
      </c>
      <c r="B956" s="50" t="str">
        <f>VLOOKUP(A956,'Sales Order'!A$2:B$1029,1,0)</f>
        <v>SO0323</v>
      </c>
      <c r="C956" s="29" t="s">
        <v>40</v>
      </c>
      <c r="D956" s="50" t="str">
        <f>VLOOKUP(C956,Product!A$2:B$21,1,0)</f>
        <v>PD0006</v>
      </c>
      <c r="E956" s="36">
        <v>140</v>
      </c>
      <c r="F956" s="38">
        <v>26919200</v>
      </c>
      <c r="G956" s="39" t="s">
        <v>3330</v>
      </c>
      <c r="H956" s="12"/>
      <c r="L956" s="12"/>
    </row>
    <row r="957" spans="1:12" ht="15.75" customHeight="1" x14ac:dyDescent="0.3">
      <c r="A957" s="17" t="s">
        <v>562</v>
      </c>
      <c r="B957" s="50" t="str">
        <f>VLOOKUP(A957,'Sales Order'!A$2:B$1029,1,0)</f>
        <v>SO0324</v>
      </c>
      <c r="C957" s="29" t="s">
        <v>33</v>
      </c>
      <c r="D957" s="50" t="str">
        <f>VLOOKUP(C957,Product!A$2:B$21,1,0)</f>
        <v>PD0004</v>
      </c>
      <c r="E957" s="36">
        <v>112</v>
      </c>
      <c r="F957" s="38">
        <v>22915200</v>
      </c>
      <c r="G957" s="39" t="s">
        <v>3331</v>
      </c>
      <c r="H957" s="12"/>
      <c r="L957" s="12"/>
    </row>
    <row r="958" spans="1:12" ht="15.75" customHeight="1" x14ac:dyDescent="0.3">
      <c r="A958" s="29" t="s">
        <v>562</v>
      </c>
      <c r="B958" s="50" t="str">
        <f>VLOOKUP(A958,'Sales Order'!A$2:B$1029,1,0)</f>
        <v>SO0324</v>
      </c>
      <c r="C958" s="29" t="s">
        <v>81</v>
      </c>
      <c r="D958" s="50" t="str">
        <f>VLOOKUP(C958,Product!A$2:B$21,1,0)</f>
        <v>PD0019</v>
      </c>
      <c r="E958" s="36">
        <v>48</v>
      </c>
      <c r="F958" s="38">
        <v>96658080</v>
      </c>
      <c r="G958" s="39" t="s">
        <v>3332</v>
      </c>
      <c r="H958" s="12"/>
      <c r="L958" s="12"/>
    </row>
    <row r="959" spans="1:12" ht="15.75" customHeight="1" x14ac:dyDescent="0.3">
      <c r="A959" s="29" t="s">
        <v>562</v>
      </c>
      <c r="B959" s="50" t="str">
        <f>VLOOKUP(A959,'Sales Order'!A$2:B$1029,1,0)</f>
        <v>SO0324</v>
      </c>
      <c r="C959" s="29" t="s">
        <v>55</v>
      </c>
      <c r="D959" s="50" t="str">
        <f>VLOOKUP(C959,Product!A$2:B$21,1,0)</f>
        <v>PD0011</v>
      </c>
      <c r="E959" s="36">
        <v>76</v>
      </c>
      <c r="F959" s="38">
        <v>154184240</v>
      </c>
      <c r="G959" s="39" t="s">
        <v>3333</v>
      </c>
      <c r="H959" s="12"/>
      <c r="L959" s="12"/>
    </row>
    <row r="960" spans="1:12" ht="15.75" customHeight="1" x14ac:dyDescent="0.3">
      <c r="A960" s="29" t="s">
        <v>562</v>
      </c>
      <c r="B960" s="50" t="str">
        <f>VLOOKUP(A960,'Sales Order'!A$2:B$1029,1,0)</f>
        <v>SO0324</v>
      </c>
      <c r="C960" s="29" t="s">
        <v>83</v>
      </c>
      <c r="D960" s="50" t="str">
        <f>VLOOKUP(C960,Product!A$2:B$21,1,0)</f>
        <v>PD0020</v>
      </c>
      <c r="E960" s="36">
        <v>62</v>
      </c>
      <c r="F960" s="38">
        <v>16717680</v>
      </c>
      <c r="G960" s="39" t="s">
        <v>3334</v>
      </c>
      <c r="H960" s="12"/>
      <c r="L960" s="12"/>
    </row>
    <row r="961" spans="1:12" ht="15.75" customHeight="1" x14ac:dyDescent="0.3">
      <c r="A961" s="17" t="s">
        <v>563</v>
      </c>
      <c r="B961" s="50" t="str">
        <f>VLOOKUP(A961,'Sales Order'!A$2:B$1029,1,0)</f>
        <v>SO0325</v>
      </c>
      <c r="C961" s="29" t="s">
        <v>72</v>
      </c>
      <c r="D961" s="50" t="str">
        <f>VLOOKUP(C961,Product!A$2:B$21,1,0)</f>
        <v>PD0016</v>
      </c>
      <c r="E961" s="36">
        <v>53</v>
      </c>
      <c r="F961" s="38">
        <v>11603820</v>
      </c>
      <c r="G961" s="39" t="s">
        <v>3335</v>
      </c>
      <c r="H961" s="12"/>
      <c r="L961" s="12"/>
    </row>
    <row r="962" spans="1:12" ht="15.75" customHeight="1" x14ac:dyDescent="0.3">
      <c r="A962" s="29" t="s">
        <v>563</v>
      </c>
      <c r="B962" s="50" t="str">
        <f>VLOOKUP(A962,'Sales Order'!A$2:B$1029,1,0)</f>
        <v>SO0325</v>
      </c>
      <c r="C962" s="29" t="s">
        <v>43</v>
      </c>
      <c r="D962" s="50" t="str">
        <f>VLOOKUP(C962,Product!A$2:B$21,1,0)</f>
        <v>PD0007</v>
      </c>
      <c r="E962" s="36">
        <v>50</v>
      </c>
      <c r="F962" s="38">
        <v>136000000</v>
      </c>
      <c r="G962" s="39" t="s">
        <v>3336</v>
      </c>
      <c r="H962" s="12"/>
      <c r="L962" s="12"/>
    </row>
    <row r="963" spans="1:12" ht="15.75" customHeight="1" x14ac:dyDescent="0.3">
      <c r="A963" s="17" t="s">
        <v>564</v>
      </c>
      <c r="B963" s="50" t="str">
        <f>VLOOKUP(A963,'Sales Order'!A$2:B$1029,1,0)</f>
        <v>SO0326</v>
      </c>
      <c r="C963" s="29" t="s">
        <v>48</v>
      </c>
      <c r="D963" s="50" t="str">
        <f>VLOOKUP(C963,Product!A$2:B$21,1,0)</f>
        <v>PD0009</v>
      </c>
      <c r="E963" s="36">
        <v>54</v>
      </c>
      <c r="F963" s="38">
        <v>6478380</v>
      </c>
      <c r="G963" s="39" t="s">
        <v>3337</v>
      </c>
      <c r="H963" s="12"/>
      <c r="L963" s="12"/>
    </row>
    <row r="964" spans="1:12" ht="15.75" customHeight="1" x14ac:dyDescent="0.3">
      <c r="A964" s="17" t="s">
        <v>565</v>
      </c>
      <c r="B964" s="50" t="str">
        <f>VLOOKUP(A964,'Sales Order'!A$2:B$1029,1,0)</f>
        <v>SO0327</v>
      </c>
      <c r="C964" s="29" t="s">
        <v>75</v>
      </c>
      <c r="D964" s="50" t="str">
        <f>VLOOKUP(C964,Product!A$2:B$21,1,0)</f>
        <v>PD0017</v>
      </c>
      <c r="E964" s="36">
        <v>132</v>
      </c>
      <c r="F964" s="38">
        <v>311322000</v>
      </c>
      <c r="G964" s="39" t="s">
        <v>3338</v>
      </c>
      <c r="H964" s="12"/>
      <c r="L964" s="12"/>
    </row>
    <row r="965" spans="1:12" ht="15.75" customHeight="1" x14ac:dyDescent="0.3">
      <c r="A965" s="17" t="s">
        <v>566</v>
      </c>
      <c r="B965" s="50" t="str">
        <f>VLOOKUP(A965,'Sales Order'!A$2:B$1029,1,0)</f>
        <v>SO0328</v>
      </c>
      <c r="C965" s="29" t="s">
        <v>45</v>
      </c>
      <c r="D965" s="50" t="str">
        <f>VLOOKUP(C965,Product!A$2:B$21,1,0)</f>
        <v>PD0008</v>
      </c>
      <c r="E965" s="36">
        <v>76</v>
      </c>
      <c r="F965" s="38">
        <v>9398920</v>
      </c>
      <c r="G965" s="39" t="s">
        <v>3339</v>
      </c>
      <c r="H965" s="12"/>
      <c r="L965" s="12"/>
    </row>
    <row r="966" spans="1:12" ht="15.75" customHeight="1" x14ac:dyDescent="0.3">
      <c r="A966" s="29" t="s">
        <v>566</v>
      </c>
      <c r="B966" s="50" t="str">
        <f>VLOOKUP(A966,'Sales Order'!A$2:B$1029,1,0)</f>
        <v>SO0328</v>
      </c>
      <c r="C966" s="29" t="s">
        <v>48</v>
      </c>
      <c r="D966" s="50" t="str">
        <f>VLOOKUP(C966,Product!A$2:B$21,1,0)</f>
        <v>PD0009</v>
      </c>
      <c r="E966" s="36">
        <v>111</v>
      </c>
      <c r="F966" s="38">
        <v>11455200</v>
      </c>
      <c r="G966" s="39" t="s">
        <v>3340</v>
      </c>
      <c r="H966" s="12"/>
      <c r="L966" s="12"/>
    </row>
    <row r="967" spans="1:12" ht="15.75" customHeight="1" x14ac:dyDescent="0.3">
      <c r="A967" s="29" t="s">
        <v>566</v>
      </c>
      <c r="B967" s="50" t="str">
        <f>VLOOKUP(A967,'Sales Order'!A$2:B$1029,1,0)</f>
        <v>SO0328</v>
      </c>
      <c r="C967" s="29" t="s">
        <v>28</v>
      </c>
      <c r="D967" s="50" t="str">
        <f>VLOOKUP(C967,Product!A$2:B$21,1,0)</f>
        <v>PD0003</v>
      </c>
      <c r="E967" s="36">
        <v>110</v>
      </c>
      <c r="F967" s="38">
        <v>77831600</v>
      </c>
      <c r="G967" s="39" t="s">
        <v>3341</v>
      </c>
      <c r="H967" s="12"/>
      <c r="L967" s="12"/>
    </row>
    <row r="968" spans="1:12" ht="15.75" customHeight="1" x14ac:dyDescent="0.3">
      <c r="A968" s="29" t="s">
        <v>566</v>
      </c>
      <c r="B968" s="50" t="str">
        <f>VLOOKUP(A968,'Sales Order'!A$2:B$1029,1,0)</f>
        <v>SO0328</v>
      </c>
      <c r="C968" s="29" t="s">
        <v>78</v>
      </c>
      <c r="D968" s="50" t="str">
        <f>VLOOKUP(C968,Product!A$2:B$21,1,0)</f>
        <v>PD0018</v>
      </c>
      <c r="E968" s="36">
        <v>122</v>
      </c>
      <c r="F968" s="38">
        <v>55168400</v>
      </c>
      <c r="G968" s="39" t="s">
        <v>3342</v>
      </c>
      <c r="H968" s="12"/>
      <c r="L968" s="12"/>
    </row>
    <row r="969" spans="1:12" ht="15.75" customHeight="1" x14ac:dyDescent="0.3">
      <c r="A969" s="17" t="s">
        <v>567</v>
      </c>
      <c r="B969" s="50" t="str">
        <f>VLOOKUP(A969,'Sales Order'!A$2:B$1029,1,0)</f>
        <v>SO0329</v>
      </c>
      <c r="C969" s="29" t="s">
        <v>81</v>
      </c>
      <c r="D969" s="50" t="str">
        <f>VLOOKUP(C969,Product!A$2:B$21,1,0)</f>
        <v>PD0019</v>
      </c>
      <c r="E969" s="36">
        <v>128</v>
      </c>
      <c r="F969" s="38">
        <v>280593920</v>
      </c>
      <c r="G969" s="39" t="s">
        <v>3343</v>
      </c>
      <c r="H969" s="12"/>
      <c r="L969" s="12"/>
    </row>
    <row r="970" spans="1:12" ht="15.75" customHeight="1" x14ac:dyDescent="0.3">
      <c r="A970" s="29" t="s">
        <v>567</v>
      </c>
      <c r="B970" s="50" t="str">
        <f>VLOOKUP(A970,'Sales Order'!A$2:B$1029,1,0)</f>
        <v>SO0329</v>
      </c>
      <c r="C970" s="29" t="s">
        <v>43</v>
      </c>
      <c r="D970" s="50" t="str">
        <f>VLOOKUP(C970,Product!A$2:B$21,1,0)</f>
        <v>PD0007</v>
      </c>
      <c r="E970" s="36">
        <v>128</v>
      </c>
      <c r="F970" s="38">
        <v>348160000</v>
      </c>
      <c r="G970" s="39" t="s">
        <v>3344</v>
      </c>
      <c r="H970" s="12"/>
      <c r="L970" s="12"/>
    </row>
    <row r="971" spans="1:12" ht="15.75" customHeight="1" x14ac:dyDescent="0.3">
      <c r="A971" s="17" t="s">
        <v>568</v>
      </c>
      <c r="B971" s="50" t="str">
        <f>VLOOKUP(A971,'Sales Order'!A$2:B$1029,1,0)</f>
        <v>SO0330</v>
      </c>
      <c r="C971" s="29" t="s">
        <v>28</v>
      </c>
      <c r="D971" s="50" t="str">
        <f>VLOOKUP(C971,Product!A$2:B$21,1,0)</f>
        <v>PD0003</v>
      </c>
      <c r="E971" s="36">
        <v>113</v>
      </c>
      <c r="F971" s="38">
        <v>99942850</v>
      </c>
      <c r="G971" s="39" t="s">
        <v>3345</v>
      </c>
      <c r="H971" s="12"/>
      <c r="L971" s="12"/>
    </row>
    <row r="972" spans="1:12" ht="15.75" customHeight="1" x14ac:dyDescent="0.3">
      <c r="A972" s="29" t="s">
        <v>568</v>
      </c>
      <c r="B972" s="50" t="str">
        <f>VLOOKUP(A972,'Sales Order'!A$2:B$1029,1,0)</f>
        <v>SO0330</v>
      </c>
      <c r="C972" s="29" t="s">
        <v>48</v>
      </c>
      <c r="D972" s="50" t="str">
        <f>VLOOKUP(C972,Product!A$2:B$21,1,0)</f>
        <v>PD0009</v>
      </c>
      <c r="E972" s="36">
        <v>121</v>
      </c>
      <c r="F972" s="38">
        <v>14048100</v>
      </c>
      <c r="G972" s="39" t="s">
        <v>3346</v>
      </c>
      <c r="H972" s="12"/>
      <c r="L972" s="12"/>
    </row>
    <row r="973" spans="1:12" ht="15.75" customHeight="1" x14ac:dyDescent="0.3">
      <c r="A973" s="29" t="s">
        <v>568</v>
      </c>
      <c r="B973" s="50" t="str">
        <f>VLOOKUP(A973,'Sales Order'!A$2:B$1029,1,0)</f>
        <v>SO0330</v>
      </c>
      <c r="C973" s="29" t="s">
        <v>33</v>
      </c>
      <c r="D973" s="50" t="str">
        <f>VLOOKUP(C973,Product!A$2:B$21,1,0)</f>
        <v>PD0004</v>
      </c>
      <c r="E973" s="36">
        <v>80</v>
      </c>
      <c r="F973" s="38">
        <v>16192000</v>
      </c>
      <c r="G973" s="39" t="s">
        <v>3347</v>
      </c>
      <c r="H973" s="12"/>
      <c r="L973" s="12"/>
    </row>
    <row r="974" spans="1:12" ht="15.75" customHeight="1" x14ac:dyDescent="0.3">
      <c r="A974" s="29" t="s">
        <v>568</v>
      </c>
      <c r="B974" s="50" t="str">
        <f>VLOOKUP(A974,'Sales Order'!A$2:B$1029,1,0)</f>
        <v>SO0330</v>
      </c>
      <c r="C974" s="29" t="s">
        <v>61</v>
      </c>
      <c r="D974" s="50" t="str">
        <f>VLOOKUP(C974,Product!A$2:B$21,1,0)</f>
        <v>PD0013</v>
      </c>
      <c r="E974" s="36">
        <v>123</v>
      </c>
      <c r="F974" s="38">
        <v>55971150</v>
      </c>
      <c r="G974" s="39" t="s">
        <v>3348</v>
      </c>
      <c r="H974" s="12"/>
      <c r="L974" s="12"/>
    </row>
    <row r="975" spans="1:12" ht="15.75" customHeight="1" x14ac:dyDescent="0.3">
      <c r="A975" s="29" t="s">
        <v>568</v>
      </c>
      <c r="B975" s="50" t="str">
        <f>VLOOKUP(A975,'Sales Order'!A$2:B$1029,1,0)</f>
        <v>SO0330</v>
      </c>
      <c r="C975" s="29" t="s">
        <v>43</v>
      </c>
      <c r="D975" s="50" t="str">
        <f>VLOOKUP(C975,Product!A$2:B$21,1,0)</f>
        <v>PD0007</v>
      </c>
      <c r="E975" s="36">
        <v>61</v>
      </c>
      <c r="F975" s="38">
        <v>185440000</v>
      </c>
      <c r="G975" s="39" t="s">
        <v>3349</v>
      </c>
      <c r="H975" s="12"/>
      <c r="L975" s="12"/>
    </row>
    <row r="976" spans="1:12" ht="15.75" customHeight="1" x14ac:dyDescent="0.3">
      <c r="A976" s="17" t="s">
        <v>569</v>
      </c>
      <c r="B976" s="50" t="str">
        <f>VLOOKUP(A976,'Sales Order'!A$2:B$1029,1,0)</f>
        <v>SO0331</v>
      </c>
      <c r="C976" s="29" t="s">
        <v>58</v>
      </c>
      <c r="D976" s="50" t="str">
        <f>VLOOKUP(C976,Product!A$2:B$21,1,0)</f>
        <v>PD0012</v>
      </c>
      <c r="E976" s="36">
        <v>88</v>
      </c>
      <c r="F976" s="38">
        <v>416834880</v>
      </c>
      <c r="G976" s="39" t="s">
        <v>3350</v>
      </c>
      <c r="H976" s="12"/>
      <c r="L976" s="12"/>
    </row>
    <row r="977" spans="1:12" ht="15.75" customHeight="1" x14ac:dyDescent="0.3">
      <c r="A977" s="29" t="s">
        <v>569</v>
      </c>
      <c r="B977" s="50" t="str">
        <f>VLOOKUP(A977,'Sales Order'!A$2:B$1029,1,0)</f>
        <v>SO0331</v>
      </c>
      <c r="C977" s="29" t="s">
        <v>55</v>
      </c>
      <c r="D977" s="50" t="str">
        <f>VLOOKUP(C977,Product!A$2:B$21,1,0)</f>
        <v>PD0011</v>
      </c>
      <c r="E977" s="36">
        <v>83</v>
      </c>
      <c r="F977" s="38">
        <v>152721660</v>
      </c>
      <c r="G977" s="39" t="s">
        <v>3351</v>
      </c>
      <c r="H977" s="12"/>
      <c r="L977" s="12"/>
    </row>
    <row r="978" spans="1:12" ht="15.75" customHeight="1" x14ac:dyDescent="0.3">
      <c r="A978" s="29" t="s">
        <v>569</v>
      </c>
      <c r="B978" s="50" t="str">
        <f>VLOOKUP(A978,'Sales Order'!A$2:B$1029,1,0)</f>
        <v>SO0331</v>
      </c>
      <c r="C978" s="29" t="s">
        <v>48</v>
      </c>
      <c r="D978" s="50" t="str">
        <f>VLOOKUP(C978,Product!A$2:B$21,1,0)</f>
        <v>PD0009</v>
      </c>
      <c r="E978" s="36">
        <v>139</v>
      </c>
      <c r="F978" s="38">
        <v>16675829.999999998</v>
      </c>
      <c r="G978" s="39" t="s">
        <v>3352</v>
      </c>
      <c r="H978" s="12"/>
      <c r="L978" s="12"/>
    </row>
    <row r="979" spans="1:12" ht="15.75" customHeight="1" x14ac:dyDescent="0.3">
      <c r="A979" s="29" t="s">
        <v>569</v>
      </c>
      <c r="B979" s="50" t="str">
        <f>VLOOKUP(A979,'Sales Order'!A$2:B$1029,1,0)</f>
        <v>SO0331</v>
      </c>
      <c r="C979" s="29" t="s">
        <v>45</v>
      </c>
      <c r="D979" s="50" t="str">
        <f>VLOOKUP(C979,Product!A$2:B$21,1,0)</f>
        <v>PD0008</v>
      </c>
      <c r="E979" s="36">
        <v>91</v>
      </c>
      <c r="F979" s="38">
        <v>11253970</v>
      </c>
      <c r="G979" s="39" t="s">
        <v>3353</v>
      </c>
      <c r="H979" s="12"/>
      <c r="L979" s="12"/>
    </row>
    <row r="980" spans="1:12" ht="15.75" customHeight="1" x14ac:dyDescent="0.3">
      <c r="A980" s="17" t="s">
        <v>570</v>
      </c>
      <c r="B980" s="50" t="str">
        <f>VLOOKUP(A980,'Sales Order'!A$2:B$1029,1,0)</f>
        <v>SO0332</v>
      </c>
      <c r="C980" s="29" t="s">
        <v>83</v>
      </c>
      <c r="D980" s="50" t="str">
        <f>VLOOKUP(C980,Product!A$2:B$21,1,0)</f>
        <v>PD0020</v>
      </c>
      <c r="E980" s="36">
        <v>25</v>
      </c>
      <c r="F980" s="38">
        <v>6821250</v>
      </c>
      <c r="G980" s="39" t="s">
        <v>3354</v>
      </c>
      <c r="H980" s="12"/>
      <c r="L980" s="12"/>
    </row>
    <row r="981" spans="1:12" ht="15.75" customHeight="1" x14ac:dyDescent="0.3">
      <c r="A981" s="29" t="s">
        <v>570</v>
      </c>
      <c r="B981" s="50" t="str">
        <f>VLOOKUP(A981,'Sales Order'!A$2:B$1029,1,0)</f>
        <v>SO0332</v>
      </c>
      <c r="C981" s="29" t="s">
        <v>72</v>
      </c>
      <c r="D981" s="50" t="str">
        <f>VLOOKUP(C981,Product!A$2:B$21,1,0)</f>
        <v>PD0016</v>
      </c>
      <c r="E981" s="36">
        <v>100</v>
      </c>
      <c r="F981" s="38">
        <v>20559000</v>
      </c>
      <c r="G981" s="39" t="s">
        <v>3355</v>
      </c>
      <c r="H981" s="12"/>
      <c r="L981" s="12"/>
    </row>
    <row r="982" spans="1:12" ht="15.75" customHeight="1" x14ac:dyDescent="0.3">
      <c r="A982" s="29" t="s">
        <v>570</v>
      </c>
      <c r="B982" s="50" t="str">
        <f>VLOOKUP(A982,'Sales Order'!A$2:B$1029,1,0)</f>
        <v>SO0332</v>
      </c>
      <c r="C982" s="29" t="s">
        <v>81</v>
      </c>
      <c r="D982" s="50" t="str">
        <f>VLOOKUP(C982,Product!A$2:B$21,1,0)</f>
        <v>PD0019</v>
      </c>
      <c r="E982" s="36">
        <v>53</v>
      </c>
      <c r="F982" s="38">
        <v>101322750</v>
      </c>
      <c r="G982" s="39" t="s">
        <v>3356</v>
      </c>
      <c r="H982" s="12"/>
      <c r="L982" s="12"/>
    </row>
    <row r="983" spans="1:12" ht="15.75" customHeight="1" x14ac:dyDescent="0.3">
      <c r="A983" s="29" t="s">
        <v>570</v>
      </c>
      <c r="B983" s="50" t="str">
        <f>VLOOKUP(A983,'Sales Order'!A$2:B$1029,1,0)</f>
        <v>SO0332</v>
      </c>
      <c r="C983" s="29" t="s">
        <v>28</v>
      </c>
      <c r="D983" s="50" t="str">
        <f>VLOOKUP(C983,Product!A$2:B$21,1,0)</f>
        <v>PD0003</v>
      </c>
      <c r="E983" s="36">
        <v>127</v>
      </c>
      <c r="F983" s="38">
        <v>94589600</v>
      </c>
      <c r="G983" s="39" t="s">
        <v>3357</v>
      </c>
      <c r="H983" s="12"/>
      <c r="L983" s="12"/>
    </row>
    <row r="984" spans="1:12" ht="15.75" customHeight="1" x14ac:dyDescent="0.3">
      <c r="A984" s="17" t="s">
        <v>571</v>
      </c>
      <c r="B984" s="50" t="str">
        <f>VLOOKUP(A984,'Sales Order'!A$2:B$1029,1,0)</f>
        <v>SO0333</v>
      </c>
      <c r="C984" s="29" t="s">
        <v>61</v>
      </c>
      <c r="D984" s="50" t="str">
        <f>VLOOKUP(C984,Product!A$2:B$21,1,0)</f>
        <v>PD0013</v>
      </c>
      <c r="E984" s="36">
        <v>59</v>
      </c>
      <c r="F984" s="38">
        <v>25434900</v>
      </c>
      <c r="G984" s="39" t="s">
        <v>3358</v>
      </c>
      <c r="H984" s="12"/>
      <c r="L984" s="12"/>
    </row>
    <row r="985" spans="1:12" ht="15.75" customHeight="1" x14ac:dyDescent="0.3">
      <c r="A985" s="29" t="s">
        <v>571</v>
      </c>
      <c r="B985" s="50" t="str">
        <f>VLOOKUP(A985,'Sales Order'!A$2:B$1029,1,0)</f>
        <v>SO0333</v>
      </c>
      <c r="C985" s="29" t="s">
        <v>28</v>
      </c>
      <c r="D985" s="50" t="str">
        <f>VLOOKUP(C985,Product!A$2:B$21,1,0)</f>
        <v>PD0003</v>
      </c>
      <c r="E985" s="36">
        <v>73</v>
      </c>
      <c r="F985" s="38">
        <v>50972250</v>
      </c>
      <c r="G985" s="39" t="s">
        <v>3359</v>
      </c>
      <c r="H985" s="12"/>
      <c r="L985" s="12"/>
    </row>
    <row r="986" spans="1:12" ht="15.75" customHeight="1" x14ac:dyDescent="0.3">
      <c r="A986" s="29" t="s">
        <v>571</v>
      </c>
      <c r="B986" s="50" t="str">
        <f>VLOOKUP(A986,'Sales Order'!A$2:B$1029,1,0)</f>
        <v>SO0333</v>
      </c>
      <c r="C986" s="29" t="s">
        <v>55</v>
      </c>
      <c r="D986" s="50" t="str">
        <f>VLOOKUP(C986,Product!A$2:B$21,1,0)</f>
        <v>PD0011</v>
      </c>
      <c r="E986" s="36">
        <v>68</v>
      </c>
      <c r="F986" s="38">
        <v>134746080</v>
      </c>
      <c r="G986" s="39" t="s">
        <v>3360</v>
      </c>
      <c r="H986" s="12"/>
      <c r="L986" s="12"/>
    </row>
    <row r="987" spans="1:12" ht="15.75" customHeight="1" x14ac:dyDescent="0.3">
      <c r="A987" s="29" t="s">
        <v>572</v>
      </c>
      <c r="B987" s="50" t="str">
        <f>VLOOKUP(A987,'Sales Order'!A$2:B$1029,1,0)</f>
        <v>SO0334</v>
      </c>
      <c r="C987" s="29" t="s">
        <v>33</v>
      </c>
      <c r="D987" s="50" t="str">
        <f>VLOOKUP(C987,Product!A$2:B$21,1,0)</f>
        <v>PD0004</v>
      </c>
      <c r="E987" s="36">
        <v>126</v>
      </c>
      <c r="F987" s="38">
        <v>24948000</v>
      </c>
      <c r="G987" s="39" t="s">
        <v>3361</v>
      </c>
      <c r="H987" s="12"/>
      <c r="L987" s="12"/>
    </row>
    <row r="988" spans="1:12" ht="15.75" customHeight="1" x14ac:dyDescent="0.3">
      <c r="A988" s="29" t="s">
        <v>572</v>
      </c>
      <c r="B988" s="50" t="str">
        <f>VLOOKUP(A988,'Sales Order'!A$2:B$1029,1,0)</f>
        <v>SO0334</v>
      </c>
      <c r="C988" s="29" t="s">
        <v>19</v>
      </c>
      <c r="D988" s="50" t="str">
        <f>VLOOKUP(C988,Product!A$2:B$21,1,0)</f>
        <v>PD0001</v>
      </c>
      <c r="E988" s="36">
        <v>31</v>
      </c>
      <c r="F988" s="38">
        <v>5789250</v>
      </c>
      <c r="G988" s="39" t="s">
        <v>3362</v>
      </c>
      <c r="H988" s="12"/>
      <c r="L988" s="12"/>
    </row>
    <row r="989" spans="1:12" ht="15.75" customHeight="1" x14ac:dyDescent="0.3">
      <c r="A989" s="29" t="s">
        <v>572</v>
      </c>
      <c r="B989" s="50" t="str">
        <f>VLOOKUP(A989,'Sales Order'!A$2:B$1029,1,0)</f>
        <v>SO0334</v>
      </c>
      <c r="C989" s="29" t="s">
        <v>61</v>
      </c>
      <c r="D989" s="50" t="str">
        <f>VLOOKUP(C989,Product!A$2:B$21,1,0)</f>
        <v>PD0013</v>
      </c>
      <c r="E989" s="36">
        <v>142</v>
      </c>
      <c r="F989" s="38">
        <v>51013500</v>
      </c>
      <c r="G989" s="39" t="s">
        <v>3363</v>
      </c>
      <c r="H989" s="12"/>
      <c r="L989" s="12"/>
    </row>
    <row r="990" spans="1:12" ht="15.75" customHeight="1" x14ac:dyDescent="0.3">
      <c r="A990" s="29" t="s">
        <v>572</v>
      </c>
      <c r="B990" s="50" t="str">
        <f>VLOOKUP(A990,'Sales Order'!A$2:B$1029,1,0)</f>
        <v>SO0334</v>
      </c>
      <c r="C990" s="29" t="s">
        <v>25</v>
      </c>
      <c r="D990" s="50" t="str">
        <f>VLOOKUP(C990,Product!A$2:B$21,1,0)</f>
        <v>PD0002</v>
      </c>
      <c r="E990" s="36">
        <v>117</v>
      </c>
      <c r="F990" s="38">
        <v>1918800.0000000002</v>
      </c>
      <c r="G990" s="39" t="s">
        <v>3364</v>
      </c>
      <c r="H990" s="12"/>
      <c r="L990" s="12"/>
    </row>
    <row r="991" spans="1:12" ht="15.75" customHeight="1" x14ac:dyDescent="0.3">
      <c r="A991" s="17" t="s">
        <v>573</v>
      </c>
      <c r="B991" s="50" t="str">
        <f>VLOOKUP(A991,'Sales Order'!A$2:B$1029,1,0)</f>
        <v>SO0335</v>
      </c>
      <c r="C991" s="29" t="s">
        <v>55</v>
      </c>
      <c r="D991" s="50" t="str">
        <f>VLOOKUP(C991,Product!A$2:B$21,1,0)</f>
        <v>PD0011</v>
      </c>
      <c r="E991" s="36">
        <v>121</v>
      </c>
      <c r="F991" s="38">
        <v>242623150</v>
      </c>
      <c r="G991" s="39" t="s">
        <v>3365</v>
      </c>
      <c r="H991" s="12"/>
      <c r="L991" s="12"/>
    </row>
    <row r="992" spans="1:12" ht="15.75" customHeight="1" x14ac:dyDescent="0.3">
      <c r="A992" s="29" t="s">
        <v>573</v>
      </c>
      <c r="B992" s="50" t="str">
        <f>VLOOKUP(A992,'Sales Order'!A$2:B$1029,1,0)</f>
        <v>SO0335</v>
      </c>
      <c r="C992" s="29" t="s">
        <v>81</v>
      </c>
      <c r="D992" s="50" t="str">
        <f>VLOOKUP(C992,Product!A$2:B$21,1,0)</f>
        <v>PD0019</v>
      </c>
      <c r="E992" s="36">
        <v>85</v>
      </c>
      <c r="F992" s="38">
        <v>203665100</v>
      </c>
      <c r="G992" s="39" t="s">
        <v>3366</v>
      </c>
      <c r="H992" s="12"/>
      <c r="L992" s="12"/>
    </row>
    <row r="993" spans="1:12" ht="15.75" customHeight="1" x14ac:dyDescent="0.3">
      <c r="A993" s="29" t="s">
        <v>573</v>
      </c>
      <c r="B993" s="50" t="str">
        <f>VLOOKUP(A993,'Sales Order'!A$2:B$1029,1,0)</f>
        <v>SO0335</v>
      </c>
      <c r="C993" s="29" t="s">
        <v>83</v>
      </c>
      <c r="D993" s="50" t="str">
        <f>VLOOKUP(C993,Product!A$2:B$21,1,0)</f>
        <v>PD0020</v>
      </c>
      <c r="E993" s="36">
        <v>115</v>
      </c>
      <c r="F993" s="38">
        <v>33223500</v>
      </c>
      <c r="G993" s="39" t="s">
        <v>3367</v>
      </c>
      <c r="H993" s="12"/>
      <c r="L993" s="12"/>
    </row>
    <row r="994" spans="1:12" ht="15.75" customHeight="1" x14ac:dyDescent="0.3">
      <c r="A994" s="17" t="s">
        <v>574</v>
      </c>
      <c r="B994" s="50" t="str">
        <f>VLOOKUP(A994,'Sales Order'!A$2:B$1029,1,0)</f>
        <v>SO0336</v>
      </c>
      <c r="C994" s="29" t="s">
        <v>48</v>
      </c>
      <c r="D994" s="50" t="str">
        <f>VLOOKUP(C994,Product!A$2:B$21,1,0)</f>
        <v>PD0009</v>
      </c>
      <c r="E994" s="36">
        <v>133</v>
      </c>
      <c r="F994" s="38">
        <v>14926590</v>
      </c>
      <c r="G994" s="39" t="s">
        <v>3368</v>
      </c>
      <c r="H994" s="12"/>
      <c r="L994" s="12"/>
    </row>
    <row r="995" spans="1:12" ht="15.75" customHeight="1" x14ac:dyDescent="0.3">
      <c r="A995" s="29" t="s">
        <v>574</v>
      </c>
      <c r="B995" s="50" t="str">
        <f>VLOOKUP(A995,'Sales Order'!A$2:B$1029,1,0)</f>
        <v>SO0336</v>
      </c>
      <c r="C995" s="29" t="s">
        <v>43</v>
      </c>
      <c r="D995" s="50" t="str">
        <f>VLOOKUP(C995,Product!A$2:B$21,1,0)</f>
        <v>PD0007</v>
      </c>
      <c r="E995" s="36">
        <v>74</v>
      </c>
      <c r="F995" s="38">
        <v>220224000</v>
      </c>
      <c r="G995" s="39" t="s">
        <v>3369</v>
      </c>
      <c r="H995" s="12"/>
      <c r="L995" s="12"/>
    </row>
    <row r="996" spans="1:12" ht="15.75" customHeight="1" x14ac:dyDescent="0.3">
      <c r="A996" s="29" t="s">
        <v>574</v>
      </c>
      <c r="B996" s="50" t="str">
        <f>VLOOKUP(A996,'Sales Order'!A$2:B$1029,1,0)</f>
        <v>SO0336</v>
      </c>
      <c r="C996" s="29" t="s">
        <v>65</v>
      </c>
      <c r="D996" s="50" t="str">
        <f>VLOOKUP(C996,Product!A$2:B$21,1,0)</f>
        <v>PD0014</v>
      </c>
      <c r="E996" s="36">
        <v>55</v>
      </c>
      <c r="F996" s="38">
        <v>12041700</v>
      </c>
      <c r="G996" s="39" t="s">
        <v>3370</v>
      </c>
      <c r="H996" s="12"/>
      <c r="L996" s="12"/>
    </row>
    <row r="997" spans="1:12" ht="15.75" customHeight="1" x14ac:dyDescent="0.3">
      <c r="A997" s="29" t="s">
        <v>574</v>
      </c>
      <c r="B997" s="50" t="str">
        <f>VLOOKUP(A997,'Sales Order'!A$2:B$1029,1,0)</f>
        <v>SO0336</v>
      </c>
      <c r="C997" s="29" t="s">
        <v>35</v>
      </c>
      <c r="D997" s="50" t="str">
        <f>VLOOKUP(C997,Product!A$2:B$21,1,0)</f>
        <v>PD0005</v>
      </c>
      <c r="E997" s="36">
        <v>44</v>
      </c>
      <c r="F997" s="38">
        <v>80161400</v>
      </c>
      <c r="G997" s="39" t="s">
        <v>3371</v>
      </c>
      <c r="H997" s="12"/>
      <c r="L997" s="12"/>
    </row>
    <row r="998" spans="1:12" ht="15.75" customHeight="1" x14ac:dyDescent="0.3">
      <c r="A998" s="29" t="s">
        <v>574</v>
      </c>
      <c r="B998" s="50" t="str">
        <f>VLOOKUP(A998,'Sales Order'!A$2:B$1029,1,0)</f>
        <v>SO0336</v>
      </c>
      <c r="C998" s="29" t="s">
        <v>33</v>
      </c>
      <c r="D998" s="50" t="str">
        <f>VLOOKUP(C998,Product!A$2:B$21,1,0)</f>
        <v>PD0004</v>
      </c>
      <c r="E998" s="36">
        <v>58</v>
      </c>
      <c r="F998" s="38">
        <v>10973600</v>
      </c>
      <c r="G998" s="39" t="s">
        <v>3372</v>
      </c>
      <c r="H998" s="12"/>
      <c r="L998" s="12"/>
    </row>
    <row r="999" spans="1:12" ht="15.75" customHeight="1" x14ac:dyDescent="0.3">
      <c r="A999" s="29" t="s">
        <v>574</v>
      </c>
      <c r="B999" s="50" t="str">
        <f>VLOOKUP(A999,'Sales Order'!A$2:B$1029,1,0)</f>
        <v>SO0336</v>
      </c>
      <c r="C999" s="29" t="s">
        <v>81</v>
      </c>
      <c r="D999" s="50" t="str">
        <f>VLOOKUP(C999,Product!A$2:B$21,1,0)</f>
        <v>PD0019</v>
      </c>
      <c r="E999" s="36">
        <v>102</v>
      </c>
      <c r="F999" s="38">
        <v>215798340</v>
      </c>
      <c r="G999" s="39" t="s">
        <v>3373</v>
      </c>
      <c r="H999" s="12"/>
      <c r="L999" s="12"/>
    </row>
    <row r="1000" spans="1:12" ht="15.75" customHeight="1" x14ac:dyDescent="0.3">
      <c r="A1000" s="17" t="s">
        <v>575</v>
      </c>
      <c r="B1000" s="50" t="str">
        <f>VLOOKUP(A1000,'Sales Order'!A$2:B$1029,1,0)</f>
        <v>SO0337</v>
      </c>
      <c r="C1000" s="29" t="s">
        <v>48</v>
      </c>
      <c r="D1000" s="50" t="str">
        <f>VLOOKUP(C1000,Product!A$2:B$21,1,0)</f>
        <v>PD0009</v>
      </c>
      <c r="E1000" s="36">
        <v>69</v>
      </c>
      <c r="F1000" s="38">
        <v>7832880</v>
      </c>
      <c r="G1000" s="39" t="s">
        <v>3374</v>
      </c>
      <c r="H1000" s="12"/>
      <c r="L1000" s="12"/>
    </row>
    <row r="1001" spans="1:12" ht="15.75" customHeight="1" x14ac:dyDescent="0.3">
      <c r="A1001" s="29" t="s">
        <v>575</v>
      </c>
      <c r="B1001" s="50" t="str">
        <f>VLOOKUP(A1001,'Sales Order'!A$2:B$1029,1,0)</f>
        <v>SO0337</v>
      </c>
      <c r="C1001" s="29" t="s">
        <v>52</v>
      </c>
      <c r="D1001" s="50" t="str">
        <f>VLOOKUP(C1001,Product!A$2:B$21,1,0)</f>
        <v>PD0010</v>
      </c>
      <c r="E1001" s="36">
        <v>104</v>
      </c>
      <c r="F1001" s="38">
        <v>25350000</v>
      </c>
      <c r="G1001" s="39" t="s">
        <v>3375</v>
      </c>
      <c r="H1001" s="12"/>
      <c r="L1001" s="12"/>
    </row>
    <row r="1002" spans="1:12" ht="15.75" customHeight="1" x14ac:dyDescent="0.3">
      <c r="A1002" s="29" t="s">
        <v>575</v>
      </c>
      <c r="B1002" s="50" t="str">
        <f>VLOOKUP(A1002,'Sales Order'!A$2:B$1029,1,0)</f>
        <v>SO0337</v>
      </c>
      <c r="C1002" s="29" t="s">
        <v>58</v>
      </c>
      <c r="D1002" s="50" t="str">
        <f>VLOOKUP(C1002,Product!A$2:B$21,1,0)</f>
        <v>PD0012</v>
      </c>
      <c r="E1002" s="36">
        <v>80</v>
      </c>
      <c r="F1002" s="38">
        <v>428564000</v>
      </c>
      <c r="G1002" s="39" t="s">
        <v>3376</v>
      </c>
      <c r="H1002" s="12"/>
      <c r="L1002" s="12"/>
    </row>
    <row r="1003" spans="1:12" ht="15.75" customHeight="1" x14ac:dyDescent="0.3">
      <c r="A1003" s="29" t="s">
        <v>575</v>
      </c>
      <c r="B1003" s="50" t="str">
        <f>VLOOKUP(A1003,'Sales Order'!A$2:B$1029,1,0)</f>
        <v>SO0337</v>
      </c>
      <c r="C1003" s="29" t="s">
        <v>25</v>
      </c>
      <c r="D1003" s="50" t="str">
        <f>VLOOKUP(C1003,Product!A$2:B$21,1,0)</f>
        <v>PD0002</v>
      </c>
      <c r="E1003" s="36">
        <v>105</v>
      </c>
      <c r="F1003" s="38">
        <v>1575000</v>
      </c>
      <c r="G1003" s="39" t="s">
        <v>3377</v>
      </c>
      <c r="H1003" s="12"/>
      <c r="L1003" s="12"/>
    </row>
    <row r="1004" spans="1:12" ht="15.75" customHeight="1" x14ac:dyDescent="0.3">
      <c r="A1004" s="17" t="s">
        <v>576</v>
      </c>
      <c r="B1004" s="50" t="str">
        <f>VLOOKUP(A1004,'Sales Order'!A$2:B$1029,1,0)</f>
        <v>SO0338</v>
      </c>
      <c r="C1004" s="29" t="s">
        <v>78</v>
      </c>
      <c r="D1004" s="50" t="str">
        <f>VLOOKUP(C1004,Product!A$2:B$21,1,0)</f>
        <v>PD0018</v>
      </c>
      <c r="E1004" s="36">
        <v>84</v>
      </c>
      <c r="F1004" s="38">
        <v>37537920</v>
      </c>
      <c r="G1004" s="39" t="s">
        <v>3378</v>
      </c>
      <c r="H1004" s="12"/>
      <c r="L1004" s="12"/>
    </row>
    <row r="1005" spans="1:12" ht="15.75" customHeight="1" x14ac:dyDescent="0.3">
      <c r="A1005" s="29" t="s">
        <v>576</v>
      </c>
      <c r="B1005" s="50" t="str">
        <f>VLOOKUP(A1005,'Sales Order'!A$2:B$1029,1,0)</f>
        <v>SO0338</v>
      </c>
      <c r="C1005" s="29" t="s">
        <v>81</v>
      </c>
      <c r="D1005" s="50" t="str">
        <f>VLOOKUP(C1005,Product!A$2:B$21,1,0)</f>
        <v>PD0019</v>
      </c>
      <c r="E1005" s="36">
        <v>94</v>
      </c>
      <c r="F1005" s="38">
        <v>220437520</v>
      </c>
      <c r="G1005" s="39" t="s">
        <v>3379</v>
      </c>
      <c r="H1005" s="12"/>
      <c r="L1005" s="12"/>
    </row>
    <row r="1006" spans="1:12" ht="15.75" customHeight="1" x14ac:dyDescent="0.3">
      <c r="A1006" s="29" t="s">
        <v>576</v>
      </c>
      <c r="B1006" s="50" t="str">
        <f>VLOOKUP(A1006,'Sales Order'!A$2:B$1029,1,0)</f>
        <v>SO0338</v>
      </c>
      <c r="C1006" s="29" t="s">
        <v>43</v>
      </c>
      <c r="D1006" s="50" t="str">
        <f>VLOOKUP(C1006,Product!A$2:B$21,1,0)</f>
        <v>PD0007</v>
      </c>
      <c r="E1006" s="36">
        <v>76</v>
      </c>
      <c r="F1006" s="38">
        <v>184832000</v>
      </c>
      <c r="G1006" s="39" t="s">
        <v>3380</v>
      </c>
      <c r="H1006" s="12"/>
      <c r="L1006" s="12"/>
    </row>
    <row r="1007" spans="1:12" ht="15.75" customHeight="1" x14ac:dyDescent="0.3">
      <c r="A1007" s="17" t="s">
        <v>577</v>
      </c>
      <c r="B1007" s="50" t="str">
        <f>VLOOKUP(A1007,'Sales Order'!A$2:B$1029,1,0)</f>
        <v>SO0339</v>
      </c>
      <c r="C1007" s="29" t="s">
        <v>69</v>
      </c>
      <c r="D1007" s="50" t="str">
        <f>VLOOKUP(C1007,Product!A$2:B$21,1,0)</f>
        <v>PD0015</v>
      </c>
      <c r="E1007" s="36">
        <v>123</v>
      </c>
      <c r="F1007" s="38">
        <v>13706874.000000002</v>
      </c>
      <c r="G1007" s="39" t="s">
        <v>3381</v>
      </c>
      <c r="H1007" s="12"/>
      <c r="L1007" s="12"/>
    </row>
    <row r="1008" spans="1:12" ht="15.75" customHeight="1" x14ac:dyDescent="0.3">
      <c r="A1008" s="29" t="s">
        <v>577</v>
      </c>
      <c r="B1008" s="50" t="str">
        <f>VLOOKUP(A1008,'Sales Order'!A$2:B$1029,1,0)</f>
        <v>SO0339</v>
      </c>
      <c r="C1008" s="29" t="s">
        <v>48</v>
      </c>
      <c r="D1008" s="50" t="str">
        <f>VLOOKUP(C1008,Product!A$2:B$21,1,0)</f>
        <v>PD0009</v>
      </c>
      <c r="E1008" s="36">
        <v>58</v>
      </c>
      <c r="F1008" s="38">
        <v>5761140</v>
      </c>
      <c r="G1008" s="39" t="s">
        <v>3382</v>
      </c>
      <c r="H1008" s="12"/>
      <c r="L1008" s="12"/>
    </row>
    <row r="1009" spans="1:12" ht="15.75" customHeight="1" x14ac:dyDescent="0.3">
      <c r="A1009" s="29" t="s">
        <v>577</v>
      </c>
      <c r="B1009" s="50" t="str">
        <f>VLOOKUP(A1009,'Sales Order'!A$2:B$1029,1,0)</f>
        <v>SO0339</v>
      </c>
      <c r="C1009" s="29" t="s">
        <v>78</v>
      </c>
      <c r="D1009" s="50" t="str">
        <f>VLOOKUP(C1009,Product!A$2:B$21,1,0)</f>
        <v>PD0018</v>
      </c>
      <c r="E1009" s="36">
        <v>45</v>
      </c>
      <c r="F1009" s="38">
        <v>19870200</v>
      </c>
      <c r="G1009" s="39" t="s">
        <v>3383</v>
      </c>
      <c r="H1009" s="12"/>
      <c r="L1009" s="12"/>
    </row>
    <row r="1010" spans="1:12" ht="15.75" customHeight="1" x14ac:dyDescent="0.3">
      <c r="A1010" s="29" t="s">
        <v>577</v>
      </c>
      <c r="B1010" s="50" t="str">
        <f>VLOOKUP(A1010,'Sales Order'!A$2:B$1029,1,0)</f>
        <v>SO0339</v>
      </c>
      <c r="C1010" s="29" t="s">
        <v>52</v>
      </c>
      <c r="D1010" s="50" t="str">
        <f>VLOOKUP(C1010,Product!A$2:B$21,1,0)</f>
        <v>PD0010</v>
      </c>
      <c r="E1010" s="36">
        <v>137</v>
      </c>
      <c r="F1010" s="38">
        <v>38291500</v>
      </c>
      <c r="G1010" s="39" t="s">
        <v>3384</v>
      </c>
      <c r="H1010" s="12"/>
      <c r="L1010" s="12"/>
    </row>
    <row r="1011" spans="1:12" ht="15.75" customHeight="1" x14ac:dyDescent="0.3">
      <c r="A1011" s="17" t="s">
        <v>578</v>
      </c>
      <c r="B1011" s="50" t="str">
        <f>VLOOKUP(A1011,'Sales Order'!A$2:B$1029,1,0)</f>
        <v>SO0340</v>
      </c>
      <c r="C1011" s="29" t="s">
        <v>78</v>
      </c>
      <c r="D1011" s="50" t="str">
        <f>VLOOKUP(C1011,Product!A$2:B$21,1,0)</f>
        <v>PD0018</v>
      </c>
      <c r="E1011" s="36">
        <v>150</v>
      </c>
      <c r="F1011" s="38">
        <v>75810000</v>
      </c>
      <c r="G1011" s="39" t="s">
        <v>3385</v>
      </c>
      <c r="H1011" s="12"/>
      <c r="L1011" s="12"/>
    </row>
    <row r="1012" spans="1:12" ht="15.75" customHeight="1" x14ac:dyDescent="0.3">
      <c r="A1012" s="17" t="s">
        <v>579</v>
      </c>
      <c r="B1012" s="50" t="str">
        <f>VLOOKUP(A1012,'Sales Order'!A$2:B$1029,1,0)</f>
        <v>SO0341</v>
      </c>
      <c r="C1012" s="29" t="s">
        <v>52</v>
      </c>
      <c r="D1012" s="50" t="str">
        <f>VLOOKUP(C1012,Product!A$2:B$21,1,0)</f>
        <v>PD0010</v>
      </c>
      <c r="E1012" s="36">
        <v>136</v>
      </c>
      <c r="F1012" s="38">
        <v>41990000</v>
      </c>
      <c r="G1012" s="39" t="s">
        <v>3386</v>
      </c>
      <c r="H1012" s="12"/>
      <c r="L1012" s="12"/>
    </row>
    <row r="1013" spans="1:12" ht="15.75" customHeight="1" x14ac:dyDescent="0.3">
      <c r="A1013" s="29" t="s">
        <v>579</v>
      </c>
      <c r="B1013" s="50" t="str">
        <f>VLOOKUP(A1013,'Sales Order'!A$2:B$1029,1,0)</f>
        <v>SO0341</v>
      </c>
      <c r="C1013" s="29" t="s">
        <v>40</v>
      </c>
      <c r="D1013" s="50" t="str">
        <f>VLOOKUP(C1013,Product!A$2:B$21,1,0)</f>
        <v>PD0006</v>
      </c>
      <c r="E1013" s="36">
        <v>53</v>
      </c>
      <c r="F1013" s="38">
        <v>9858530</v>
      </c>
      <c r="G1013" s="39" t="s">
        <v>3387</v>
      </c>
      <c r="H1013" s="12"/>
      <c r="L1013" s="12"/>
    </row>
    <row r="1014" spans="1:12" ht="15.75" customHeight="1" x14ac:dyDescent="0.3">
      <c r="A1014" s="17" t="s">
        <v>580</v>
      </c>
      <c r="B1014" s="50" t="str">
        <f>VLOOKUP(A1014,'Sales Order'!A$2:B$1029,1,0)</f>
        <v>SO0342</v>
      </c>
      <c r="C1014" s="29" t="s">
        <v>35</v>
      </c>
      <c r="D1014" s="50" t="str">
        <f>VLOOKUP(C1014,Product!A$2:B$21,1,0)</f>
        <v>PD0005</v>
      </c>
      <c r="E1014" s="36">
        <v>125</v>
      </c>
      <c r="F1014" s="38">
        <v>252425000</v>
      </c>
      <c r="G1014" s="39" t="s">
        <v>3388</v>
      </c>
      <c r="H1014" s="12"/>
      <c r="L1014" s="12"/>
    </row>
    <row r="1015" spans="1:12" ht="15.75" customHeight="1" x14ac:dyDescent="0.3">
      <c r="A1015" s="29" t="s">
        <v>580</v>
      </c>
      <c r="B1015" s="50" t="str">
        <f>VLOOKUP(A1015,'Sales Order'!A$2:B$1029,1,0)</f>
        <v>SO0342</v>
      </c>
      <c r="C1015" s="29" t="s">
        <v>81</v>
      </c>
      <c r="D1015" s="50" t="str">
        <f>VLOOKUP(C1015,Product!A$2:B$21,1,0)</f>
        <v>PD0019</v>
      </c>
      <c r="E1015" s="36">
        <v>40</v>
      </c>
      <c r="F1015" s="38">
        <v>77489600</v>
      </c>
      <c r="G1015" s="39" t="s">
        <v>3389</v>
      </c>
      <c r="H1015" s="12"/>
      <c r="L1015" s="12"/>
    </row>
    <row r="1016" spans="1:12" ht="15.75" customHeight="1" x14ac:dyDescent="0.3">
      <c r="A1016" s="29" t="s">
        <v>580</v>
      </c>
      <c r="B1016" s="50" t="str">
        <f>VLOOKUP(A1016,'Sales Order'!A$2:B$1029,1,0)</f>
        <v>SO0342</v>
      </c>
      <c r="C1016" s="29" t="s">
        <v>69</v>
      </c>
      <c r="D1016" s="50" t="str">
        <f>VLOOKUP(C1016,Product!A$2:B$21,1,0)</f>
        <v>PD0015</v>
      </c>
      <c r="E1016" s="36">
        <v>75</v>
      </c>
      <c r="F1016" s="38">
        <v>8255925.0000000009</v>
      </c>
      <c r="G1016" s="39" t="s">
        <v>3390</v>
      </c>
      <c r="H1016" s="12"/>
      <c r="L1016" s="12"/>
    </row>
    <row r="1017" spans="1:12" ht="15.75" customHeight="1" x14ac:dyDescent="0.3">
      <c r="A1017" s="17" t="s">
        <v>581</v>
      </c>
      <c r="B1017" s="50" t="str">
        <f>VLOOKUP(A1017,'Sales Order'!A$2:B$1029,1,0)</f>
        <v>SO0343</v>
      </c>
      <c r="C1017" s="29" t="s">
        <v>65</v>
      </c>
      <c r="D1017" s="50" t="str">
        <f>VLOOKUP(C1017,Product!A$2:B$21,1,0)</f>
        <v>PD0014</v>
      </c>
      <c r="E1017" s="36">
        <v>81</v>
      </c>
      <c r="F1017" s="38">
        <v>19031760</v>
      </c>
      <c r="G1017" s="39" t="s">
        <v>3391</v>
      </c>
      <c r="H1017" s="12"/>
      <c r="L1017" s="12"/>
    </row>
    <row r="1018" spans="1:12" ht="15.75" customHeight="1" x14ac:dyDescent="0.3">
      <c r="A1018" s="17" t="s">
        <v>582</v>
      </c>
      <c r="B1018" s="50" t="str">
        <f>VLOOKUP(A1018,'Sales Order'!A$2:B$1029,1,0)</f>
        <v>SO0344</v>
      </c>
      <c r="C1018" s="29" t="s">
        <v>28</v>
      </c>
      <c r="D1018" s="50" t="str">
        <f>VLOOKUP(C1018,Product!A$2:B$21,1,0)</f>
        <v>PD0003</v>
      </c>
      <c r="E1018" s="36">
        <v>55</v>
      </c>
      <c r="F1018" s="38">
        <v>43012200</v>
      </c>
      <c r="G1018" s="39" t="s">
        <v>3392</v>
      </c>
      <c r="H1018" s="12"/>
      <c r="L1018" s="12"/>
    </row>
    <row r="1019" spans="1:12" ht="15.75" customHeight="1" x14ac:dyDescent="0.3">
      <c r="A1019" s="29" t="s">
        <v>582</v>
      </c>
      <c r="B1019" s="50" t="str">
        <f>VLOOKUP(A1019,'Sales Order'!A$2:B$1029,1,0)</f>
        <v>SO0344</v>
      </c>
      <c r="C1019" s="29" t="s">
        <v>61</v>
      </c>
      <c r="D1019" s="50" t="str">
        <f>VLOOKUP(C1019,Product!A$2:B$21,1,0)</f>
        <v>PD0013</v>
      </c>
      <c r="E1019" s="36">
        <v>134</v>
      </c>
      <c r="F1019" s="38">
        <v>56483680</v>
      </c>
      <c r="G1019" s="39" t="s">
        <v>3393</v>
      </c>
      <c r="H1019" s="12"/>
      <c r="L1019" s="12"/>
    </row>
    <row r="1020" spans="1:12" ht="15.75" customHeight="1" x14ac:dyDescent="0.3">
      <c r="A1020" s="29" t="s">
        <v>582</v>
      </c>
      <c r="B1020" s="50" t="str">
        <f>VLOOKUP(A1020,'Sales Order'!A$2:B$1029,1,0)</f>
        <v>SO0344</v>
      </c>
      <c r="C1020" s="29" t="s">
        <v>83</v>
      </c>
      <c r="D1020" s="50" t="str">
        <f>VLOOKUP(C1020,Product!A$2:B$21,1,0)</f>
        <v>PD0020</v>
      </c>
      <c r="E1020" s="36">
        <v>106</v>
      </c>
      <c r="F1020" s="38">
        <v>30963660</v>
      </c>
      <c r="G1020" s="39" t="s">
        <v>3394</v>
      </c>
      <c r="H1020" s="12"/>
      <c r="L1020" s="12"/>
    </row>
    <row r="1021" spans="1:12" ht="15.75" customHeight="1" x14ac:dyDescent="0.3">
      <c r="A1021" s="17" t="s">
        <v>583</v>
      </c>
      <c r="B1021" s="50" t="str">
        <f>VLOOKUP(A1021,'Sales Order'!A$2:B$1029,1,0)</f>
        <v>SO0345</v>
      </c>
      <c r="C1021" s="29" t="s">
        <v>43</v>
      </c>
      <c r="D1021" s="50" t="str">
        <f>VLOOKUP(C1021,Product!A$2:B$21,1,0)</f>
        <v>PD0007</v>
      </c>
      <c r="E1021" s="36">
        <v>45</v>
      </c>
      <c r="F1021" s="38">
        <v>109440000</v>
      </c>
      <c r="G1021" s="39" t="s">
        <v>3395</v>
      </c>
      <c r="H1021" s="12"/>
      <c r="L1021" s="12"/>
    </row>
    <row r="1022" spans="1:12" ht="15.75" customHeight="1" x14ac:dyDescent="0.3">
      <c r="A1022" s="29" t="s">
        <v>583</v>
      </c>
      <c r="B1022" s="50" t="str">
        <f>VLOOKUP(A1022,'Sales Order'!A$2:B$1029,1,0)</f>
        <v>SO0345</v>
      </c>
      <c r="C1022" s="29" t="s">
        <v>72</v>
      </c>
      <c r="D1022" s="50" t="str">
        <f>VLOOKUP(C1022,Product!A$2:B$21,1,0)</f>
        <v>PD0016</v>
      </c>
      <c r="E1022" s="36">
        <v>86</v>
      </c>
      <c r="F1022" s="38">
        <v>17680740</v>
      </c>
      <c r="G1022" s="39" t="s">
        <v>3396</v>
      </c>
      <c r="H1022" s="12"/>
      <c r="L1022" s="12"/>
    </row>
    <row r="1023" spans="1:12" ht="15.75" customHeight="1" x14ac:dyDescent="0.3">
      <c r="A1023" s="29" t="s">
        <v>583</v>
      </c>
      <c r="B1023" s="50" t="str">
        <f>VLOOKUP(A1023,'Sales Order'!A$2:B$1029,1,0)</f>
        <v>SO0345</v>
      </c>
      <c r="C1023" s="29" t="s">
        <v>28</v>
      </c>
      <c r="D1023" s="50" t="str">
        <f>VLOOKUP(C1023,Product!A$2:B$21,1,0)</f>
        <v>PD0003</v>
      </c>
      <c r="E1023" s="36">
        <v>68</v>
      </c>
      <c r="F1023" s="38">
        <v>48114080</v>
      </c>
      <c r="G1023" s="39" t="s">
        <v>3397</v>
      </c>
      <c r="H1023" s="12"/>
      <c r="L1023" s="12"/>
    </row>
    <row r="1024" spans="1:12" ht="15.75" customHeight="1" x14ac:dyDescent="0.3">
      <c r="A1024" s="29" t="s">
        <v>583</v>
      </c>
      <c r="B1024" s="50" t="str">
        <f>VLOOKUP(A1024,'Sales Order'!A$2:B$1029,1,0)</f>
        <v>SO0345</v>
      </c>
      <c r="C1024" s="29" t="s">
        <v>69</v>
      </c>
      <c r="D1024" s="50" t="str">
        <f>VLOOKUP(C1024,Product!A$2:B$21,1,0)</f>
        <v>PD0015</v>
      </c>
      <c r="E1024" s="36">
        <v>109</v>
      </c>
      <c r="F1024" s="38">
        <v>11109825</v>
      </c>
      <c r="G1024" s="39" t="s">
        <v>3398</v>
      </c>
      <c r="H1024" s="12"/>
      <c r="L1024" s="12"/>
    </row>
    <row r="1025" spans="1:12" ht="15.75" customHeight="1" x14ac:dyDescent="0.3">
      <c r="A1025" s="29" t="s">
        <v>583</v>
      </c>
      <c r="B1025" s="50" t="str">
        <f>VLOOKUP(A1025,'Sales Order'!A$2:B$1029,1,0)</f>
        <v>SO0345</v>
      </c>
      <c r="C1025" s="29" t="s">
        <v>75</v>
      </c>
      <c r="D1025" s="50" t="str">
        <f>VLOOKUP(C1025,Product!A$2:B$21,1,0)</f>
        <v>PD0017</v>
      </c>
      <c r="E1025" s="36">
        <v>78</v>
      </c>
      <c r="F1025" s="38">
        <v>165360000</v>
      </c>
      <c r="G1025" s="39" t="s">
        <v>3399</v>
      </c>
      <c r="H1025" s="12"/>
      <c r="L1025" s="12"/>
    </row>
    <row r="1026" spans="1:12" ht="15.75" customHeight="1" x14ac:dyDescent="0.3">
      <c r="A1026" s="17" t="s">
        <v>584</v>
      </c>
      <c r="B1026" s="50" t="str">
        <f>VLOOKUP(A1026,'Sales Order'!A$2:B$1029,1,0)</f>
        <v>SO0346</v>
      </c>
      <c r="C1026" s="29" t="s">
        <v>72</v>
      </c>
      <c r="D1026" s="50" t="str">
        <f>VLOOKUP(C1026,Product!A$2:B$21,1,0)</f>
        <v>PD0016</v>
      </c>
      <c r="E1026" s="36">
        <v>39</v>
      </c>
      <c r="F1026" s="38">
        <v>9059310</v>
      </c>
      <c r="G1026" s="39" t="s">
        <v>3400</v>
      </c>
      <c r="H1026" s="12"/>
      <c r="L1026" s="12"/>
    </row>
    <row r="1027" spans="1:12" ht="15.75" customHeight="1" x14ac:dyDescent="0.3">
      <c r="A1027" s="29" t="s">
        <v>584</v>
      </c>
      <c r="B1027" s="50" t="str">
        <f>VLOOKUP(A1027,'Sales Order'!A$2:B$1029,1,0)</f>
        <v>SO0346</v>
      </c>
      <c r="C1027" s="29" t="s">
        <v>69</v>
      </c>
      <c r="D1027" s="50" t="str">
        <f>VLOOKUP(C1027,Product!A$2:B$21,1,0)</f>
        <v>PD0015</v>
      </c>
      <c r="E1027" s="36">
        <v>91</v>
      </c>
      <c r="F1027" s="38">
        <v>10635534</v>
      </c>
      <c r="G1027" s="39" t="s">
        <v>3401</v>
      </c>
      <c r="H1027" s="12"/>
      <c r="L1027" s="12"/>
    </row>
    <row r="1028" spans="1:12" ht="15.75" customHeight="1" x14ac:dyDescent="0.3">
      <c r="A1028" s="29" t="s">
        <v>584</v>
      </c>
      <c r="B1028" s="50" t="str">
        <f>VLOOKUP(A1028,'Sales Order'!A$2:B$1029,1,0)</f>
        <v>SO0346</v>
      </c>
      <c r="C1028" s="29" t="s">
        <v>83</v>
      </c>
      <c r="D1028" s="50" t="str">
        <f>VLOOKUP(C1028,Product!A$2:B$21,1,0)</f>
        <v>PD0020</v>
      </c>
      <c r="E1028" s="36">
        <v>102</v>
      </c>
      <c r="F1028" s="38">
        <v>28485540</v>
      </c>
      <c r="G1028" s="39" t="s">
        <v>3402</v>
      </c>
      <c r="H1028" s="12"/>
      <c r="L1028" s="12"/>
    </row>
    <row r="1029" spans="1:12" ht="15.75" customHeight="1" x14ac:dyDescent="0.3">
      <c r="A1029" s="29" t="s">
        <v>584</v>
      </c>
      <c r="B1029" s="50" t="str">
        <f>VLOOKUP(A1029,'Sales Order'!A$2:B$1029,1,0)</f>
        <v>SO0346</v>
      </c>
      <c r="C1029" s="29" t="s">
        <v>65</v>
      </c>
      <c r="D1029" s="50" t="str">
        <f>VLOOKUP(C1029,Product!A$2:B$21,1,0)</f>
        <v>PD0014</v>
      </c>
      <c r="E1029" s="36">
        <v>121</v>
      </c>
      <c r="F1029" s="38">
        <v>30045509.999999996</v>
      </c>
      <c r="G1029" s="39" t="s">
        <v>3403</v>
      </c>
      <c r="H1029" s="12"/>
      <c r="L1029" s="12"/>
    </row>
    <row r="1030" spans="1:12" ht="15.75" customHeight="1" x14ac:dyDescent="0.3">
      <c r="A1030" s="29" t="s">
        <v>585</v>
      </c>
      <c r="B1030" s="50" t="str">
        <f>VLOOKUP(A1030,'Sales Order'!A$2:B$1029,1,0)</f>
        <v>SO0347</v>
      </c>
      <c r="C1030" s="29" t="s">
        <v>72</v>
      </c>
      <c r="D1030" s="50" t="str">
        <f>VLOOKUP(C1030,Product!A$2:B$21,1,0)</f>
        <v>PD0016</v>
      </c>
      <c r="E1030" s="36">
        <v>32</v>
      </c>
      <c r="F1030" s="38">
        <v>7518720</v>
      </c>
      <c r="G1030" s="39" t="s">
        <v>3404</v>
      </c>
      <c r="H1030" s="12"/>
      <c r="L1030" s="12"/>
    </row>
    <row r="1031" spans="1:12" ht="15.75" customHeight="1" x14ac:dyDescent="0.3">
      <c r="A1031" s="29" t="s">
        <v>586</v>
      </c>
      <c r="B1031" s="50" t="str">
        <f>VLOOKUP(A1031,'Sales Order'!A$2:B$1029,1,0)</f>
        <v>SO0348</v>
      </c>
      <c r="C1031" s="29" t="s">
        <v>45</v>
      </c>
      <c r="D1031" s="50" t="str">
        <f>VLOOKUP(C1031,Product!A$2:B$21,1,0)</f>
        <v>PD0008</v>
      </c>
      <c r="E1031" s="36">
        <v>65</v>
      </c>
      <c r="F1031" s="38">
        <v>8522800</v>
      </c>
      <c r="G1031" s="39" t="s">
        <v>3405</v>
      </c>
      <c r="H1031" s="12"/>
      <c r="L1031" s="12"/>
    </row>
    <row r="1032" spans="1:12" ht="15.75" customHeight="1" x14ac:dyDescent="0.3">
      <c r="A1032" s="29" t="s">
        <v>586</v>
      </c>
      <c r="B1032" s="50" t="str">
        <f>VLOOKUP(A1032,'Sales Order'!A$2:B$1029,1,0)</f>
        <v>SO0348</v>
      </c>
      <c r="C1032" s="29" t="s">
        <v>48</v>
      </c>
      <c r="D1032" s="50" t="str">
        <f>VLOOKUP(C1032,Product!A$2:B$21,1,0)</f>
        <v>PD0009</v>
      </c>
      <c r="E1032" s="36">
        <v>66</v>
      </c>
      <c r="F1032" s="38">
        <v>8088300</v>
      </c>
      <c r="G1032" s="39" t="s">
        <v>3406</v>
      </c>
      <c r="H1032" s="12"/>
      <c r="L1032" s="12"/>
    </row>
    <row r="1033" spans="1:12" ht="15.75" customHeight="1" x14ac:dyDescent="0.3">
      <c r="A1033" s="29" t="s">
        <v>586</v>
      </c>
      <c r="B1033" s="50" t="str">
        <f>VLOOKUP(A1033,'Sales Order'!A$2:B$1029,1,0)</f>
        <v>SO0348</v>
      </c>
      <c r="C1033" s="29" t="s">
        <v>52</v>
      </c>
      <c r="D1033" s="50" t="str">
        <f>VLOOKUP(C1033,Product!A$2:B$21,1,0)</f>
        <v>PD0010</v>
      </c>
      <c r="E1033" s="36">
        <v>80</v>
      </c>
      <c r="F1033" s="38">
        <v>23920000</v>
      </c>
      <c r="G1033" s="39" t="s">
        <v>3407</v>
      </c>
      <c r="H1033" s="12"/>
      <c r="L1033" s="12"/>
    </row>
    <row r="1034" spans="1:12" ht="15.75" customHeight="1" x14ac:dyDescent="0.3">
      <c r="A1034" s="29" t="s">
        <v>586</v>
      </c>
      <c r="B1034" s="50" t="str">
        <f>VLOOKUP(A1034,'Sales Order'!A$2:B$1029,1,0)</f>
        <v>SO0348</v>
      </c>
      <c r="C1034" s="29" t="s">
        <v>78</v>
      </c>
      <c r="D1034" s="50" t="str">
        <f>VLOOKUP(C1034,Product!A$2:B$21,1,0)</f>
        <v>PD0018</v>
      </c>
      <c r="E1034" s="36">
        <v>64</v>
      </c>
      <c r="F1034" s="38">
        <v>27238400</v>
      </c>
      <c r="G1034" s="39" t="s">
        <v>3408</v>
      </c>
      <c r="H1034" s="12"/>
      <c r="L1034" s="12"/>
    </row>
    <row r="1035" spans="1:12" ht="15.75" customHeight="1" x14ac:dyDescent="0.3">
      <c r="A1035" s="29" t="s">
        <v>586</v>
      </c>
      <c r="B1035" s="50" t="str">
        <f>VLOOKUP(A1035,'Sales Order'!A$2:B$1029,1,0)</f>
        <v>SO0348</v>
      </c>
      <c r="C1035" s="29" t="s">
        <v>25</v>
      </c>
      <c r="D1035" s="50" t="str">
        <f>VLOOKUP(C1035,Product!A$2:B$21,1,0)</f>
        <v>PD0002</v>
      </c>
      <c r="E1035" s="36">
        <v>140</v>
      </c>
      <c r="F1035" s="38">
        <v>2660000</v>
      </c>
      <c r="G1035" s="39" t="s">
        <v>3409</v>
      </c>
      <c r="H1035" s="12"/>
      <c r="L1035" s="12"/>
    </row>
    <row r="1036" spans="1:12" ht="15.75" customHeight="1" x14ac:dyDescent="0.3">
      <c r="A1036" s="17" t="s">
        <v>587</v>
      </c>
      <c r="B1036" s="50" t="str">
        <f>VLOOKUP(A1036,'Sales Order'!A$2:B$1029,1,0)</f>
        <v>SO0349</v>
      </c>
      <c r="C1036" s="29" t="s">
        <v>45</v>
      </c>
      <c r="D1036" s="50" t="str">
        <f>VLOOKUP(C1036,Product!A$2:B$21,1,0)</f>
        <v>PD0008</v>
      </c>
      <c r="E1036" s="36">
        <v>115</v>
      </c>
      <c r="F1036" s="38">
        <v>15421500</v>
      </c>
      <c r="G1036" s="39" t="s">
        <v>3410</v>
      </c>
      <c r="H1036" s="12"/>
      <c r="L1036" s="12"/>
    </row>
    <row r="1037" spans="1:12" ht="15.75" customHeight="1" x14ac:dyDescent="0.3">
      <c r="A1037" s="29" t="s">
        <v>587</v>
      </c>
      <c r="B1037" s="50" t="str">
        <f>VLOOKUP(A1037,'Sales Order'!A$2:B$1029,1,0)</f>
        <v>SO0349</v>
      </c>
      <c r="C1037" s="29" t="s">
        <v>81</v>
      </c>
      <c r="D1037" s="50" t="str">
        <f>VLOOKUP(C1037,Product!A$2:B$21,1,0)</f>
        <v>PD0019</v>
      </c>
      <c r="E1037" s="36">
        <v>39</v>
      </c>
      <c r="F1037" s="38">
        <v>78534690</v>
      </c>
      <c r="G1037" s="39" t="s">
        <v>3411</v>
      </c>
      <c r="H1037" s="12"/>
      <c r="L1037" s="12"/>
    </row>
    <row r="1038" spans="1:12" ht="15.75" customHeight="1" x14ac:dyDescent="0.3">
      <c r="A1038" s="17" t="s">
        <v>588</v>
      </c>
      <c r="B1038" s="50" t="str">
        <f>VLOOKUP(A1038,'Sales Order'!A$2:B$1029,1,0)</f>
        <v>SO0350</v>
      </c>
      <c r="C1038" s="29" t="s">
        <v>28</v>
      </c>
      <c r="D1038" s="50" t="str">
        <f>VLOOKUP(C1038,Product!A$2:B$21,1,0)</f>
        <v>PD0003</v>
      </c>
      <c r="E1038" s="36">
        <v>133</v>
      </c>
      <c r="F1038" s="38">
        <v>106487780</v>
      </c>
      <c r="G1038" s="39" t="s">
        <v>3412</v>
      </c>
      <c r="H1038" s="12"/>
      <c r="L1038" s="12"/>
    </row>
    <row r="1039" spans="1:12" ht="15.75" customHeight="1" x14ac:dyDescent="0.3">
      <c r="A1039" s="29" t="s">
        <v>588</v>
      </c>
      <c r="B1039" s="50" t="str">
        <f>VLOOKUP(A1039,'Sales Order'!A$2:B$1029,1,0)</f>
        <v>SO0350</v>
      </c>
      <c r="C1039" s="29" t="s">
        <v>78</v>
      </c>
      <c r="D1039" s="50" t="str">
        <f>VLOOKUP(C1039,Product!A$2:B$21,1,0)</f>
        <v>PD0018</v>
      </c>
      <c r="E1039" s="36">
        <v>133</v>
      </c>
      <c r="F1039" s="38">
        <v>60850160</v>
      </c>
      <c r="G1039" s="39" t="s">
        <v>3413</v>
      </c>
      <c r="H1039" s="12"/>
      <c r="L1039" s="12"/>
    </row>
    <row r="1040" spans="1:12" ht="15.75" customHeight="1" x14ac:dyDescent="0.3">
      <c r="A1040" s="29" t="s">
        <v>588</v>
      </c>
      <c r="B1040" s="50" t="str">
        <f>VLOOKUP(A1040,'Sales Order'!A$2:B$1029,1,0)</f>
        <v>SO0350</v>
      </c>
      <c r="C1040" s="29" t="s">
        <v>58</v>
      </c>
      <c r="D1040" s="50" t="str">
        <f>VLOOKUP(C1040,Product!A$2:B$21,1,0)</f>
        <v>PD0012</v>
      </c>
      <c r="E1040" s="36">
        <v>65</v>
      </c>
      <c r="F1040" s="38">
        <v>304224050</v>
      </c>
      <c r="G1040" s="39" t="s">
        <v>3414</v>
      </c>
      <c r="H1040" s="12"/>
      <c r="L1040" s="12"/>
    </row>
    <row r="1041" spans="1:12" ht="15.75" customHeight="1" x14ac:dyDescent="0.3">
      <c r="A1041" s="17" t="s">
        <v>589</v>
      </c>
      <c r="B1041" s="50" t="str">
        <f>VLOOKUP(A1041,'Sales Order'!A$2:B$1029,1,0)</f>
        <v>SO0351</v>
      </c>
      <c r="C1041" s="29" t="s">
        <v>61</v>
      </c>
      <c r="D1041" s="50" t="str">
        <f>VLOOKUP(C1041,Product!A$2:B$21,1,0)</f>
        <v>PD0013</v>
      </c>
      <c r="E1041" s="36">
        <v>38</v>
      </c>
      <c r="F1041" s="38">
        <v>16017760</v>
      </c>
      <c r="G1041" s="39" t="s">
        <v>3415</v>
      </c>
      <c r="H1041" s="12"/>
      <c r="L1041" s="12"/>
    </row>
    <row r="1042" spans="1:12" ht="15.75" customHeight="1" x14ac:dyDescent="0.3">
      <c r="A1042" s="17" t="s">
        <v>590</v>
      </c>
      <c r="B1042" s="50" t="str">
        <f>VLOOKUP(A1042,'Sales Order'!A$2:B$1029,1,0)</f>
        <v>SO0352</v>
      </c>
      <c r="C1042" s="29" t="s">
        <v>40</v>
      </c>
      <c r="D1042" s="50" t="str">
        <f>VLOOKUP(C1042,Product!A$2:B$21,1,0)</f>
        <v>PD0006</v>
      </c>
      <c r="E1042" s="36">
        <v>124</v>
      </c>
      <c r="F1042" s="38">
        <v>20991960</v>
      </c>
      <c r="G1042" s="39" t="s">
        <v>3416</v>
      </c>
      <c r="H1042" s="12"/>
      <c r="L1042" s="12"/>
    </row>
    <row r="1043" spans="1:12" ht="15.75" customHeight="1" x14ac:dyDescent="0.3">
      <c r="A1043" s="29" t="s">
        <v>590</v>
      </c>
      <c r="B1043" s="50" t="str">
        <f>VLOOKUP(A1043,'Sales Order'!A$2:B$1029,1,0)</f>
        <v>SO0352</v>
      </c>
      <c r="C1043" s="29" t="s">
        <v>48</v>
      </c>
      <c r="D1043" s="50" t="str">
        <f>VLOOKUP(C1043,Product!A$2:B$21,1,0)</f>
        <v>PD0009</v>
      </c>
      <c r="E1043" s="36">
        <v>65</v>
      </c>
      <c r="F1043" s="38">
        <v>7211100</v>
      </c>
      <c r="G1043" s="39" t="s">
        <v>3417</v>
      </c>
      <c r="H1043" s="12"/>
      <c r="L1043" s="12"/>
    </row>
    <row r="1044" spans="1:12" ht="15.75" customHeight="1" x14ac:dyDescent="0.3">
      <c r="A1044" s="29" t="s">
        <v>590</v>
      </c>
      <c r="B1044" s="50" t="str">
        <f>VLOOKUP(A1044,'Sales Order'!A$2:B$1029,1,0)</f>
        <v>SO0352</v>
      </c>
      <c r="C1044" s="29" t="s">
        <v>25</v>
      </c>
      <c r="D1044" s="50" t="str">
        <f>VLOOKUP(C1044,Product!A$2:B$21,1,0)</f>
        <v>PD0002</v>
      </c>
      <c r="E1044" s="36">
        <v>48</v>
      </c>
      <c r="F1044" s="38">
        <v>777600</v>
      </c>
      <c r="G1044" s="39" t="s">
        <v>3418</v>
      </c>
      <c r="H1044" s="12"/>
      <c r="L1044" s="12"/>
    </row>
    <row r="1045" spans="1:12" ht="15.75" customHeight="1" x14ac:dyDescent="0.3">
      <c r="A1045" s="17" t="s">
        <v>591</v>
      </c>
      <c r="B1045" s="50" t="str">
        <f>VLOOKUP(A1045,'Sales Order'!A$2:B$1029,1,0)</f>
        <v>SO0353</v>
      </c>
      <c r="C1045" s="29" t="s">
        <v>72</v>
      </c>
      <c r="D1045" s="50" t="str">
        <f>VLOOKUP(C1045,Product!A$2:B$21,1,0)</f>
        <v>PD0016</v>
      </c>
      <c r="E1045" s="36">
        <v>110</v>
      </c>
      <c r="F1045" s="38">
        <v>22908600</v>
      </c>
      <c r="G1045" s="39" t="s">
        <v>3419</v>
      </c>
      <c r="H1045" s="12"/>
      <c r="L1045" s="12"/>
    </row>
    <row r="1046" spans="1:12" ht="15.75" customHeight="1" x14ac:dyDescent="0.3">
      <c r="A1046" s="17" t="s">
        <v>592</v>
      </c>
      <c r="B1046" s="50" t="str">
        <f>VLOOKUP(A1046,'Sales Order'!A$2:B$1029,1,0)</f>
        <v>SO0354</v>
      </c>
      <c r="C1046" s="29" t="s">
        <v>69</v>
      </c>
      <c r="D1046" s="50" t="str">
        <f>VLOOKUP(C1046,Product!A$2:B$21,1,0)</f>
        <v>PD0015</v>
      </c>
      <c r="E1046" s="36">
        <v>148</v>
      </c>
      <c r="F1046" s="38">
        <v>18504144</v>
      </c>
      <c r="G1046" s="39" t="s">
        <v>3420</v>
      </c>
      <c r="H1046" s="12"/>
      <c r="L1046" s="12"/>
    </row>
    <row r="1047" spans="1:12" ht="15.75" customHeight="1" x14ac:dyDescent="0.3">
      <c r="A1047" s="29" t="s">
        <v>592</v>
      </c>
      <c r="B1047" s="50" t="str">
        <f>VLOOKUP(A1047,'Sales Order'!A$2:B$1029,1,0)</f>
        <v>SO0354</v>
      </c>
      <c r="C1047" s="29" t="s">
        <v>33</v>
      </c>
      <c r="D1047" s="50" t="str">
        <f>VLOOKUP(C1047,Product!A$2:B$21,1,0)</f>
        <v>PD0004</v>
      </c>
      <c r="E1047" s="36">
        <v>134</v>
      </c>
      <c r="F1047" s="38">
        <v>22110000</v>
      </c>
      <c r="G1047" s="39" t="s">
        <v>3421</v>
      </c>
      <c r="H1047" s="12"/>
      <c r="L1047" s="12"/>
    </row>
    <row r="1048" spans="1:12" ht="15.75" customHeight="1" x14ac:dyDescent="0.3">
      <c r="A1048" s="29" t="s">
        <v>592</v>
      </c>
      <c r="B1048" s="50" t="str">
        <f>VLOOKUP(A1048,'Sales Order'!A$2:B$1029,1,0)</f>
        <v>SO0354</v>
      </c>
      <c r="C1048" s="29" t="s">
        <v>28</v>
      </c>
      <c r="D1048" s="50" t="str">
        <f>VLOOKUP(C1048,Product!A$2:B$21,1,0)</f>
        <v>PD0003</v>
      </c>
      <c r="E1048" s="36">
        <v>94</v>
      </c>
      <c r="F1048" s="38">
        <v>76137180</v>
      </c>
      <c r="G1048" s="39" t="s">
        <v>3422</v>
      </c>
      <c r="H1048" s="12"/>
      <c r="L1048" s="12"/>
    </row>
    <row r="1049" spans="1:12" ht="15.75" customHeight="1" x14ac:dyDescent="0.3">
      <c r="A1049" s="29" t="s">
        <v>592</v>
      </c>
      <c r="B1049" s="50" t="str">
        <f>VLOOKUP(A1049,'Sales Order'!A$2:B$1029,1,0)</f>
        <v>SO0354</v>
      </c>
      <c r="C1049" s="29" t="s">
        <v>48</v>
      </c>
      <c r="D1049" s="50" t="str">
        <f>VLOOKUP(C1049,Product!A$2:B$21,1,0)</f>
        <v>PD0009</v>
      </c>
      <c r="E1049" s="36">
        <v>38</v>
      </c>
      <c r="F1049" s="38">
        <v>3823560</v>
      </c>
      <c r="G1049" s="39" t="s">
        <v>3423</v>
      </c>
      <c r="H1049" s="12"/>
      <c r="L1049" s="12"/>
    </row>
    <row r="1050" spans="1:12" ht="15.75" customHeight="1" x14ac:dyDescent="0.3">
      <c r="A1050" s="29" t="s">
        <v>592</v>
      </c>
      <c r="B1050" s="50" t="str">
        <f>VLOOKUP(A1050,'Sales Order'!A$2:B$1029,1,0)</f>
        <v>SO0354</v>
      </c>
      <c r="C1050" s="29" t="s">
        <v>25</v>
      </c>
      <c r="D1050" s="50" t="str">
        <f>VLOOKUP(C1050,Product!A$2:B$21,1,0)</f>
        <v>PD0002</v>
      </c>
      <c r="E1050" s="36">
        <v>150</v>
      </c>
      <c r="F1050" s="38">
        <v>2760000</v>
      </c>
      <c r="G1050" s="39" t="s">
        <v>3424</v>
      </c>
      <c r="H1050" s="12"/>
      <c r="L1050" s="12"/>
    </row>
    <row r="1051" spans="1:12" ht="15.75" customHeight="1" x14ac:dyDescent="0.3">
      <c r="A1051" s="17" t="s">
        <v>593</v>
      </c>
      <c r="B1051" s="50" t="str">
        <f>VLOOKUP(A1051,'Sales Order'!A$2:B$1029,1,0)</f>
        <v>SO0355</v>
      </c>
      <c r="C1051" s="29" t="s">
        <v>81</v>
      </c>
      <c r="D1051" s="50" t="str">
        <f>VLOOKUP(C1051,Product!A$2:B$21,1,0)</f>
        <v>PD0019</v>
      </c>
      <c r="E1051" s="36">
        <v>30</v>
      </c>
      <c r="F1051" s="38">
        <v>66528900</v>
      </c>
      <c r="G1051" s="39" t="s">
        <v>3425</v>
      </c>
      <c r="H1051" s="12"/>
      <c r="L1051" s="12"/>
    </row>
    <row r="1052" spans="1:12" ht="15.75" customHeight="1" x14ac:dyDescent="0.3">
      <c r="A1052" s="29" t="s">
        <v>593</v>
      </c>
      <c r="B1052" s="50" t="str">
        <f>VLOOKUP(A1052,'Sales Order'!A$2:B$1029,1,0)</f>
        <v>SO0355</v>
      </c>
      <c r="C1052" s="29" t="s">
        <v>33</v>
      </c>
      <c r="D1052" s="50" t="str">
        <f>VLOOKUP(C1052,Product!A$2:B$21,1,0)</f>
        <v>PD0004</v>
      </c>
      <c r="E1052" s="36">
        <v>76</v>
      </c>
      <c r="F1052" s="38">
        <v>15716800</v>
      </c>
      <c r="G1052" s="39" t="s">
        <v>3426</v>
      </c>
      <c r="H1052" s="12"/>
      <c r="L1052" s="12"/>
    </row>
    <row r="1053" spans="1:12" ht="15.75" customHeight="1" x14ac:dyDescent="0.3">
      <c r="A1053" s="29" t="s">
        <v>593</v>
      </c>
      <c r="B1053" s="50" t="str">
        <f>VLOOKUP(A1053,'Sales Order'!A$2:B$1029,1,0)</f>
        <v>SO0355</v>
      </c>
      <c r="C1053" s="29" t="s">
        <v>75</v>
      </c>
      <c r="D1053" s="50" t="str">
        <f>VLOOKUP(C1053,Product!A$2:B$21,1,0)</f>
        <v>PD0017</v>
      </c>
      <c r="E1053" s="36">
        <v>98</v>
      </c>
      <c r="F1053" s="38">
        <v>223342000</v>
      </c>
      <c r="G1053" s="39" t="s">
        <v>3427</v>
      </c>
      <c r="H1053" s="12"/>
      <c r="L1053" s="12"/>
    </row>
    <row r="1054" spans="1:12" ht="15.75" customHeight="1" x14ac:dyDescent="0.3">
      <c r="A1054" s="17" t="s">
        <v>594</v>
      </c>
      <c r="B1054" s="50" t="str">
        <f>VLOOKUP(A1054,'Sales Order'!A$2:B$1029,1,0)</f>
        <v>SO0356</v>
      </c>
      <c r="C1054" s="29" t="s">
        <v>65</v>
      </c>
      <c r="D1054" s="50" t="str">
        <f>VLOOKUP(C1054,Product!A$2:B$21,1,0)</f>
        <v>PD0014</v>
      </c>
      <c r="E1054" s="36">
        <v>60</v>
      </c>
      <c r="F1054" s="38">
        <v>12335400</v>
      </c>
      <c r="G1054" s="39" t="s">
        <v>3428</v>
      </c>
      <c r="H1054" s="12"/>
      <c r="L1054" s="12"/>
    </row>
    <row r="1055" spans="1:12" ht="15.75" customHeight="1" x14ac:dyDescent="0.3">
      <c r="A1055" s="29" t="s">
        <v>594</v>
      </c>
      <c r="B1055" s="50" t="str">
        <f>VLOOKUP(A1055,'Sales Order'!A$2:B$1029,1,0)</f>
        <v>SO0356</v>
      </c>
      <c r="C1055" s="29" t="s">
        <v>33</v>
      </c>
      <c r="D1055" s="50" t="str">
        <f>VLOOKUP(C1055,Product!A$2:B$21,1,0)</f>
        <v>PD0004</v>
      </c>
      <c r="E1055" s="36">
        <v>33</v>
      </c>
      <c r="F1055" s="38">
        <v>5662800</v>
      </c>
      <c r="G1055" s="39" t="s">
        <v>3429</v>
      </c>
      <c r="H1055" s="12"/>
      <c r="L1055" s="12"/>
    </row>
    <row r="1056" spans="1:12" ht="15.75" customHeight="1" x14ac:dyDescent="0.3">
      <c r="A1056" s="17" t="s">
        <v>595</v>
      </c>
      <c r="B1056" s="50" t="str">
        <f>VLOOKUP(A1056,'Sales Order'!A$2:B$1029,1,0)</f>
        <v>SO0357</v>
      </c>
      <c r="C1056" s="29" t="s">
        <v>43</v>
      </c>
      <c r="D1056" s="50" t="str">
        <f>VLOOKUP(C1056,Product!A$2:B$21,1,0)</f>
        <v>PD0007</v>
      </c>
      <c r="E1056" s="36">
        <v>78</v>
      </c>
      <c r="F1056" s="38">
        <v>192192000</v>
      </c>
      <c r="G1056" s="39" t="s">
        <v>3430</v>
      </c>
      <c r="H1056" s="12"/>
      <c r="L1056" s="12"/>
    </row>
    <row r="1057" spans="1:12" ht="15.75" customHeight="1" x14ac:dyDescent="0.3">
      <c r="A1057" s="29" t="s">
        <v>595</v>
      </c>
      <c r="B1057" s="50" t="str">
        <f>VLOOKUP(A1057,'Sales Order'!A$2:B$1029,1,0)</f>
        <v>SO0357</v>
      </c>
      <c r="C1057" s="29" t="s">
        <v>35</v>
      </c>
      <c r="D1057" s="50" t="str">
        <f>VLOOKUP(C1057,Product!A$2:B$21,1,0)</f>
        <v>PD0005</v>
      </c>
      <c r="E1057" s="36">
        <v>146</v>
      </c>
      <c r="F1057" s="38">
        <v>246761900</v>
      </c>
      <c r="G1057" s="39" t="s">
        <v>3431</v>
      </c>
      <c r="H1057" s="12"/>
      <c r="L1057" s="12"/>
    </row>
    <row r="1058" spans="1:12" ht="15.75" customHeight="1" x14ac:dyDescent="0.3">
      <c r="A1058" s="17" t="s">
        <v>596</v>
      </c>
      <c r="B1058" s="50" t="str">
        <f>VLOOKUP(A1058,'Sales Order'!A$2:B$1029,1,0)</f>
        <v>SO0358</v>
      </c>
      <c r="C1058" s="29" t="s">
        <v>52</v>
      </c>
      <c r="D1058" s="50" t="str">
        <f>VLOOKUP(C1058,Product!A$2:B$21,1,0)</f>
        <v>PD0010</v>
      </c>
      <c r="E1058" s="36">
        <v>109</v>
      </c>
      <c r="F1058" s="38">
        <v>28694250.000000004</v>
      </c>
      <c r="G1058" s="39" t="s">
        <v>3432</v>
      </c>
      <c r="H1058" s="12"/>
      <c r="L1058" s="12"/>
    </row>
    <row r="1059" spans="1:12" ht="15.75" customHeight="1" x14ac:dyDescent="0.3">
      <c r="A1059" s="17" t="s">
        <v>597</v>
      </c>
      <c r="B1059" s="50" t="str">
        <f>VLOOKUP(A1059,'Sales Order'!A$2:B$1029,1,0)</f>
        <v>SO0359</v>
      </c>
      <c r="C1059" s="29" t="s">
        <v>25</v>
      </c>
      <c r="D1059" s="50" t="str">
        <f>VLOOKUP(C1059,Product!A$2:B$21,1,0)</f>
        <v>PD0002</v>
      </c>
      <c r="E1059" s="36">
        <v>141</v>
      </c>
      <c r="F1059" s="38">
        <v>2171400</v>
      </c>
      <c r="G1059" s="39" t="s">
        <v>3433</v>
      </c>
      <c r="H1059" s="12"/>
      <c r="L1059" s="12"/>
    </row>
    <row r="1060" spans="1:12" ht="15.75" customHeight="1" x14ac:dyDescent="0.3">
      <c r="A1060" s="17" t="s">
        <v>598</v>
      </c>
      <c r="B1060" s="50" t="str">
        <f>VLOOKUP(A1060,'Sales Order'!A$2:B$1029,1,0)</f>
        <v>SO0360</v>
      </c>
      <c r="C1060" s="29" t="s">
        <v>45</v>
      </c>
      <c r="D1060" s="50" t="str">
        <f>VLOOKUP(C1060,Product!A$2:B$21,1,0)</f>
        <v>PD0008</v>
      </c>
      <c r="E1060" s="36">
        <v>135</v>
      </c>
      <c r="F1060" s="38">
        <v>17701200</v>
      </c>
      <c r="G1060" s="39" t="s">
        <v>3434</v>
      </c>
      <c r="H1060" s="12"/>
      <c r="L1060" s="12"/>
    </row>
    <row r="1061" spans="1:12" ht="15.75" customHeight="1" x14ac:dyDescent="0.3">
      <c r="A1061" s="29" t="s">
        <v>598</v>
      </c>
      <c r="B1061" s="50" t="str">
        <f>VLOOKUP(A1061,'Sales Order'!A$2:B$1029,1,0)</f>
        <v>SO0360</v>
      </c>
      <c r="C1061" s="29" t="s">
        <v>69</v>
      </c>
      <c r="D1061" s="50" t="str">
        <f>VLOOKUP(C1061,Product!A$2:B$21,1,0)</f>
        <v>PD0015</v>
      </c>
      <c r="E1061" s="36">
        <v>27</v>
      </c>
      <c r="F1061" s="38">
        <v>2751975</v>
      </c>
      <c r="G1061" s="39" t="s">
        <v>3435</v>
      </c>
      <c r="H1061" s="12"/>
      <c r="L1061" s="12"/>
    </row>
    <row r="1062" spans="1:12" ht="15.75" customHeight="1" x14ac:dyDescent="0.3">
      <c r="A1062" s="17" t="s">
        <v>599</v>
      </c>
      <c r="B1062" s="50" t="str">
        <f>VLOOKUP(A1062,'Sales Order'!A$2:B$1029,1,0)</f>
        <v>SO0361</v>
      </c>
      <c r="C1062" s="29" t="s">
        <v>19</v>
      </c>
      <c r="D1062" s="50" t="str">
        <f>VLOOKUP(C1062,Product!A$2:B$21,1,0)</f>
        <v>PD0001</v>
      </c>
      <c r="E1062" s="36">
        <v>49</v>
      </c>
      <c r="F1062" s="38">
        <v>9882810</v>
      </c>
      <c r="G1062" s="39" t="s">
        <v>3436</v>
      </c>
      <c r="H1062" s="12"/>
      <c r="L1062" s="12"/>
    </row>
    <row r="1063" spans="1:12" ht="15.75" customHeight="1" x14ac:dyDescent="0.3">
      <c r="A1063" s="29" t="s">
        <v>599</v>
      </c>
      <c r="B1063" s="50" t="str">
        <f>VLOOKUP(A1063,'Sales Order'!A$2:B$1029,1,0)</f>
        <v>SO0361</v>
      </c>
      <c r="C1063" s="29" t="s">
        <v>45</v>
      </c>
      <c r="D1063" s="50" t="str">
        <f>VLOOKUP(C1063,Product!A$2:B$21,1,0)</f>
        <v>PD0008</v>
      </c>
      <c r="E1063" s="36">
        <v>119</v>
      </c>
      <c r="F1063" s="38">
        <v>16489829.999999998</v>
      </c>
      <c r="G1063" s="39" t="s">
        <v>3437</v>
      </c>
      <c r="H1063" s="12"/>
      <c r="L1063" s="12"/>
    </row>
    <row r="1064" spans="1:12" ht="15.75" customHeight="1" x14ac:dyDescent="0.3">
      <c r="A1064" s="29" t="s">
        <v>600</v>
      </c>
      <c r="B1064" s="50" t="str">
        <f>VLOOKUP(A1064,'Sales Order'!A$2:B$1029,1,0)</f>
        <v>SO0362</v>
      </c>
      <c r="C1064" s="29" t="s">
        <v>45</v>
      </c>
      <c r="D1064" s="50" t="str">
        <f>VLOOKUP(C1064,Product!A$2:B$21,1,0)</f>
        <v>PD0008</v>
      </c>
      <c r="E1064" s="36">
        <v>64</v>
      </c>
      <c r="F1064" s="38">
        <v>7342720</v>
      </c>
      <c r="G1064" s="39" t="s">
        <v>3438</v>
      </c>
      <c r="H1064" s="12"/>
      <c r="L1064" s="12"/>
    </row>
    <row r="1065" spans="1:12" ht="15.75" customHeight="1" x14ac:dyDescent="0.3">
      <c r="A1065" s="29" t="s">
        <v>600</v>
      </c>
      <c r="B1065" s="50" t="str">
        <f>VLOOKUP(A1065,'Sales Order'!A$2:B$1029,1,0)</f>
        <v>SO0362</v>
      </c>
      <c r="C1065" s="29" t="s">
        <v>81</v>
      </c>
      <c r="D1065" s="50" t="str">
        <f>VLOOKUP(C1065,Product!A$2:B$21,1,0)</f>
        <v>PD0019</v>
      </c>
      <c r="E1065" s="36">
        <v>34</v>
      </c>
      <c r="F1065" s="38">
        <v>74532760</v>
      </c>
      <c r="G1065" s="39" t="s">
        <v>3439</v>
      </c>
      <c r="H1065" s="12"/>
      <c r="L1065" s="12"/>
    </row>
    <row r="1066" spans="1:12" ht="15.75" customHeight="1" x14ac:dyDescent="0.3">
      <c r="A1066" s="29" t="s">
        <v>600</v>
      </c>
      <c r="B1066" s="50" t="str">
        <f>VLOOKUP(A1066,'Sales Order'!A$2:B$1029,1,0)</f>
        <v>SO0362</v>
      </c>
      <c r="C1066" s="29" t="s">
        <v>75</v>
      </c>
      <c r="D1066" s="50" t="str">
        <f>VLOOKUP(C1066,Product!A$2:B$21,1,0)</f>
        <v>PD0017</v>
      </c>
      <c r="E1066" s="36">
        <v>46</v>
      </c>
      <c r="F1066" s="38">
        <v>114586000</v>
      </c>
      <c r="G1066" s="39" t="s">
        <v>3440</v>
      </c>
      <c r="H1066" s="12"/>
      <c r="L1066" s="12"/>
    </row>
    <row r="1067" spans="1:12" ht="15.75" customHeight="1" x14ac:dyDescent="0.3">
      <c r="A1067" s="17" t="s">
        <v>601</v>
      </c>
      <c r="B1067" s="50" t="str">
        <f>VLOOKUP(A1067,'Sales Order'!A$2:B$1029,1,0)</f>
        <v>SO0363</v>
      </c>
      <c r="C1067" s="29" t="s">
        <v>33</v>
      </c>
      <c r="D1067" s="50" t="str">
        <f>VLOOKUP(C1067,Product!A$2:B$21,1,0)</f>
        <v>PD0004</v>
      </c>
      <c r="E1067" s="36">
        <v>44</v>
      </c>
      <c r="F1067" s="38">
        <v>8518400</v>
      </c>
      <c r="G1067" s="39" t="s">
        <v>3441</v>
      </c>
      <c r="H1067" s="12"/>
      <c r="L1067" s="12"/>
    </row>
    <row r="1068" spans="1:12" ht="15.75" customHeight="1" x14ac:dyDescent="0.3">
      <c r="A1068" s="29" t="s">
        <v>601</v>
      </c>
      <c r="B1068" s="50" t="str">
        <f>VLOOKUP(A1068,'Sales Order'!A$2:B$1029,1,0)</f>
        <v>SO0363</v>
      </c>
      <c r="C1068" s="29" t="s">
        <v>25</v>
      </c>
      <c r="D1068" s="50" t="str">
        <f>VLOOKUP(C1068,Product!A$2:B$21,1,0)</f>
        <v>PD0002</v>
      </c>
      <c r="E1068" s="36">
        <v>97</v>
      </c>
      <c r="F1068" s="38">
        <v>1571400</v>
      </c>
      <c r="G1068" s="39" t="s">
        <v>3442</v>
      </c>
      <c r="H1068" s="12"/>
      <c r="L1068" s="12"/>
    </row>
    <row r="1069" spans="1:12" ht="15.75" customHeight="1" x14ac:dyDescent="0.3">
      <c r="A1069" s="29" t="s">
        <v>601</v>
      </c>
      <c r="B1069" s="50" t="str">
        <f>VLOOKUP(A1069,'Sales Order'!A$2:B$1029,1,0)</f>
        <v>SO0363</v>
      </c>
      <c r="C1069" s="29" t="s">
        <v>69</v>
      </c>
      <c r="D1069" s="50" t="str">
        <f>VLOOKUP(C1069,Product!A$2:B$21,1,0)</f>
        <v>PD0015</v>
      </c>
      <c r="E1069" s="36">
        <v>115</v>
      </c>
      <c r="F1069" s="38">
        <v>14378220</v>
      </c>
      <c r="G1069" s="39" t="s">
        <v>3443</v>
      </c>
      <c r="H1069" s="12"/>
      <c r="L1069" s="12"/>
    </row>
    <row r="1070" spans="1:12" ht="15.75" customHeight="1" x14ac:dyDescent="0.3">
      <c r="A1070" s="17" t="s">
        <v>602</v>
      </c>
      <c r="B1070" s="50" t="str">
        <f>VLOOKUP(A1070,'Sales Order'!A$2:B$1029,1,0)</f>
        <v>SO0364</v>
      </c>
      <c r="C1070" s="29" t="s">
        <v>43</v>
      </c>
      <c r="D1070" s="50" t="str">
        <f>VLOOKUP(C1070,Product!A$2:B$21,1,0)</f>
        <v>PD0007</v>
      </c>
      <c r="E1070" s="36">
        <v>33</v>
      </c>
      <c r="F1070" s="38">
        <v>93984000</v>
      </c>
      <c r="G1070" s="39" t="s">
        <v>3444</v>
      </c>
      <c r="H1070" s="12"/>
      <c r="L1070" s="12"/>
    </row>
    <row r="1071" spans="1:12" ht="15.75" customHeight="1" x14ac:dyDescent="0.3">
      <c r="A1071" s="29" t="s">
        <v>602</v>
      </c>
      <c r="B1071" s="50" t="str">
        <f>VLOOKUP(A1071,'Sales Order'!A$2:B$1029,1,0)</f>
        <v>SO0364</v>
      </c>
      <c r="C1071" s="29" t="s">
        <v>33</v>
      </c>
      <c r="D1071" s="50" t="str">
        <f>VLOOKUP(C1071,Product!A$2:B$21,1,0)</f>
        <v>PD0004</v>
      </c>
      <c r="E1071" s="36">
        <v>36</v>
      </c>
      <c r="F1071" s="38">
        <v>6652800</v>
      </c>
      <c r="G1071" s="39" t="s">
        <v>3445</v>
      </c>
      <c r="H1071" s="12"/>
      <c r="L1071" s="12"/>
    </row>
    <row r="1072" spans="1:12" ht="15.75" customHeight="1" x14ac:dyDescent="0.3">
      <c r="A1072" s="29" t="s">
        <v>602</v>
      </c>
      <c r="B1072" s="50" t="str">
        <f>VLOOKUP(A1072,'Sales Order'!A$2:B$1029,1,0)</f>
        <v>SO0364</v>
      </c>
      <c r="C1072" s="29" t="s">
        <v>81</v>
      </c>
      <c r="D1072" s="50" t="str">
        <f>VLOOKUP(C1072,Product!A$2:B$21,1,0)</f>
        <v>PD0019</v>
      </c>
      <c r="E1072" s="36">
        <v>43</v>
      </c>
      <c r="F1072" s="38">
        <v>87685600</v>
      </c>
      <c r="G1072" s="39" t="s">
        <v>3446</v>
      </c>
      <c r="H1072" s="12"/>
      <c r="L1072" s="12"/>
    </row>
    <row r="1073" spans="1:12" ht="15.75" customHeight="1" x14ac:dyDescent="0.3">
      <c r="A1073" s="29" t="s">
        <v>602</v>
      </c>
      <c r="B1073" s="50" t="str">
        <f>VLOOKUP(A1073,'Sales Order'!A$2:B$1029,1,0)</f>
        <v>SO0364</v>
      </c>
      <c r="C1073" s="29" t="s">
        <v>28</v>
      </c>
      <c r="D1073" s="50" t="str">
        <f>VLOOKUP(C1073,Product!A$2:B$21,1,0)</f>
        <v>PD0003</v>
      </c>
      <c r="E1073" s="36">
        <v>75</v>
      </c>
      <c r="F1073" s="38">
        <v>63540750</v>
      </c>
      <c r="G1073" s="39" t="s">
        <v>3447</v>
      </c>
      <c r="H1073" s="12"/>
      <c r="L1073" s="12"/>
    </row>
    <row r="1074" spans="1:12" ht="15.75" customHeight="1" x14ac:dyDescent="0.3">
      <c r="A1074" s="17" t="s">
        <v>603</v>
      </c>
      <c r="B1074" s="50" t="str">
        <f>VLOOKUP(A1074,'Sales Order'!A$2:B$1029,1,0)</f>
        <v>SO0365</v>
      </c>
      <c r="C1074" s="29" t="s">
        <v>19</v>
      </c>
      <c r="D1074" s="50" t="str">
        <f>VLOOKUP(C1074,Product!A$2:B$21,1,0)</f>
        <v>PD0001</v>
      </c>
      <c r="E1074" s="36">
        <v>99</v>
      </c>
      <c r="F1074" s="38">
        <v>22185900</v>
      </c>
      <c r="G1074" s="39" t="s">
        <v>3448</v>
      </c>
      <c r="H1074" s="12"/>
      <c r="L1074" s="12"/>
    </row>
    <row r="1075" spans="1:12" ht="15.75" customHeight="1" x14ac:dyDescent="0.3">
      <c r="A1075" s="29" t="s">
        <v>603</v>
      </c>
      <c r="B1075" s="50" t="str">
        <f>VLOOKUP(A1075,'Sales Order'!A$2:B$1029,1,0)</f>
        <v>SO0365</v>
      </c>
      <c r="C1075" s="29" t="s">
        <v>72</v>
      </c>
      <c r="D1075" s="50" t="str">
        <f>VLOOKUP(C1075,Product!A$2:B$21,1,0)</f>
        <v>PD0016</v>
      </c>
      <c r="E1075" s="36">
        <v>49</v>
      </c>
      <c r="F1075" s="38">
        <v>10858890</v>
      </c>
      <c r="G1075" s="39" t="s">
        <v>3449</v>
      </c>
      <c r="H1075" s="12"/>
      <c r="L1075" s="12"/>
    </row>
    <row r="1076" spans="1:12" ht="15.75" customHeight="1" x14ac:dyDescent="0.3">
      <c r="A1076" s="29" t="s">
        <v>603</v>
      </c>
      <c r="B1076" s="50" t="str">
        <f>VLOOKUP(A1076,'Sales Order'!A$2:B$1029,1,0)</f>
        <v>SO0365</v>
      </c>
      <c r="C1076" s="29" t="s">
        <v>69</v>
      </c>
      <c r="D1076" s="50" t="str">
        <f>VLOOKUP(C1076,Product!A$2:B$21,1,0)</f>
        <v>PD0015</v>
      </c>
      <c r="E1076" s="36">
        <v>57</v>
      </c>
      <c r="F1076" s="38">
        <v>6274503</v>
      </c>
      <c r="G1076" s="39" t="s">
        <v>3450</v>
      </c>
      <c r="H1076" s="12"/>
      <c r="L1076" s="12"/>
    </row>
    <row r="1077" spans="1:12" ht="15.75" customHeight="1" x14ac:dyDescent="0.3">
      <c r="A1077" s="17" t="s">
        <v>604</v>
      </c>
      <c r="B1077" s="50" t="str">
        <f>VLOOKUP(A1077,'Sales Order'!A$2:B$1029,1,0)</f>
        <v>SO0366</v>
      </c>
      <c r="C1077" s="29" t="s">
        <v>48</v>
      </c>
      <c r="D1077" s="50" t="str">
        <f>VLOOKUP(C1077,Product!A$2:B$21,1,0)</f>
        <v>PD0009</v>
      </c>
      <c r="E1077" s="36">
        <v>101</v>
      </c>
      <c r="F1077" s="38">
        <v>9771750</v>
      </c>
      <c r="G1077" s="39" t="s">
        <v>3451</v>
      </c>
      <c r="H1077" s="12"/>
      <c r="L1077" s="12"/>
    </row>
    <row r="1078" spans="1:12" ht="15.75" customHeight="1" x14ac:dyDescent="0.3">
      <c r="A1078" s="29" t="s">
        <v>604</v>
      </c>
      <c r="B1078" s="50" t="str">
        <f>VLOOKUP(A1078,'Sales Order'!A$2:B$1029,1,0)</f>
        <v>SO0366</v>
      </c>
      <c r="C1078" s="29" t="s">
        <v>69</v>
      </c>
      <c r="D1078" s="50" t="str">
        <f>VLOOKUP(C1078,Product!A$2:B$21,1,0)</f>
        <v>PD0015</v>
      </c>
      <c r="E1078" s="36">
        <v>129</v>
      </c>
      <c r="F1078" s="38">
        <v>15777990</v>
      </c>
      <c r="G1078" s="39" t="s">
        <v>3452</v>
      </c>
      <c r="H1078" s="12"/>
      <c r="L1078" s="12"/>
    </row>
    <row r="1079" spans="1:12" ht="15.75" customHeight="1" x14ac:dyDescent="0.3">
      <c r="A1079" s="29" t="s">
        <v>604</v>
      </c>
      <c r="B1079" s="50" t="str">
        <f>VLOOKUP(A1079,'Sales Order'!A$2:B$1029,1,0)</f>
        <v>SO0366</v>
      </c>
      <c r="C1079" s="29" t="s">
        <v>83</v>
      </c>
      <c r="D1079" s="50" t="str">
        <f>VLOOKUP(C1079,Product!A$2:B$21,1,0)</f>
        <v>PD0020</v>
      </c>
      <c r="E1079" s="36">
        <v>91</v>
      </c>
      <c r="F1079" s="38">
        <v>25121460</v>
      </c>
      <c r="G1079" s="39" t="s">
        <v>3453</v>
      </c>
      <c r="H1079" s="12"/>
      <c r="L1079" s="12"/>
    </row>
    <row r="1080" spans="1:12" ht="15.75" customHeight="1" x14ac:dyDescent="0.3">
      <c r="A1080" s="29" t="s">
        <v>604</v>
      </c>
      <c r="B1080" s="50" t="str">
        <f>VLOOKUP(A1080,'Sales Order'!A$2:B$1029,1,0)</f>
        <v>SO0366</v>
      </c>
      <c r="C1080" s="29" t="s">
        <v>81</v>
      </c>
      <c r="D1080" s="50" t="str">
        <f>VLOOKUP(C1080,Product!A$2:B$21,1,0)</f>
        <v>PD0019</v>
      </c>
      <c r="E1080" s="36">
        <v>71</v>
      </c>
      <c r="F1080" s="38">
        <v>141163620</v>
      </c>
      <c r="G1080" s="39" t="s">
        <v>3454</v>
      </c>
      <c r="H1080" s="12"/>
      <c r="L1080" s="12"/>
    </row>
    <row r="1081" spans="1:12" ht="15.75" customHeight="1" x14ac:dyDescent="0.3">
      <c r="A1081" s="29" t="s">
        <v>604</v>
      </c>
      <c r="B1081" s="50" t="str">
        <f>VLOOKUP(A1081,'Sales Order'!A$2:B$1029,1,0)</f>
        <v>SO0366</v>
      </c>
      <c r="C1081" s="29" t="s">
        <v>28</v>
      </c>
      <c r="D1081" s="50" t="str">
        <f>VLOOKUP(C1081,Product!A$2:B$21,1,0)</f>
        <v>PD0003</v>
      </c>
      <c r="E1081" s="36">
        <v>113</v>
      </c>
      <c r="F1081" s="38">
        <v>81006310</v>
      </c>
      <c r="G1081" s="39" t="s">
        <v>3455</v>
      </c>
      <c r="H1081" s="12"/>
      <c r="L1081" s="12"/>
    </row>
    <row r="1082" spans="1:12" ht="15.75" customHeight="1" x14ac:dyDescent="0.3">
      <c r="A1082" s="17" t="s">
        <v>605</v>
      </c>
      <c r="B1082" s="50" t="str">
        <f>VLOOKUP(A1082,'Sales Order'!A$2:B$1029,1,0)</f>
        <v>SO0367</v>
      </c>
      <c r="C1082" s="29" t="s">
        <v>58</v>
      </c>
      <c r="D1082" s="50" t="str">
        <f>VLOOKUP(C1082,Product!A$2:B$21,1,0)</f>
        <v>PD0012</v>
      </c>
      <c r="E1082" s="36">
        <v>91</v>
      </c>
      <c r="F1082" s="38">
        <v>446439630</v>
      </c>
      <c r="G1082" s="39" t="s">
        <v>3456</v>
      </c>
      <c r="H1082" s="12"/>
      <c r="L1082" s="12"/>
    </row>
    <row r="1083" spans="1:12" ht="15.75" customHeight="1" x14ac:dyDescent="0.3">
      <c r="A1083" s="29" t="s">
        <v>605</v>
      </c>
      <c r="B1083" s="50" t="str">
        <f>VLOOKUP(A1083,'Sales Order'!A$2:B$1029,1,0)</f>
        <v>SO0367</v>
      </c>
      <c r="C1083" s="29" t="s">
        <v>61</v>
      </c>
      <c r="D1083" s="50" t="str">
        <f>VLOOKUP(C1083,Product!A$2:B$21,1,0)</f>
        <v>PD0013</v>
      </c>
      <c r="E1083" s="36">
        <v>120</v>
      </c>
      <c r="F1083" s="38">
        <v>51732000</v>
      </c>
      <c r="G1083" s="39" t="s">
        <v>3457</v>
      </c>
      <c r="H1083" s="12"/>
      <c r="L1083" s="12"/>
    </row>
    <row r="1084" spans="1:12" ht="15.75" customHeight="1" x14ac:dyDescent="0.3">
      <c r="A1084" s="29" t="s">
        <v>605</v>
      </c>
      <c r="B1084" s="50" t="str">
        <f>VLOOKUP(A1084,'Sales Order'!A$2:B$1029,1,0)</f>
        <v>SO0367</v>
      </c>
      <c r="C1084" s="29" t="s">
        <v>19</v>
      </c>
      <c r="D1084" s="50" t="str">
        <f>VLOOKUP(C1084,Product!A$2:B$21,1,0)</f>
        <v>PD0001</v>
      </c>
      <c r="E1084" s="36">
        <v>32</v>
      </c>
      <c r="F1084" s="38">
        <v>7250880</v>
      </c>
      <c r="G1084" s="39" t="s">
        <v>3458</v>
      </c>
      <c r="H1084" s="12"/>
      <c r="L1084" s="12"/>
    </row>
    <row r="1085" spans="1:12" ht="15.75" customHeight="1" x14ac:dyDescent="0.3">
      <c r="A1085" s="29" t="s">
        <v>605</v>
      </c>
      <c r="B1085" s="50" t="str">
        <f>VLOOKUP(A1085,'Sales Order'!A$2:B$1029,1,0)</f>
        <v>SO0367</v>
      </c>
      <c r="C1085" s="29" t="s">
        <v>72</v>
      </c>
      <c r="D1085" s="50" t="str">
        <f>VLOOKUP(C1085,Product!A$2:B$21,1,0)</f>
        <v>PD0016</v>
      </c>
      <c r="E1085" s="36">
        <v>130</v>
      </c>
      <c r="F1085" s="38">
        <v>31586100</v>
      </c>
      <c r="G1085" s="39" t="s">
        <v>3459</v>
      </c>
      <c r="H1085" s="12"/>
      <c r="L1085" s="12"/>
    </row>
    <row r="1086" spans="1:12" ht="15.75" customHeight="1" x14ac:dyDescent="0.3">
      <c r="A1086" s="29" t="s">
        <v>605</v>
      </c>
      <c r="B1086" s="50" t="str">
        <f>VLOOKUP(A1086,'Sales Order'!A$2:B$1029,1,0)</f>
        <v>SO0367</v>
      </c>
      <c r="C1086" s="29" t="s">
        <v>69</v>
      </c>
      <c r="D1086" s="50" t="str">
        <f>VLOOKUP(C1086,Product!A$2:B$21,1,0)</f>
        <v>PD0015</v>
      </c>
      <c r="E1086" s="36">
        <v>42</v>
      </c>
      <c r="F1086" s="38">
        <v>5022864</v>
      </c>
      <c r="G1086" s="39" t="s">
        <v>3460</v>
      </c>
      <c r="H1086" s="12"/>
      <c r="L1086" s="12"/>
    </row>
    <row r="1087" spans="1:12" ht="15.75" customHeight="1" x14ac:dyDescent="0.3">
      <c r="A1087" s="17" t="s">
        <v>606</v>
      </c>
      <c r="B1087" s="50" t="str">
        <f>VLOOKUP(A1087,'Sales Order'!A$2:B$1029,1,0)</f>
        <v>SO0368</v>
      </c>
      <c r="C1087" s="29" t="s">
        <v>40</v>
      </c>
      <c r="D1087" s="50" t="str">
        <f>VLOOKUP(C1087,Product!A$2:B$21,1,0)</f>
        <v>PD0006</v>
      </c>
      <c r="E1087" s="36">
        <v>43</v>
      </c>
      <c r="F1087" s="38">
        <v>7369340.0000000009</v>
      </c>
      <c r="G1087" s="39" t="s">
        <v>3461</v>
      </c>
      <c r="H1087" s="12"/>
      <c r="L1087" s="12"/>
    </row>
    <row r="1088" spans="1:12" ht="15.75" customHeight="1" x14ac:dyDescent="0.3">
      <c r="A1088" s="29" t="s">
        <v>606</v>
      </c>
      <c r="B1088" s="50" t="str">
        <f>VLOOKUP(A1088,'Sales Order'!A$2:B$1029,1,0)</f>
        <v>SO0368</v>
      </c>
      <c r="C1088" s="29" t="s">
        <v>48</v>
      </c>
      <c r="D1088" s="50" t="str">
        <f>VLOOKUP(C1088,Product!A$2:B$21,1,0)</f>
        <v>PD0009</v>
      </c>
      <c r="E1088" s="36">
        <v>88</v>
      </c>
      <c r="F1088" s="38">
        <v>10216800</v>
      </c>
      <c r="G1088" s="39" t="s">
        <v>3462</v>
      </c>
      <c r="H1088" s="12"/>
      <c r="L1088" s="12"/>
    </row>
    <row r="1089" spans="1:12" ht="15.75" customHeight="1" x14ac:dyDescent="0.3">
      <c r="A1089" s="29" t="s">
        <v>606</v>
      </c>
      <c r="B1089" s="50" t="str">
        <f>VLOOKUP(A1089,'Sales Order'!A$2:B$1029,1,0)</f>
        <v>SO0368</v>
      </c>
      <c r="C1089" s="29" t="s">
        <v>45</v>
      </c>
      <c r="D1089" s="50" t="str">
        <f>VLOOKUP(C1089,Product!A$2:B$21,1,0)</f>
        <v>PD0008</v>
      </c>
      <c r="E1089" s="36">
        <v>80</v>
      </c>
      <c r="F1089" s="38">
        <v>8940000</v>
      </c>
      <c r="G1089" s="39" t="s">
        <v>3463</v>
      </c>
      <c r="H1089" s="12"/>
      <c r="L1089" s="12"/>
    </row>
    <row r="1090" spans="1:12" ht="15.75" customHeight="1" x14ac:dyDescent="0.3">
      <c r="A1090" s="17" t="s">
        <v>607</v>
      </c>
      <c r="B1090" s="50" t="str">
        <f>VLOOKUP(A1090,'Sales Order'!A$2:B$1029,1,0)</f>
        <v>SO0369</v>
      </c>
      <c r="C1090" s="29" t="s">
        <v>48</v>
      </c>
      <c r="D1090" s="50" t="str">
        <f>VLOOKUP(C1090,Product!A$2:B$21,1,0)</f>
        <v>PD0009</v>
      </c>
      <c r="E1090" s="36">
        <v>53</v>
      </c>
      <c r="F1090" s="38">
        <v>5948190</v>
      </c>
      <c r="G1090" s="39" t="s">
        <v>3464</v>
      </c>
      <c r="H1090" s="12"/>
      <c r="L1090" s="12"/>
    </row>
    <row r="1091" spans="1:12" ht="15.75" customHeight="1" x14ac:dyDescent="0.3">
      <c r="A1091" s="29" t="s">
        <v>607</v>
      </c>
      <c r="B1091" s="50" t="str">
        <f>VLOOKUP(A1091,'Sales Order'!A$2:B$1029,1,0)</f>
        <v>SO0369</v>
      </c>
      <c r="C1091" s="29" t="s">
        <v>19</v>
      </c>
      <c r="D1091" s="50" t="str">
        <f>VLOOKUP(C1091,Product!A$2:B$21,1,0)</f>
        <v>PD0001</v>
      </c>
      <c r="E1091" s="36">
        <v>28</v>
      </c>
      <c r="F1091" s="38">
        <v>5786760</v>
      </c>
      <c r="G1091" s="39" t="s">
        <v>3465</v>
      </c>
      <c r="H1091" s="12"/>
      <c r="L1091" s="12"/>
    </row>
    <row r="1092" spans="1:12" ht="15.75" customHeight="1" x14ac:dyDescent="0.3">
      <c r="A1092" s="29" t="s">
        <v>607</v>
      </c>
      <c r="B1092" s="50" t="str">
        <f>VLOOKUP(A1092,'Sales Order'!A$2:B$1029,1,0)</f>
        <v>SO0369</v>
      </c>
      <c r="C1092" s="29" t="s">
        <v>25</v>
      </c>
      <c r="D1092" s="50" t="str">
        <f>VLOOKUP(C1092,Product!A$2:B$21,1,0)</f>
        <v>PD0002</v>
      </c>
      <c r="E1092" s="36">
        <v>46</v>
      </c>
      <c r="F1092" s="38">
        <v>874000</v>
      </c>
      <c r="G1092" s="39" t="s">
        <v>3466</v>
      </c>
      <c r="H1092" s="12"/>
      <c r="L1092" s="12"/>
    </row>
    <row r="1093" spans="1:12" ht="15.75" customHeight="1" x14ac:dyDescent="0.3">
      <c r="A1093" s="17" t="s">
        <v>608</v>
      </c>
      <c r="B1093" s="50" t="str">
        <f>VLOOKUP(A1093,'Sales Order'!A$2:B$1029,1,0)</f>
        <v>SO0370</v>
      </c>
      <c r="C1093" s="29" t="s">
        <v>69</v>
      </c>
      <c r="D1093" s="50" t="str">
        <f>VLOOKUP(C1093,Product!A$2:B$21,1,0)</f>
        <v>PD0015</v>
      </c>
      <c r="E1093" s="36">
        <v>27</v>
      </c>
      <c r="F1093" s="38">
        <v>3228984</v>
      </c>
      <c r="G1093" s="39" t="s">
        <v>3467</v>
      </c>
      <c r="H1093" s="12"/>
      <c r="L1093" s="12"/>
    </row>
    <row r="1094" spans="1:12" ht="15.75" customHeight="1" x14ac:dyDescent="0.3">
      <c r="A1094" s="29" t="s">
        <v>608</v>
      </c>
      <c r="B1094" s="50" t="str">
        <f>VLOOKUP(A1094,'Sales Order'!A$2:B$1029,1,0)</f>
        <v>SO0370</v>
      </c>
      <c r="C1094" s="29" t="s">
        <v>45</v>
      </c>
      <c r="D1094" s="50" t="str">
        <f>VLOOKUP(C1094,Product!A$2:B$21,1,0)</f>
        <v>PD0008</v>
      </c>
      <c r="E1094" s="36">
        <v>107</v>
      </c>
      <c r="F1094" s="38">
        <v>14826989.999999998</v>
      </c>
      <c r="G1094" s="39" t="s">
        <v>3468</v>
      </c>
      <c r="H1094" s="12"/>
      <c r="L1094" s="12"/>
    </row>
    <row r="1095" spans="1:12" ht="15.75" customHeight="1" x14ac:dyDescent="0.3">
      <c r="A1095" s="29" t="s">
        <v>608</v>
      </c>
      <c r="B1095" s="50" t="str">
        <f>VLOOKUP(A1095,'Sales Order'!A$2:B$1029,1,0)</f>
        <v>SO0370</v>
      </c>
      <c r="C1095" s="29" t="s">
        <v>75</v>
      </c>
      <c r="D1095" s="50" t="str">
        <f>VLOOKUP(C1095,Product!A$2:B$21,1,0)</f>
        <v>PD0017</v>
      </c>
      <c r="E1095" s="36">
        <v>134</v>
      </c>
      <c r="F1095" s="38">
        <v>326692000</v>
      </c>
      <c r="G1095" s="39" t="s">
        <v>3469</v>
      </c>
      <c r="H1095" s="12"/>
      <c r="L1095" s="12"/>
    </row>
    <row r="1096" spans="1:12" ht="15.75" customHeight="1" x14ac:dyDescent="0.3">
      <c r="A1096" s="17" t="s">
        <v>609</v>
      </c>
      <c r="B1096" s="50" t="str">
        <f>VLOOKUP(A1096,'Sales Order'!A$2:B$1029,1,0)</f>
        <v>SO0371</v>
      </c>
      <c r="C1096" s="29" t="s">
        <v>40</v>
      </c>
      <c r="D1096" s="50" t="str">
        <f>VLOOKUP(C1096,Product!A$2:B$21,1,0)</f>
        <v>PD0006</v>
      </c>
      <c r="E1096" s="36">
        <v>147</v>
      </c>
      <c r="F1096" s="38">
        <v>26729010</v>
      </c>
      <c r="G1096" s="39" t="s">
        <v>3470</v>
      </c>
      <c r="H1096" s="12"/>
      <c r="L1096" s="12"/>
    </row>
    <row r="1097" spans="1:12" ht="15.75" customHeight="1" x14ac:dyDescent="0.3">
      <c r="A1097" s="29" t="s">
        <v>609</v>
      </c>
      <c r="B1097" s="50" t="str">
        <f>VLOOKUP(A1097,'Sales Order'!A$2:B$1029,1,0)</f>
        <v>SO0371</v>
      </c>
      <c r="C1097" s="29" t="s">
        <v>65</v>
      </c>
      <c r="D1097" s="50" t="str">
        <f>VLOOKUP(C1097,Product!A$2:B$21,1,0)</f>
        <v>PD0014</v>
      </c>
      <c r="E1097" s="36">
        <v>100</v>
      </c>
      <c r="F1097" s="38">
        <v>24297000</v>
      </c>
      <c r="G1097" s="39" t="s">
        <v>3471</v>
      </c>
      <c r="H1097" s="12"/>
      <c r="L1097" s="12"/>
    </row>
    <row r="1098" spans="1:12" ht="15.75" customHeight="1" x14ac:dyDescent="0.3">
      <c r="A1098" s="29" t="s">
        <v>609</v>
      </c>
      <c r="B1098" s="50" t="str">
        <f>VLOOKUP(A1098,'Sales Order'!A$2:B$1029,1,0)</f>
        <v>SO0371</v>
      </c>
      <c r="C1098" s="29" t="s">
        <v>19</v>
      </c>
      <c r="D1098" s="50" t="str">
        <f>VLOOKUP(C1098,Product!A$2:B$21,1,0)</f>
        <v>PD0001</v>
      </c>
      <c r="E1098" s="36">
        <v>64</v>
      </c>
      <c r="F1098" s="38">
        <v>14183040</v>
      </c>
      <c r="G1098" s="39" t="s">
        <v>3472</v>
      </c>
      <c r="H1098" s="12"/>
      <c r="L1098" s="12"/>
    </row>
    <row r="1099" spans="1:12" ht="15.75" customHeight="1" x14ac:dyDescent="0.3">
      <c r="A1099" s="29" t="s">
        <v>609</v>
      </c>
      <c r="B1099" s="50" t="str">
        <f>VLOOKUP(A1099,'Sales Order'!A$2:B$1029,1,0)</f>
        <v>SO0371</v>
      </c>
      <c r="C1099" s="29" t="s">
        <v>75</v>
      </c>
      <c r="D1099" s="50" t="str">
        <f>VLOOKUP(C1099,Product!A$2:B$21,1,0)</f>
        <v>PD0017</v>
      </c>
      <c r="E1099" s="36">
        <v>117</v>
      </c>
      <c r="F1099" s="38">
        <v>263542500</v>
      </c>
      <c r="G1099" s="39" t="s">
        <v>3473</v>
      </c>
      <c r="H1099" s="12"/>
      <c r="L1099" s="12"/>
    </row>
    <row r="1100" spans="1:12" ht="15.75" customHeight="1" x14ac:dyDescent="0.3">
      <c r="A1100" s="29" t="s">
        <v>609</v>
      </c>
      <c r="B1100" s="50" t="str">
        <f>VLOOKUP(A1100,'Sales Order'!A$2:B$1029,1,0)</f>
        <v>SO0371</v>
      </c>
      <c r="C1100" s="29" t="s">
        <v>58</v>
      </c>
      <c r="D1100" s="50" t="str">
        <f>VLOOKUP(C1100,Product!A$2:B$21,1,0)</f>
        <v>PD0012</v>
      </c>
      <c r="E1100" s="36">
        <v>67</v>
      </c>
      <c r="F1100" s="38">
        <v>351366090</v>
      </c>
      <c r="G1100" s="39" t="s">
        <v>3474</v>
      </c>
      <c r="H1100" s="12"/>
      <c r="L1100" s="12"/>
    </row>
    <row r="1101" spans="1:12" ht="15.75" customHeight="1" x14ac:dyDescent="0.3">
      <c r="A1101" s="17" t="s">
        <v>610</v>
      </c>
      <c r="B1101" s="50" t="str">
        <f>VLOOKUP(A1101,'Sales Order'!A$2:B$1029,1,0)</f>
        <v>SO0372</v>
      </c>
      <c r="C1101" s="29" t="s">
        <v>35</v>
      </c>
      <c r="D1101" s="50" t="str">
        <f>VLOOKUP(C1101,Product!A$2:B$21,1,0)</f>
        <v>PD0005</v>
      </c>
      <c r="E1101" s="36">
        <v>110</v>
      </c>
      <c r="F1101" s="38">
        <v>202818000</v>
      </c>
      <c r="G1101" s="39" t="s">
        <v>3475</v>
      </c>
      <c r="H1101" s="12"/>
      <c r="L1101" s="12"/>
    </row>
    <row r="1102" spans="1:12" ht="15.75" customHeight="1" x14ac:dyDescent="0.3">
      <c r="A1102" s="29" t="s">
        <v>610</v>
      </c>
      <c r="B1102" s="50" t="str">
        <f>VLOOKUP(A1102,'Sales Order'!A$2:B$1029,1,0)</f>
        <v>SO0372</v>
      </c>
      <c r="C1102" s="29" t="s">
        <v>75</v>
      </c>
      <c r="D1102" s="50" t="str">
        <f>VLOOKUP(C1102,Product!A$2:B$21,1,0)</f>
        <v>PD0017</v>
      </c>
      <c r="E1102" s="36">
        <v>131</v>
      </c>
      <c r="F1102" s="38">
        <v>329792500</v>
      </c>
      <c r="G1102" s="39" t="s">
        <v>3476</v>
      </c>
      <c r="H1102" s="12"/>
      <c r="L1102" s="12"/>
    </row>
    <row r="1103" spans="1:12" ht="15.75" customHeight="1" x14ac:dyDescent="0.3">
      <c r="A1103" s="29" t="s">
        <v>610</v>
      </c>
      <c r="B1103" s="50" t="str">
        <f>VLOOKUP(A1103,'Sales Order'!A$2:B$1029,1,0)</f>
        <v>SO0372</v>
      </c>
      <c r="C1103" s="29" t="s">
        <v>45</v>
      </c>
      <c r="D1103" s="50" t="str">
        <f>VLOOKUP(C1103,Product!A$2:B$21,1,0)</f>
        <v>PD0008</v>
      </c>
      <c r="E1103" s="36">
        <v>83</v>
      </c>
      <c r="F1103" s="38">
        <v>10511950</v>
      </c>
      <c r="G1103" s="39" t="s">
        <v>3477</v>
      </c>
      <c r="H1103" s="12"/>
      <c r="L1103" s="12"/>
    </row>
    <row r="1104" spans="1:12" ht="15.75" customHeight="1" x14ac:dyDescent="0.3">
      <c r="A1104" s="29" t="s">
        <v>610</v>
      </c>
      <c r="B1104" s="50" t="str">
        <f>VLOOKUP(A1104,'Sales Order'!A$2:B$1029,1,0)</f>
        <v>SO0372</v>
      </c>
      <c r="C1104" s="29" t="s">
        <v>55</v>
      </c>
      <c r="D1104" s="50" t="str">
        <f>VLOOKUP(C1104,Product!A$2:B$21,1,0)</f>
        <v>PD0011</v>
      </c>
      <c r="E1104" s="36">
        <v>78</v>
      </c>
      <c r="F1104" s="38">
        <v>160081740</v>
      </c>
      <c r="G1104" s="39" t="s">
        <v>3478</v>
      </c>
      <c r="H1104" s="12"/>
      <c r="L1104" s="12"/>
    </row>
    <row r="1105" spans="1:12" ht="15.75" customHeight="1" x14ac:dyDescent="0.3">
      <c r="A1105" s="29" t="s">
        <v>610</v>
      </c>
      <c r="B1105" s="50" t="str">
        <f>VLOOKUP(A1105,'Sales Order'!A$2:B$1029,1,0)</f>
        <v>SO0372</v>
      </c>
      <c r="C1105" s="29" t="s">
        <v>25</v>
      </c>
      <c r="D1105" s="50" t="str">
        <f>VLOOKUP(C1105,Product!A$2:B$21,1,0)</f>
        <v>PD0002</v>
      </c>
      <c r="E1105" s="36">
        <v>72</v>
      </c>
      <c r="F1105" s="38">
        <v>1353600</v>
      </c>
      <c r="G1105" s="39" t="s">
        <v>3479</v>
      </c>
      <c r="H1105" s="12"/>
      <c r="L1105" s="12"/>
    </row>
    <row r="1106" spans="1:12" ht="15.75" customHeight="1" x14ac:dyDescent="0.3">
      <c r="A1106" s="29" t="s">
        <v>611</v>
      </c>
      <c r="B1106" s="50" t="str">
        <f>VLOOKUP(A1106,'Sales Order'!A$2:B$1029,1,0)</f>
        <v>SO0373</v>
      </c>
      <c r="C1106" s="29" t="s">
        <v>45</v>
      </c>
      <c r="D1106" s="50" t="str">
        <f>VLOOKUP(C1106,Product!A$2:B$21,1,0)</f>
        <v>PD0008</v>
      </c>
      <c r="E1106" s="36">
        <v>141</v>
      </c>
      <c r="F1106" s="38">
        <v>16387020</v>
      </c>
      <c r="G1106" s="39" t="s">
        <v>3480</v>
      </c>
      <c r="H1106" s="12"/>
      <c r="L1106" s="12"/>
    </row>
    <row r="1107" spans="1:12" ht="15.75" customHeight="1" x14ac:dyDescent="0.3">
      <c r="A1107" s="29" t="s">
        <v>611</v>
      </c>
      <c r="B1107" s="50" t="str">
        <f>VLOOKUP(A1107,'Sales Order'!A$2:B$1029,1,0)</f>
        <v>SO0373</v>
      </c>
      <c r="C1107" s="29" t="s">
        <v>75</v>
      </c>
      <c r="D1107" s="50" t="str">
        <f>VLOOKUP(C1107,Product!A$2:B$21,1,0)</f>
        <v>PD0017</v>
      </c>
      <c r="E1107" s="36">
        <v>47</v>
      </c>
      <c r="F1107" s="38">
        <v>118322500</v>
      </c>
      <c r="G1107" s="39" t="s">
        <v>3481</v>
      </c>
      <c r="H1107" s="12"/>
      <c r="L1107" s="12"/>
    </row>
    <row r="1108" spans="1:12" ht="15.75" customHeight="1" x14ac:dyDescent="0.3">
      <c r="A1108" s="29" t="s">
        <v>611</v>
      </c>
      <c r="B1108" s="50" t="str">
        <f>VLOOKUP(A1108,'Sales Order'!A$2:B$1029,1,0)</f>
        <v>SO0373</v>
      </c>
      <c r="C1108" s="29" t="s">
        <v>33</v>
      </c>
      <c r="D1108" s="50" t="str">
        <f>VLOOKUP(C1108,Product!A$2:B$21,1,0)</f>
        <v>PD0004</v>
      </c>
      <c r="E1108" s="36">
        <v>144</v>
      </c>
      <c r="F1108" s="38">
        <v>24393600</v>
      </c>
      <c r="G1108" s="39" t="s">
        <v>3482</v>
      </c>
      <c r="H1108" s="12"/>
      <c r="L1108" s="12"/>
    </row>
    <row r="1109" spans="1:12" ht="15.75" customHeight="1" x14ac:dyDescent="0.3">
      <c r="A1109" s="29" t="s">
        <v>612</v>
      </c>
      <c r="B1109" s="50" t="str">
        <f>VLOOKUP(A1109,'Sales Order'!A$2:B$1029,1,0)</f>
        <v>SO0374</v>
      </c>
      <c r="C1109" s="29" t="s">
        <v>52</v>
      </c>
      <c r="D1109" s="50" t="str">
        <f>VLOOKUP(C1109,Product!A$2:B$21,1,0)</f>
        <v>PD0010</v>
      </c>
      <c r="E1109" s="36">
        <v>92</v>
      </c>
      <c r="F1109" s="38">
        <v>24219000</v>
      </c>
      <c r="G1109" s="39" t="s">
        <v>3483</v>
      </c>
      <c r="H1109" s="12"/>
      <c r="L1109" s="12"/>
    </row>
    <row r="1110" spans="1:12" ht="15.75" customHeight="1" x14ac:dyDescent="0.3">
      <c r="A1110" s="29" t="s">
        <v>612</v>
      </c>
      <c r="B1110" s="50" t="str">
        <f>VLOOKUP(A1110,'Sales Order'!A$2:B$1029,1,0)</f>
        <v>SO0374</v>
      </c>
      <c r="C1110" s="29" t="s">
        <v>45</v>
      </c>
      <c r="D1110" s="50" t="str">
        <f>VLOOKUP(C1110,Product!A$2:B$21,1,0)</f>
        <v>PD0008</v>
      </c>
      <c r="E1110" s="36">
        <v>29</v>
      </c>
      <c r="F1110" s="38">
        <v>3586430</v>
      </c>
      <c r="G1110" s="39" t="s">
        <v>3484</v>
      </c>
      <c r="H1110" s="12"/>
      <c r="L1110" s="12"/>
    </row>
    <row r="1111" spans="1:12" ht="15.75" customHeight="1" x14ac:dyDescent="0.3">
      <c r="A1111" s="17" t="s">
        <v>613</v>
      </c>
      <c r="B1111" s="50" t="str">
        <f>VLOOKUP(A1111,'Sales Order'!A$2:B$1029,1,0)</f>
        <v>SO0375</v>
      </c>
      <c r="C1111" s="29" t="s">
        <v>83</v>
      </c>
      <c r="D1111" s="50" t="str">
        <f>VLOOKUP(C1111,Product!A$2:B$21,1,0)</f>
        <v>PD0020</v>
      </c>
      <c r="E1111" s="36">
        <v>73</v>
      </c>
      <c r="F1111" s="38">
        <v>21089700</v>
      </c>
      <c r="G1111" s="39" t="s">
        <v>3485</v>
      </c>
      <c r="H1111" s="12"/>
      <c r="L1111" s="12"/>
    </row>
    <row r="1112" spans="1:12" ht="15.75" customHeight="1" x14ac:dyDescent="0.3">
      <c r="A1112" s="29" t="s">
        <v>613</v>
      </c>
      <c r="B1112" s="50" t="str">
        <f>VLOOKUP(A1112,'Sales Order'!A$2:B$1029,1,0)</f>
        <v>SO0375</v>
      </c>
      <c r="C1112" s="29" t="s">
        <v>48</v>
      </c>
      <c r="D1112" s="50" t="str">
        <f>VLOOKUP(C1112,Product!A$2:B$21,1,0)</f>
        <v>PD0009</v>
      </c>
      <c r="E1112" s="36">
        <v>62</v>
      </c>
      <c r="F1112" s="38">
        <v>7118220</v>
      </c>
      <c r="G1112" s="39" t="s">
        <v>3486</v>
      </c>
      <c r="H1112" s="12"/>
      <c r="L1112" s="12"/>
    </row>
    <row r="1113" spans="1:12" ht="15.75" customHeight="1" x14ac:dyDescent="0.3">
      <c r="A1113" s="29" t="s">
        <v>613</v>
      </c>
      <c r="B1113" s="50" t="str">
        <f>VLOOKUP(A1113,'Sales Order'!A$2:B$1029,1,0)</f>
        <v>SO0375</v>
      </c>
      <c r="C1113" s="29" t="s">
        <v>78</v>
      </c>
      <c r="D1113" s="50" t="str">
        <f>VLOOKUP(C1113,Product!A$2:B$21,1,0)</f>
        <v>PD0018</v>
      </c>
      <c r="E1113" s="36">
        <v>53</v>
      </c>
      <c r="F1113" s="38">
        <v>26786200</v>
      </c>
      <c r="G1113" s="39" t="s">
        <v>3487</v>
      </c>
      <c r="H1113" s="12"/>
      <c r="L1113" s="12"/>
    </row>
    <row r="1114" spans="1:12" ht="15.75" customHeight="1" x14ac:dyDescent="0.3">
      <c r="A1114" s="29" t="s">
        <v>613</v>
      </c>
      <c r="B1114" s="50" t="str">
        <f>VLOOKUP(A1114,'Sales Order'!A$2:B$1029,1,0)</f>
        <v>SO0375</v>
      </c>
      <c r="C1114" s="29" t="s">
        <v>45</v>
      </c>
      <c r="D1114" s="50" t="str">
        <f>VLOOKUP(C1114,Product!A$2:B$21,1,0)</f>
        <v>PD0008</v>
      </c>
      <c r="E1114" s="36">
        <v>73</v>
      </c>
      <c r="F1114" s="38">
        <v>9789300</v>
      </c>
      <c r="G1114" s="39" t="s">
        <v>3488</v>
      </c>
      <c r="H1114" s="12"/>
      <c r="L1114" s="12"/>
    </row>
    <row r="1115" spans="1:12" ht="15.75" customHeight="1" x14ac:dyDescent="0.3">
      <c r="A1115" s="29" t="s">
        <v>614</v>
      </c>
      <c r="B1115" s="50" t="str">
        <f>VLOOKUP(A1115,'Sales Order'!A$2:B$1029,1,0)</f>
        <v>SO0376</v>
      </c>
      <c r="C1115" s="29" t="s">
        <v>19</v>
      </c>
      <c r="D1115" s="50" t="str">
        <f>VLOOKUP(C1115,Product!A$2:B$21,1,0)</f>
        <v>PD0001</v>
      </c>
      <c r="E1115" s="36">
        <v>64</v>
      </c>
      <c r="F1115" s="38">
        <v>13067520.000000002</v>
      </c>
      <c r="G1115" s="39" t="s">
        <v>3489</v>
      </c>
      <c r="H1115" s="12"/>
      <c r="L1115" s="12"/>
    </row>
    <row r="1116" spans="1:12" ht="15.75" customHeight="1" x14ac:dyDescent="0.3">
      <c r="A1116" s="29" t="s">
        <v>614</v>
      </c>
      <c r="B1116" s="50" t="str">
        <f>VLOOKUP(A1116,'Sales Order'!A$2:B$1029,1,0)</f>
        <v>SO0376</v>
      </c>
      <c r="C1116" s="29" t="s">
        <v>78</v>
      </c>
      <c r="D1116" s="50" t="str">
        <f>VLOOKUP(C1116,Product!A$2:B$21,1,0)</f>
        <v>PD0018</v>
      </c>
      <c r="E1116" s="36">
        <v>28</v>
      </c>
      <c r="F1116" s="38">
        <v>12363680</v>
      </c>
      <c r="G1116" s="39" t="s">
        <v>3490</v>
      </c>
      <c r="H1116" s="12"/>
      <c r="L1116" s="12"/>
    </row>
    <row r="1117" spans="1:12" ht="15.75" customHeight="1" x14ac:dyDescent="0.3">
      <c r="A1117" s="29" t="s">
        <v>614</v>
      </c>
      <c r="B1117" s="50" t="str">
        <f>VLOOKUP(A1117,'Sales Order'!A$2:B$1029,1,0)</f>
        <v>SO0376</v>
      </c>
      <c r="C1117" s="29" t="s">
        <v>35</v>
      </c>
      <c r="D1117" s="50" t="str">
        <f>VLOOKUP(C1117,Product!A$2:B$21,1,0)</f>
        <v>PD0005</v>
      </c>
      <c r="E1117" s="36">
        <v>41</v>
      </c>
      <c r="F1117" s="38">
        <v>83695350</v>
      </c>
      <c r="G1117" s="39" t="s">
        <v>3491</v>
      </c>
      <c r="H1117" s="12"/>
      <c r="L1117" s="12"/>
    </row>
    <row r="1118" spans="1:12" ht="15.75" customHeight="1" x14ac:dyDescent="0.3">
      <c r="A1118" s="17" t="s">
        <v>615</v>
      </c>
      <c r="B1118" s="50" t="str">
        <f>VLOOKUP(A1118,'Sales Order'!A$2:B$1029,1,0)</f>
        <v>SO0377</v>
      </c>
      <c r="C1118" s="29" t="s">
        <v>43</v>
      </c>
      <c r="D1118" s="50" t="str">
        <f>VLOOKUP(C1118,Product!A$2:B$21,1,0)</f>
        <v>PD0007</v>
      </c>
      <c r="E1118" s="36">
        <v>57</v>
      </c>
      <c r="F1118" s="38">
        <v>160512000</v>
      </c>
      <c r="G1118" s="39" t="s">
        <v>3492</v>
      </c>
      <c r="H1118" s="12"/>
      <c r="L1118" s="12"/>
    </row>
    <row r="1119" spans="1:12" ht="15.75" customHeight="1" x14ac:dyDescent="0.3">
      <c r="A1119" s="17" t="s">
        <v>616</v>
      </c>
      <c r="B1119" s="50" t="str">
        <f>VLOOKUP(A1119,'Sales Order'!A$2:B$1029,1,0)</f>
        <v>SO0378</v>
      </c>
      <c r="C1119" s="29" t="s">
        <v>52</v>
      </c>
      <c r="D1119" s="50" t="str">
        <f>VLOOKUP(C1119,Product!A$2:B$21,1,0)</f>
        <v>PD0010</v>
      </c>
      <c r="E1119" s="36">
        <v>67</v>
      </c>
      <c r="F1119" s="38">
        <v>18726500</v>
      </c>
      <c r="G1119" s="39" t="s">
        <v>3493</v>
      </c>
      <c r="H1119" s="12"/>
      <c r="L1119" s="12"/>
    </row>
    <row r="1120" spans="1:12" ht="15.75" customHeight="1" x14ac:dyDescent="0.3">
      <c r="A1120" s="17" t="s">
        <v>617</v>
      </c>
      <c r="B1120" s="50" t="str">
        <f>VLOOKUP(A1120,'Sales Order'!A$2:B$1029,1,0)</f>
        <v>SO0379</v>
      </c>
      <c r="C1120" s="29" t="s">
        <v>78</v>
      </c>
      <c r="D1120" s="50" t="str">
        <f>VLOOKUP(C1120,Product!A$2:B$21,1,0)</f>
        <v>PD0018</v>
      </c>
      <c r="E1120" s="36">
        <v>120</v>
      </c>
      <c r="F1120" s="38">
        <v>51072000</v>
      </c>
      <c r="G1120" s="39" t="s">
        <v>3494</v>
      </c>
      <c r="H1120" s="12"/>
      <c r="L1120" s="12"/>
    </row>
    <row r="1121" spans="1:12" ht="15.75" customHeight="1" x14ac:dyDescent="0.3">
      <c r="A1121" s="29" t="s">
        <v>617</v>
      </c>
      <c r="B1121" s="50" t="str">
        <f>VLOOKUP(A1121,'Sales Order'!A$2:B$1029,1,0)</f>
        <v>SO0379</v>
      </c>
      <c r="C1121" s="29" t="s">
        <v>52</v>
      </c>
      <c r="D1121" s="50" t="str">
        <f>VLOOKUP(C1121,Product!A$2:B$21,1,0)</f>
        <v>PD0010</v>
      </c>
      <c r="E1121" s="36">
        <v>54</v>
      </c>
      <c r="F1121" s="38">
        <v>13864500</v>
      </c>
      <c r="G1121" s="39" t="s">
        <v>3495</v>
      </c>
      <c r="H1121" s="12"/>
      <c r="L1121" s="12"/>
    </row>
    <row r="1122" spans="1:12" ht="15.75" customHeight="1" x14ac:dyDescent="0.3">
      <c r="A1122" s="17" t="s">
        <v>618</v>
      </c>
      <c r="B1122" s="50" t="str">
        <f>VLOOKUP(A1122,'Sales Order'!A$2:B$1029,1,0)</f>
        <v>SO0380</v>
      </c>
      <c r="C1122" s="29" t="s">
        <v>72</v>
      </c>
      <c r="D1122" s="50" t="str">
        <f>VLOOKUP(C1122,Product!A$2:B$21,1,0)</f>
        <v>PD0016</v>
      </c>
      <c r="E1122" s="36">
        <v>40</v>
      </c>
      <c r="F1122" s="38">
        <v>9505200</v>
      </c>
      <c r="G1122" s="39" t="s">
        <v>3496</v>
      </c>
      <c r="H1122" s="12"/>
      <c r="L1122" s="12"/>
    </row>
    <row r="1123" spans="1:12" ht="15.75" customHeight="1" x14ac:dyDescent="0.3">
      <c r="A1123" s="29" t="s">
        <v>618</v>
      </c>
      <c r="B1123" s="50" t="str">
        <f>VLOOKUP(A1123,'Sales Order'!A$2:B$1029,1,0)</f>
        <v>SO0380</v>
      </c>
      <c r="C1123" s="29" t="s">
        <v>61</v>
      </c>
      <c r="D1123" s="50" t="str">
        <f>VLOOKUP(C1123,Product!A$2:B$21,1,0)</f>
        <v>PD0013</v>
      </c>
      <c r="E1123" s="36">
        <v>148</v>
      </c>
      <c r="F1123" s="38">
        <v>58131440.000000007</v>
      </c>
      <c r="G1123" s="39" t="s">
        <v>3497</v>
      </c>
      <c r="H1123" s="12"/>
      <c r="L1123" s="12"/>
    </row>
    <row r="1124" spans="1:12" ht="15.75" customHeight="1" x14ac:dyDescent="0.3">
      <c r="A1124" s="29" t="s">
        <v>618</v>
      </c>
      <c r="B1124" s="50" t="str">
        <f>VLOOKUP(A1124,'Sales Order'!A$2:B$1029,1,0)</f>
        <v>SO0380</v>
      </c>
      <c r="C1124" s="29" t="s">
        <v>35</v>
      </c>
      <c r="D1124" s="50" t="str">
        <f>VLOOKUP(C1124,Product!A$2:B$21,1,0)</f>
        <v>PD0005</v>
      </c>
      <c r="E1124" s="36">
        <v>37</v>
      </c>
      <c r="F1124" s="38">
        <v>64159850</v>
      </c>
      <c r="G1124" s="39" t="s">
        <v>3498</v>
      </c>
      <c r="H1124" s="12"/>
      <c r="L1124" s="12"/>
    </row>
    <row r="1125" spans="1:12" ht="15.75" customHeight="1" x14ac:dyDescent="0.3">
      <c r="A1125" s="29" t="s">
        <v>618</v>
      </c>
      <c r="B1125" s="50" t="str">
        <f>VLOOKUP(A1125,'Sales Order'!A$2:B$1029,1,0)</f>
        <v>SO0380</v>
      </c>
      <c r="C1125" s="29" t="s">
        <v>52</v>
      </c>
      <c r="D1125" s="50" t="str">
        <f>VLOOKUP(C1125,Product!A$2:B$21,1,0)</f>
        <v>PD0010</v>
      </c>
      <c r="E1125" s="36">
        <v>149</v>
      </c>
      <c r="F1125" s="38">
        <v>36318750</v>
      </c>
      <c r="G1125" s="39" t="s">
        <v>3499</v>
      </c>
      <c r="H1125" s="12"/>
      <c r="L1125" s="12"/>
    </row>
    <row r="1126" spans="1:12" ht="15.75" customHeight="1" x14ac:dyDescent="0.3">
      <c r="A1126" s="17" t="s">
        <v>619</v>
      </c>
      <c r="B1126" s="50" t="str">
        <f>VLOOKUP(A1126,'Sales Order'!A$2:B$1029,1,0)</f>
        <v>SO0381</v>
      </c>
      <c r="C1126" s="29" t="s">
        <v>65</v>
      </c>
      <c r="D1126" s="50" t="str">
        <f>VLOOKUP(C1126,Product!A$2:B$21,1,0)</f>
        <v>PD0014</v>
      </c>
      <c r="E1126" s="36">
        <v>109</v>
      </c>
      <c r="F1126" s="38">
        <v>27065790</v>
      </c>
      <c r="G1126" s="39" t="s">
        <v>3500</v>
      </c>
      <c r="H1126" s="12"/>
      <c r="L1126" s="12"/>
    </row>
    <row r="1127" spans="1:12" ht="15.75" customHeight="1" x14ac:dyDescent="0.3">
      <c r="A1127" s="29" t="s">
        <v>619</v>
      </c>
      <c r="B1127" s="50" t="str">
        <f>VLOOKUP(A1127,'Sales Order'!A$2:B$1029,1,0)</f>
        <v>SO0381</v>
      </c>
      <c r="C1127" s="29" t="s">
        <v>75</v>
      </c>
      <c r="D1127" s="50" t="str">
        <f>VLOOKUP(C1127,Product!A$2:B$21,1,0)</f>
        <v>PD0017</v>
      </c>
      <c r="E1127" s="36">
        <v>142</v>
      </c>
      <c r="F1127" s="38">
        <v>316092000</v>
      </c>
      <c r="G1127" s="39" t="s">
        <v>3501</v>
      </c>
      <c r="H1127" s="12"/>
      <c r="L1127" s="12"/>
    </row>
    <row r="1128" spans="1:12" ht="15.75" customHeight="1" x14ac:dyDescent="0.3">
      <c r="A1128" s="29" t="s">
        <v>619</v>
      </c>
      <c r="B1128" s="50" t="str">
        <f>VLOOKUP(A1128,'Sales Order'!A$2:B$1029,1,0)</f>
        <v>SO0381</v>
      </c>
      <c r="C1128" s="29" t="s">
        <v>45</v>
      </c>
      <c r="D1128" s="50" t="str">
        <f>VLOOKUP(C1128,Product!A$2:B$21,1,0)</f>
        <v>PD0008</v>
      </c>
      <c r="E1128" s="36">
        <v>149</v>
      </c>
      <c r="F1128" s="38">
        <v>16872760</v>
      </c>
      <c r="G1128" s="39" t="s">
        <v>3502</v>
      </c>
      <c r="H1128" s="12"/>
      <c r="L1128" s="12"/>
    </row>
    <row r="1129" spans="1:12" ht="15.75" customHeight="1" x14ac:dyDescent="0.3">
      <c r="A1129" s="29" t="s">
        <v>619</v>
      </c>
      <c r="B1129" s="50" t="str">
        <f>VLOOKUP(A1129,'Sales Order'!A$2:B$1029,1,0)</f>
        <v>SO0381</v>
      </c>
      <c r="C1129" s="29" t="s">
        <v>35</v>
      </c>
      <c r="D1129" s="50" t="str">
        <f>VLOOKUP(C1129,Product!A$2:B$21,1,0)</f>
        <v>PD0005</v>
      </c>
      <c r="E1129" s="36">
        <v>121</v>
      </c>
      <c r="F1129" s="38">
        <v>220443850</v>
      </c>
      <c r="G1129" s="39" t="s">
        <v>3503</v>
      </c>
      <c r="H1129" s="12"/>
      <c r="L1129" s="12"/>
    </row>
    <row r="1130" spans="1:12" ht="15.75" customHeight="1" x14ac:dyDescent="0.3">
      <c r="A1130" s="17" t="s">
        <v>620</v>
      </c>
      <c r="B1130" s="50" t="str">
        <f>VLOOKUP(A1130,'Sales Order'!A$2:B$1029,1,0)</f>
        <v>SO0382</v>
      </c>
      <c r="C1130" s="29" t="s">
        <v>69</v>
      </c>
      <c r="D1130" s="50" t="str">
        <f>VLOOKUP(C1130,Product!A$2:B$21,1,0)</f>
        <v>PD0015</v>
      </c>
      <c r="E1130" s="36">
        <v>38</v>
      </c>
      <c r="F1130" s="38">
        <v>4028076</v>
      </c>
      <c r="G1130" s="39" t="s">
        <v>3504</v>
      </c>
      <c r="H1130" s="12"/>
      <c r="L1130" s="12"/>
    </row>
    <row r="1131" spans="1:12" ht="15.75" customHeight="1" x14ac:dyDescent="0.3">
      <c r="A1131" s="29" t="s">
        <v>620</v>
      </c>
      <c r="B1131" s="50" t="str">
        <f>VLOOKUP(A1131,'Sales Order'!A$2:B$1029,1,0)</f>
        <v>SO0382</v>
      </c>
      <c r="C1131" s="29" t="s">
        <v>19</v>
      </c>
      <c r="D1131" s="50" t="str">
        <f>VLOOKUP(C1131,Product!A$2:B$21,1,0)</f>
        <v>PD0001</v>
      </c>
      <c r="E1131" s="36">
        <v>126</v>
      </c>
      <c r="F1131" s="38">
        <v>25726680.000000004</v>
      </c>
      <c r="G1131" s="39" t="s">
        <v>3505</v>
      </c>
      <c r="H1131" s="12"/>
      <c r="L1131" s="12"/>
    </row>
    <row r="1132" spans="1:12" ht="15.75" customHeight="1" x14ac:dyDescent="0.3">
      <c r="A1132" s="29" t="s">
        <v>620</v>
      </c>
      <c r="B1132" s="50" t="str">
        <f>VLOOKUP(A1132,'Sales Order'!A$2:B$1029,1,0)</f>
        <v>SO0382</v>
      </c>
      <c r="C1132" s="29" t="s">
        <v>61</v>
      </c>
      <c r="D1132" s="50" t="str">
        <f>VLOOKUP(C1132,Product!A$2:B$21,1,0)</f>
        <v>PD0013</v>
      </c>
      <c r="E1132" s="36">
        <v>52</v>
      </c>
      <c r="F1132" s="38">
        <v>21420880</v>
      </c>
      <c r="G1132" s="39" t="s">
        <v>3506</v>
      </c>
      <c r="H1132" s="12"/>
      <c r="L1132" s="12"/>
    </row>
    <row r="1133" spans="1:12" ht="15.75" customHeight="1" x14ac:dyDescent="0.3">
      <c r="A1133" s="29" t="s">
        <v>620</v>
      </c>
      <c r="B1133" s="50" t="str">
        <f>VLOOKUP(A1133,'Sales Order'!A$2:B$1029,1,0)</f>
        <v>SO0382</v>
      </c>
      <c r="C1133" s="29" t="s">
        <v>72</v>
      </c>
      <c r="D1133" s="50" t="str">
        <f>VLOOKUP(C1133,Product!A$2:B$21,1,0)</f>
        <v>PD0016</v>
      </c>
      <c r="E1133" s="36">
        <v>45</v>
      </c>
      <c r="F1133" s="38">
        <v>9612000</v>
      </c>
      <c r="G1133" s="39" t="s">
        <v>3507</v>
      </c>
      <c r="H1133" s="12"/>
      <c r="L1133" s="12"/>
    </row>
    <row r="1134" spans="1:12" ht="15.75" customHeight="1" x14ac:dyDescent="0.3">
      <c r="A1134" s="17" t="s">
        <v>621</v>
      </c>
      <c r="B1134" s="50" t="str">
        <f>VLOOKUP(A1134,'Sales Order'!A$2:B$1029,1,0)</f>
        <v>SO0383</v>
      </c>
      <c r="C1134" s="29" t="s">
        <v>65</v>
      </c>
      <c r="D1134" s="50" t="str">
        <f>VLOOKUP(C1134,Product!A$2:B$21,1,0)</f>
        <v>PD0014</v>
      </c>
      <c r="E1134" s="36">
        <v>85</v>
      </c>
      <c r="F1134" s="38">
        <v>19971600</v>
      </c>
      <c r="G1134" s="39" t="s">
        <v>3508</v>
      </c>
      <c r="H1134" s="12"/>
      <c r="L1134" s="12"/>
    </row>
    <row r="1135" spans="1:12" ht="15.75" customHeight="1" x14ac:dyDescent="0.3">
      <c r="A1135" s="29" t="s">
        <v>621</v>
      </c>
      <c r="B1135" s="50" t="str">
        <f>VLOOKUP(A1135,'Sales Order'!A$2:B$1029,1,0)</f>
        <v>SO0383</v>
      </c>
      <c r="C1135" s="29" t="s">
        <v>78</v>
      </c>
      <c r="D1135" s="50" t="str">
        <f>VLOOKUP(C1135,Product!A$2:B$21,1,0)</f>
        <v>PD0018</v>
      </c>
      <c r="E1135" s="36">
        <v>122</v>
      </c>
      <c r="F1135" s="38">
        <v>61009760</v>
      </c>
      <c r="G1135" s="39" t="s">
        <v>3509</v>
      </c>
      <c r="H1135" s="12"/>
      <c r="L1135" s="12"/>
    </row>
    <row r="1136" spans="1:12" ht="15.75" customHeight="1" x14ac:dyDescent="0.3">
      <c r="A1136" s="29" t="s">
        <v>622</v>
      </c>
      <c r="B1136" s="50" t="str">
        <f>VLOOKUP(A1136,'Sales Order'!A$2:B$1029,1,0)</f>
        <v>SO0384</v>
      </c>
      <c r="C1136" s="29" t="s">
        <v>72</v>
      </c>
      <c r="D1136" s="50" t="str">
        <f>VLOOKUP(C1136,Product!A$2:B$21,1,0)</f>
        <v>PD0016</v>
      </c>
      <c r="E1136" s="36">
        <v>141</v>
      </c>
      <c r="F1136" s="38">
        <v>35388180</v>
      </c>
      <c r="G1136" s="39" t="s">
        <v>3510</v>
      </c>
      <c r="H1136" s="12"/>
      <c r="L1136" s="12"/>
    </row>
    <row r="1137" spans="1:12" ht="15.75" customHeight="1" x14ac:dyDescent="0.3">
      <c r="A1137" s="29" t="s">
        <v>622</v>
      </c>
      <c r="B1137" s="50" t="str">
        <f>VLOOKUP(A1137,'Sales Order'!A$2:B$1029,1,0)</f>
        <v>SO0384</v>
      </c>
      <c r="C1137" s="29" t="s">
        <v>81</v>
      </c>
      <c r="D1137" s="50" t="str">
        <f>VLOOKUP(C1137,Product!A$2:B$21,1,0)</f>
        <v>PD0019</v>
      </c>
      <c r="E1137" s="36">
        <v>58</v>
      </c>
      <c r="F1137" s="38">
        <v>115316760</v>
      </c>
      <c r="G1137" s="39" t="s">
        <v>3511</v>
      </c>
      <c r="H1137" s="12"/>
      <c r="L1137" s="12"/>
    </row>
    <row r="1138" spans="1:12" ht="15.75" customHeight="1" x14ac:dyDescent="0.3">
      <c r="A1138" s="17" t="s">
        <v>623</v>
      </c>
      <c r="B1138" s="50" t="str">
        <f>VLOOKUP(A1138,'Sales Order'!A$2:B$1029,1,0)</f>
        <v>SO0385</v>
      </c>
      <c r="C1138" s="29" t="s">
        <v>25</v>
      </c>
      <c r="D1138" s="50" t="str">
        <f>VLOOKUP(C1138,Product!A$2:B$21,1,0)</f>
        <v>PD0002</v>
      </c>
      <c r="E1138" s="36">
        <v>54</v>
      </c>
      <c r="F1138" s="38">
        <v>918000</v>
      </c>
      <c r="G1138" s="39" t="s">
        <v>3512</v>
      </c>
      <c r="H1138" s="12"/>
      <c r="L1138" s="12"/>
    </row>
    <row r="1139" spans="1:12" ht="15.75" customHeight="1" x14ac:dyDescent="0.3">
      <c r="A1139" s="17" t="s">
        <v>624</v>
      </c>
      <c r="B1139" s="50" t="str">
        <f>VLOOKUP(A1139,'Sales Order'!A$2:B$1029,1,0)</f>
        <v>SO0386</v>
      </c>
      <c r="C1139" s="29" t="s">
        <v>19</v>
      </c>
      <c r="D1139" s="50" t="str">
        <f>VLOOKUP(C1139,Product!A$2:B$21,1,0)</f>
        <v>PD0001</v>
      </c>
      <c r="E1139" s="36">
        <v>43</v>
      </c>
      <c r="F1139" s="38">
        <v>10171650</v>
      </c>
      <c r="G1139" s="39" t="s">
        <v>3513</v>
      </c>
      <c r="H1139" s="12"/>
      <c r="L1139" s="12"/>
    </row>
    <row r="1140" spans="1:12" ht="15.75" customHeight="1" x14ac:dyDescent="0.3">
      <c r="A1140" s="29" t="s">
        <v>624</v>
      </c>
      <c r="B1140" s="50" t="str">
        <f>VLOOKUP(A1140,'Sales Order'!A$2:B$1029,1,0)</f>
        <v>SO0386</v>
      </c>
      <c r="C1140" s="29" t="s">
        <v>81</v>
      </c>
      <c r="D1140" s="50" t="str">
        <f>VLOOKUP(C1140,Product!A$2:B$21,1,0)</f>
        <v>PD0019</v>
      </c>
      <c r="E1140" s="36">
        <v>90</v>
      </c>
      <c r="F1140" s="38">
        <v>217939500</v>
      </c>
      <c r="G1140" s="39" t="s">
        <v>3514</v>
      </c>
      <c r="H1140" s="12"/>
      <c r="L1140" s="12"/>
    </row>
    <row r="1141" spans="1:12" ht="15.75" customHeight="1" x14ac:dyDescent="0.3">
      <c r="A1141" s="29" t="s">
        <v>624</v>
      </c>
      <c r="B1141" s="50" t="str">
        <f>VLOOKUP(A1141,'Sales Order'!A$2:B$1029,1,0)</f>
        <v>SO0386</v>
      </c>
      <c r="C1141" s="29" t="s">
        <v>45</v>
      </c>
      <c r="D1141" s="50" t="str">
        <f>VLOOKUP(C1141,Product!A$2:B$21,1,0)</f>
        <v>PD0008</v>
      </c>
      <c r="E1141" s="36">
        <v>26</v>
      </c>
      <c r="F1141" s="38">
        <v>3641560</v>
      </c>
      <c r="G1141" s="39" t="s">
        <v>3515</v>
      </c>
      <c r="H1141" s="12"/>
      <c r="L1141" s="12"/>
    </row>
    <row r="1142" spans="1:12" ht="15.75" customHeight="1" x14ac:dyDescent="0.3">
      <c r="A1142" s="17" t="s">
        <v>625</v>
      </c>
      <c r="B1142" s="50" t="str">
        <f>VLOOKUP(A1142,'Sales Order'!A$2:B$1029,1,0)</f>
        <v>SO0387</v>
      </c>
      <c r="C1142" s="29" t="s">
        <v>69</v>
      </c>
      <c r="D1142" s="50" t="str">
        <f>VLOOKUP(C1142,Product!A$2:B$21,1,0)</f>
        <v>PD0015</v>
      </c>
      <c r="E1142" s="36">
        <v>93</v>
      </c>
      <c r="F1142" s="38">
        <v>9984573</v>
      </c>
      <c r="G1142" s="39" t="s">
        <v>3516</v>
      </c>
      <c r="H1142" s="12"/>
      <c r="L1142" s="12"/>
    </row>
    <row r="1143" spans="1:12" ht="15.75" customHeight="1" x14ac:dyDescent="0.3">
      <c r="A1143" s="29" t="s">
        <v>625</v>
      </c>
      <c r="B1143" s="50" t="str">
        <f>VLOOKUP(A1143,'Sales Order'!A$2:B$1029,1,0)</f>
        <v>SO0387</v>
      </c>
      <c r="C1143" s="29" t="s">
        <v>52</v>
      </c>
      <c r="D1143" s="50" t="str">
        <f>VLOOKUP(C1143,Product!A$2:B$21,1,0)</f>
        <v>PD0010</v>
      </c>
      <c r="E1143" s="36">
        <v>27</v>
      </c>
      <c r="F1143" s="38">
        <v>6844500</v>
      </c>
      <c r="G1143" s="39" t="s">
        <v>3517</v>
      </c>
      <c r="H1143" s="12"/>
      <c r="L1143" s="12"/>
    </row>
    <row r="1144" spans="1:12" ht="15.75" customHeight="1" x14ac:dyDescent="0.3">
      <c r="A1144" s="29" t="s">
        <v>625</v>
      </c>
      <c r="B1144" s="50" t="str">
        <f>VLOOKUP(A1144,'Sales Order'!A$2:B$1029,1,0)</f>
        <v>SO0387</v>
      </c>
      <c r="C1144" s="29" t="s">
        <v>58</v>
      </c>
      <c r="D1144" s="50" t="str">
        <f>VLOOKUP(C1144,Product!A$2:B$21,1,0)</f>
        <v>PD0012</v>
      </c>
      <c r="E1144" s="36">
        <v>72</v>
      </c>
      <c r="F1144" s="38">
        <v>316686240</v>
      </c>
      <c r="G1144" s="39" t="s">
        <v>3518</v>
      </c>
      <c r="H1144" s="12"/>
      <c r="L1144" s="12"/>
    </row>
    <row r="1145" spans="1:12" ht="15.75" customHeight="1" x14ac:dyDescent="0.3">
      <c r="A1145" s="29" t="s">
        <v>625</v>
      </c>
      <c r="B1145" s="50" t="str">
        <f>VLOOKUP(A1145,'Sales Order'!A$2:B$1029,1,0)</f>
        <v>SO0387</v>
      </c>
      <c r="C1145" s="29" t="s">
        <v>61</v>
      </c>
      <c r="D1145" s="50" t="str">
        <f>VLOOKUP(C1145,Product!A$2:B$21,1,0)</f>
        <v>PD0013</v>
      </c>
      <c r="E1145" s="36">
        <v>43</v>
      </c>
      <c r="F1145" s="38">
        <v>18537300</v>
      </c>
      <c r="G1145" s="39" t="s">
        <v>3519</v>
      </c>
      <c r="H1145" s="12"/>
      <c r="L1145" s="12"/>
    </row>
    <row r="1146" spans="1:12" ht="15.75" customHeight="1" x14ac:dyDescent="0.3">
      <c r="A1146" s="29" t="s">
        <v>625</v>
      </c>
      <c r="B1146" s="50" t="str">
        <f>VLOOKUP(A1146,'Sales Order'!A$2:B$1029,1,0)</f>
        <v>SO0387</v>
      </c>
      <c r="C1146" s="29" t="s">
        <v>40</v>
      </c>
      <c r="D1146" s="50" t="str">
        <f>VLOOKUP(C1146,Product!A$2:B$21,1,0)</f>
        <v>PD0006</v>
      </c>
      <c r="E1146" s="36">
        <v>111</v>
      </c>
      <c r="F1146" s="38">
        <v>19487160</v>
      </c>
      <c r="G1146" s="39" t="s">
        <v>3520</v>
      </c>
      <c r="H1146" s="12"/>
      <c r="L1146" s="12"/>
    </row>
    <row r="1147" spans="1:12" ht="15.75" customHeight="1" x14ac:dyDescent="0.3">
      <c r="A1147" s="17" t="s">
        <v>626</v>
      </c>
      <c r="B1147" s="50" t="str">
        <f>VLOOKUP(A1147,'Sales Order'!A$2:B$1029,1,0)</f>
        <v>SO0388</v>
      </c>
      <c r="C1147" s="29" t="s">
        <v>83</v>
      </c>
      <c r="D1147" s="50" t="str">
        <f>VLOOKUP(C1147,Product!A$2:B$21,1,0)</f>
        <v>PD0020</v>
      </c>
      <c r="E1147" s="36">
        <v>101</v>
      </c>
      <c r="F1147" s="38">
        <v>27882060</v>
      </c>
      <c r="G1147" s="39" t="s">
        <v>3521</v>
      </c>
      <c r="H1147" s="12"/>
      <c r="L1147" s="12"/>
    </row>
    <row r="1148" spans="1:12" ht="15.75" customHeight="1" x14ac:dyDescent="0.3">
      <c r="A1148" s="29" t="s">
        <v>626</v>
      </c>
      <c r="B1148" s="50" t="str">
        <f>VLOOKUP(A1148,'Sales Order'!A$2:B$1029,1,0)</f>
        <v>SO0388</v>
      </c>
      <c r="C1148" s="29" t="s">
        <v>33</v>
      </c>
      <c r="D1148" s="50" t="str">
        <f>VLOOKUP(C1148,Product!A$2:B$21,1,0)</f>
        <v>PD0004</v>
      </c>
      <c r="E1148" s="36">
        <v>121</v>
      </c>
      <c r="F1148" s="38">
        <v>25289000</v>
      </c>
      <c r="G1148" s="39" t="s">
        <v>3522</v>
      </c>
      <c r="H1148" s="12"/>
      <c r="L1148" s="12"/>
    </row>
    <row r="1149" spans="1:12" ht="15.75" customHeight="1" x14ac:dyDescent="0.3">
      <c r="A1149" s="29" t="s">
        <v>626</v>
      </c>
      <c r="B1149" s="50" t="str">
        <f>VLOOKUP(A1149,'Sales Order'!A$2:B$1029,1,0)</f>
        <v>SO0388</v>
      </c>
      <c r="C1149" s="29" t="s">
        <v>19</v>
      </c>
      <c r="D1149" s="50" t="str">
        <f>VLOOKUP(C1149,Product!A$2:B$21,1,0)</f>
        <v>PD0001</v>
      </c>
      <c r="E1149" s="36">
        <v>89</v>
      </c>
      <c r="F1149" s="38">
        <v>17507190</v>
      </c>
      <c r="G1149" s="39" t="s">
        <v>3523</v>
      </c>
      <c r="H1149" s="12"/>
      <c r="L1149" s="12"/>
    </row>
    <row r="1150" spans="1:12" ht="15.75" customHeight="1" x14ac:dyDescent="0.3">
      <c r="A1150" s="17" t="s">
        <v>627</v>
      </c>
      <c r="B1150" s="50" t="str">
        <f>VLOOKUP(A1150,'Sales Order'!A$2:B$1029,1,0)</f>
        <v>SO0389</v>
      </c>
      <c r="C1150" s="29" t="s">
        <v>55</v>
      </c>
      <c r="D1150" s="50" t="str">
        <f>VLOOKUP(C1150,Product!A$2:B$21,1,0)</f>
        <v>PD0011</v>
      </c>
      <c r="E1150" s="36">
        <v>86</v>
      </c>
      <c r="F1150" s="38">
        <v>170414160</v>
      </c>
      <c r="G1150" s="39" t="s">
        <v>3524</v>
      </c>
      <c r="H1150" s="12"/>
      <c r="L1150" s="12"/>
    </row>
    <row r="1151" spans="1:12" ht="15.75" customHeight="1" x14ac:dyDescent="0.3">
      <c r="A1151" s="17" t="s">
        <v>628</v>
      </c>
      <c r="B1151" s="50" t="str">
        <f>VLOOKUP(A1151,'Sales Order'!A$2:B$1029,1,0)</f>
        <v>SO0390</v>
      </c>
      <c r="C1151" s="29" t="s">
        <v>75</v>
      </c>
      <c r="D1151" s="50" t="str">
        <f>VLOOKUP(C1151,Product!A$2:B$21,1,0)</f>
        <v>PD0017</v>
      </c>
      <c r="E1151" s="36">
        <v>119</v>
      </c>
      <c r="F1151" s="38">
        <v>268047500</v>
      </c>
      <c r="G1151" s="39" t="s">
        <v>3525</v>
      </c>
      <c r="H1151" s="12"/>
      <c r="L1151" s="12"/>
    </row>
    <row r="1152" spans="1:12" ht="15.75" customHeight="1" x14ac:dyDescent="0.3">
      <c r="A1152" s="29" t="s">
        <v>628</v>
      </c>
      <c r="B1152" s="50" t="str">
        <f>VLOOKUP(A1152,'Sales Order'!A$2:B$1029,1,0)</f>
        <v>SO0390</v>
      </c>
      <c r="C1152" s="29" t="s">
        <v>52</v>
      </c>
      <c r="D1152" s="50" t="str">
        <f>VLOOKUP(C1152,Product!A$2:B$21,1,0)</f>
        <v>PD0010</v>
      </c>
      <c r="E1152" s="36">
        <v>49</v>
      </c>
      <c r="F1152" s="38">
        <v>13377000</v>
      </c>
      <c r="G1152" s="39" t="s">
        <v>3526</v>
      </c>
      <c r="H1152" s="12"/>
      <c r="L1152" s="12"/>
    </row>
    <row r="1153" spans="1:12" ht="15.75" customHeight="1" x14ac:dyDescent="0.3">
      <c r="A1153" s="29" t="s">
        <v>628</v>
      </c>
      <c r="B1153" s="50" t="str">
        <f>VLOOKUP(A1153,'Sales Order'!A$2:B$1029,1,0)</f>
        <v>SO0390</v>
      </c>
      <c r="C1153" s="29" t="s">
        <v>33</v>
      </c>
      <c r="D1153" s="50" t="str">
        <f>VLOOKUP(C1153,Product!A$2:B$21,1,0)</f>
        <v>PD0004</v>
      </c>
      <c r="E1153" s="36">
        <v>26</v>
      </c>
      <c r="F1153" s="38">
        <v>4633200</v>
      </c>
      <c r="G1153" s="39" t="s">
        <v>3527</v>
      </c>
      <c r="H1153" s="12"/>
      <c r="L1153" s="12"/>
    </row>
    <row r="1154" spans="1:12" ht="15.75" customHeight="1" x14ac:dyDescent="0.3">
      <c r="A1154" s="29" t="s">
        <v>628</v>
      </c>
      <c r="B1154" s="50" t="str">
        <f>VLOOKUP(A1154,'Sales Order'!A$2:B$1029,1,0)</f>
        <v>SO0390</v>
      </c>
      <c r="C1154" s="29" t="s">
        <v>81</v>
      </c>
      <c r="D1154" s="50" t="str">
        <f>VLOOKUP(C1154,Product!A$2:B$21,1,0)</f>
        <v>PD0019</v>
      </c>
      <c r="E1154" s="36">
        <v>140</v>
      </c>
      <c r="F1154" s="38">
        <v>271213600</v>
      </c>
      <c r="G1154" s="39" t="s">
        <v>3528</v>
      </c>
      <c r="H1154" s="12"/>
      <c r="L1154" s="12"/>
    </row>
    <row r="1155" spans="1:12" ht="15.75" customHeight="1" x14ac:dyDescent="0.3">
      <c r="A1155" s="29" t="s">
        <v>629</v>
      </c>
      <c r="B1155" s="50" t="str">
        <f>VLOOKUP(A1155,'Sales Order'!A$2:B$1029,1,0)</f>
        <v>SO0391</v>
      </c>
      <c r="C1155" s="29" t="s">
        <v>75</v>
      </c>
      <c r="D1155" s="50" t="str">
        <f>VLOOKUP(C1155,Product!A$2:B$21,1,0)</f>
        <v>PD0017</v>
      </c>
      <c r="E1155" s="36">
        <v>96</v>
      </c>
      <c r="F1155" s="38">
        <v>234048000</v>
      </c>
      <c r="G1155" s="39" t="s">
        <v>3529</v>
      </c>
      <c r="H1155" s="12"/>
      <c r="L1155" s="12"/>
    </row>
    <row r="1156" spans="1:12" ht="15.75" customHeight="1" x14ac:dyDescent="0.3">
      <c r="A1156" s="29" t="s">
        <v>629</v>
      </c>
      <c r="B1156" s="50" t="str">
        <f>VLOOKUP(A1156,'Sales Order'!A$2:B$1029,1,0)</f>
        <v>SO0391</v>
      </c>
      <c r="C1156" s="29" t="s">
        <v>55</v>
      </c>
      <c r="D1156" s="50" t="str">
        <f>VLOOKUP(C1156,Product!A$2:B$21,1,0)</f>
        <v>PD0011</v>
      </c>
      <c r="E1156" s="36">
        <v>138</v>
      </c>
      <c r="F1156" s="38">
        <v>257178180</v>
      </c>
      <c r="G1156" s="39" t="s">
        <v>3530</v>
      </c>
      <c r="H1156" s="12"/>
      <c r="L1156" s="12"/>
    </row>
    <row r="1157" spans="1:12" ht="15.75" customHeight="1" x14ac:dyDescent="0.3">
      <c r="A1157" s="29" t="s">
        <v>629</v>
      </c>
      <c r="B1157" s="50" t="str">
        <f>VLOOKUP(A1157,'Sales Order'!A$2:B$1029,1,0)</f>
        <v>SO0391</v>
      </c>
      <c r="C1157" s="29" t="s">
        <v>58</v>
      </c>
      <c r="D1157" s="50" t="str">
        <f>VLOOKUP(C1157,Product!A$2:B$21,1,0)</f>
        <v>PD0012</v>
      </c>
      <c r="E1157" s="36">
        <v>141</v>
      </c>
      <c r="F1157" s="38">
        <v>683785140</v>
      </c>
      <c r="G1157" s="39" t="s">
        <v>3531</v>
      </c>
      <c r="H1157" s="12"/>
      <c r="L1157" s="12"/>
    </row>
    <row r="1158" spans="1:12" ht="15.75" customHeight="1" x14ac:dyDescent="0.3">
      <c r="A1158" s="17" t="s">
        <v>630</v>
      </c>
      <c r="B1158" s="50" t="str">
        <f>VLOOKUP(A1158,'Sales Order'!A$2:B$1029,1,0)</f>
        <v>SO0392</v>
      </c>
      <c r="C1158" s="29" t="s">
        <v>25</v>
      </c>
      <c r="D1158" s="50" t="str">
        <f>VLOOKUP(C1158,Product!A$2:B$21,1,0)</f>
        <v>PD0002</v>
      </c>
      <c r="E1158" s="36">
        <v>76</v>
      </c>
      <c r="F1158" s="38">
        <v>1428800</v>
      </c>
      <c r="G1158" s="39" t="s">
        <v>3532</v>
      </c>
      <c r="H1158" s="12"/>
      <c r="L1158" s="12"/>
    </row>
    <row r="1159" spans="1:12" ht="15.75" customHeight="1" x14ac:dyDescent="0.3">
      <c r="A1159" s="29" t="s">
        <v>630</v>
      </c>
      <c r="B1159" s="50" t="str">
        <f>VLOOKUP(A1159,'Sales Order'!A$2:B$1029,1,0)</f>
        <v>SO0392</v>
      </c>
      <c r="C1159" s="29" t="s">
        <v>81</v>
      </c>
      <c r="D1159" s="50" t="str">
        <f>VLOOKUP(C1159,Product!A$2:B$21,1,0)</f>
        <v>PD0019</v>
      </c>
      <c r="E1159" s="36">
        <v>35</v>
      </c>
      <c r="F1159" s="38">
        <v>73156300</v>
      </c>
      <c r="G1159" s="39" t="s">
        <v>3533</v>
      </c>
      <c r="H1159" s="12"/>
      <c r="L1159" s="12"/>
    </row>
    <row r="1160" spans="1:12" ht="15.75" customHeight="1" x14ac:dyDescent="0.3">
      <c r="A1160" s="29" t="s">
        <v>630</v>
      </c>
      <c r="B1160" s="50" t="str">
        <f>VLOOKUP(A1160,'Sales Order'!A$2:B$1029,1,0)</f>
        <v>SO0392</v>
      </c>
      <c r="C1160" s="29" t="s">
        <v>43</v>
      </c>
      <c r="D1160" s="50" t="str">
        <f>VLOOKUP(C1160,Product!A$2:B$21,1,0)</f>
        <v>PD0007</v>
      </c>
      <c r="E1160" s="36">
        <v>85</v>
      </c>
      <c r="F1160" s="38">
        <v>247520000</v>
      </c>
      <c r="G1160" s="39" t="s">
        <v>3534</v>
      </c>
      <c r="H1160" s="12"/>
      <c r="L1160" s="12"/>
    </row>
    <row r="1161" spans="1:12" ht="15.75" customHeight="1" x14ac:dyDescent="0.3">
      <c r="A1161" s="29" t="s">
        <v>630</v>
      </c>
      <c r="B1161" s="50" t="str">
        <f>VLOOKUP(A1161,'Sales Order'!A$2:B$1029,1,0)</f>
        <v>SO0392</v>
      </c>
      <c r="C1161" s="29" t="s">
        <v>65</v>
      </c>
      <c r="D1161" s="50" t="str">
        <f>VLOOKUP(C1161,Product!A$2:B$21,1,0)</f>
        <v>PD0014</v>
      </c>
      <c r="E1161" s="36">
        <v>47</v>
      </c>
      <c r="F1161" s="38">
        <v>9662730</v>
      </c>
      <c r="G1161" s="39" t="s">
        <v>3535</v>
      </c>
      <c r="H1161" s="12"/>
      <c r="L1161" s="12"/>
    </row>
    <row r="1162" spans="1:12" ht="15.75" customHeight="1" x14ac:dyDescent="0.3">
      <c r="A1162" s="29" t="s">
        <v>630</v>
      </c>
      <c r="B1162" s="50" t="str">
        <f>VLOOKUP(A1162,'Sales Order'!A$2:B$1029,1,0)</f>
        <v>SO0392</v>
      </c>
      <c r="C1162" s="29" t="s">
        <v>35</v>
      </c>
      <c r="D1162" s="50" t="str">
        <f>VLOOKUP(C1162,Product!A$2:B$21,1,0)</f>
        <v>PD0005</v>
      </c>
      <c r="E1162" s="36">
        <v>49</v>
      </c>
      <c r="F1162" s="38">
        <v>95723950</v>
      </c>
      <c r="G1162" s="39" t="s">
        <v>3536</v>
      </c>
      <c r="H1162" s="12"/>
      <c r="L1162" s="12"/>
    </row>
    <row r="1163" spans="1:12" ht="15.75" customHeight="1" x14ac:dyDescent="0.3">
      <c r="A1163" s="17" t="s">
        <v>631</v>
      </c>
      <c r="B1163" s="50" t="str">
        <f>VLOOKUP(A1163,'Sales Order'!A$2:B$1029,1,0)</f>
        <v>SO0393</v>
      </c>
      <c r="C1163" s="29" t="s">
        <v>40</v>
      </c>
      <c r="D1163" s="50" t="str">
        <f>VLOOKUP(C1163,Product!A$2:B$21,1,0)</f>
        <v>PD0006</v>
      </c>
      <c r="E1163" s="36">
        <v>59</v>
      </c>
      <c r="F1163" s="38">
        <v>11591140</v>
      </c>
      <c r="G1163" s="39" t="s">
        <v>3537</v>
      </c>
      <c r="H1163" s="12"/>
      <c r="L1163" s="12"/>
    </row>
    <row r="1164" spans="1:12" ht="15.75" customHeight="1" x14ac:dyDescent="0.3">
      <c r="A1164" s="29" t="s">
        <v>631</v>
      </c>
      <c r="B1164" s="50" t="str">
        <f>VLOOKUP(A1164,'Sales Order'!A$2:B$1029,1,0)</f>
        <v>SO0393</v>
      </c>
      <c r="C1164" s="29" t="s">
        <v>58</v>
      </c>
      <c r="D1164" s="50" t="str">
        <f>VLOOKUP(C1164,Product!A$2:B$21,1,0)</f>
        <v>PD0012</v>
      </c>
      <c r="E1164" s="36">
        <v>130</v>
      </c>
      <c r="F1164" s="38">
        <v>696416500</v>
      </c>
      <c r="G1164" s="39" t="s">
        <v>3538</v>
      </c>
      <c r="H1164" s="12"/>
      <c r="L1164" s="12"/>
    </row>
    <row r="1165" spans="1:12" ht="15.75" customHeight="1" x14ac:dyDescent="0.3">
      <c r="A1165" s="17" t="s">
        <v>632</v>
      </c>
      <c r="B1165" s="50" t="str">
        <f>VLOOKUP(A1165,'Sales Order'!A$2:B$1029,1,0)</f>
        <v>SO0394</v>
      </c>
      <c r="C1165" s="29" t="s">
        <v>43</v>
      </c>
      <c r="D1165" s="50" t="str">
        <f>VLOOKUP(C1165,Product!A$2:B$21,1,0)</f>
        <v>PD0007</v>
      </c>
      <c r="E1165" s="36">
        <v>99</v>
      </c>
      <c r="F1165" s="38">
        <v>240768000</v>
      </c>
      <c r="G1165" s="39" t="s">
        <v>3539</v>
      </c>
      <c r="H1165" s="12"/>
      <c r="L1165" s="12"/>
    </row>
    <row r="1166" spans="1:12" ht="15.75" customHeight="1" x14ac:dyDescent="0.3">
      <c r="A1166" s="29" t="s">
        <v>632</v>
      </c>
      <c r="B1166" s="50" t="str">
        <f>VLOOKUP(A1166,'Sales Order'!A$2:B$1029,1,0)</f>
        <v>SO0394</v>
      </c>
      <c r="C1166" s="29" t="s">
        <v>81</v>
      </c>
      <c r="D1166" s="50" t="str">
        <f>VLOOKUP(C1166,Product!A$2:B$21,1,0)</f>
        <v>PD0019</v>
      </c>
      <c r="E1166" s="36">
        <v>113</v>
      </c>
      <c r="F1166" s="38">
        <v>267874409.99999997</v>
      </c>
      <c r="G1166" s="39" t="s">
        <v>3540</v>
      </c>
      <c r="H1166" s="12"/>
      <c r="L1166" s="12"/>
    </row>
    <row r="1167" spans="1:12" ht="15.75" customHeight="1" x14ac:dyDescent="0.3">
      <c r="A1167" s="29" t="s">
        <v>632</v>
      </c>
      <c r="B1167" s="50" t="str">
        <f>VLOOKUP(A1167,'Sales Order'!A$2:B$1029,1,0)</f>
        <v>SO0394</v>
      </c>
      <c r="C1167" s="29" t="s">
        <v>61</v>
      </c>
      <c r="D1167" s="50" t="str">
        <f>VLOOKUP(C1167,Product!A$2:B$21,1,0)</f>
        <v>PD0013</v>
      </c>
      <c r="E1167" s="36">
        <v>74</v>
      </c>
      <c r="F1167" s="38">
        <v>27647880</v>
      </c>
      <c r="G1167" s="39" t="s">
        <v>3541</v>
      </c>
      <c r="H1167" s="12"/>
      <c r="L1167" s="12"/>
    </row>
    <row r="1168" spans="1:12" ht="15.75" customHeight="1" x14ac:dyDescent="0.3">
      <c r="A1168" s="29" t="s">
        <v>632</v>
      </c>
      <c r="B1168" s="50" t="str">
        <f>VLOOKUP(A1168,'Sales Order'!A$2:B$1029,1,0)</f>
        <v>SO0394</v>
      </c>
      <c r="C1168" s="29" t="s">
        <v>28</v>
      </c>
      <c r="D1168" s="50" t="str">
        <f>VLOOKUP(C1168,Product!A$2:B$21,1,0)</f>
        <v>PD0003</v>
      </c>
      <c r="E1168" s="36">
        <v>59</v>
      </c>
      <c r="F1168" s="38">
        <v>49436100</v>
      </c>
      <c r="G1168" s="39" t="s">
        <v>3542</v>
      </c>
      <c r="H1168" s="12"/>
      <c r="L1168" s="12"/>
    </row>
    <row r="1169" spans="1:12" ht="15.75" customHeight="1" x14ac:dyDescent="0.3">
      <c r="A1169" s="17" t="s">
        <v>633</v>
      </c>
      <c r="B1169" s="50" t="str">
        <f>VLOOKUP(A1169,'Sales Order'!A$2:B$1029,1,0)</f>
        <v>SO0395</v>
      </c>
      <c r="C1169" s="29" t="s">
        <v>25</v>
      </c>
      <c r="D1169" s="50" t="str">
        <f>VLOOKUP(C1169,Product!A$2:B$21,1,0)</f>
        <v>PD0002</v>
      </c>
      <c r="E1169" s="36">
        <v>34</v>
      </c>
      <c r="F1169" s="38">
        <v>646000</v>
      </c>
      <c r="G1169" s="39" t="s">
        <v>3543</v>
      </c>
      <c r="H1169" s="12"/>
      <c r="L1169" s="12"/>
    </row>
    <row r="1170" spans="1:12" ht="15.75" customHeight="1" x14ac:dyDescent="0.3">
      <c r="A1170" s="29" t="s">
        <v>633</v>
      </c>
      <c r="B1170" s="50" t="str">
        <f>VLOOKUP(A1170,'Sales Order'!A$2:B$1029,1,0)</f>
        <v>SO0395</v>
      </c>
      <c r="C1170" s="29" t="s">
        <v>61</v>
      </c>
      <c r="D1170" s="50" t="str">
        <f>VLOOKUP(C1170,Product!A$2:B$21,1,0)</f>
        <v>PD0013</v>
      </c>
      <c r="E1170" s="36">
        <v>53</v>
      </c>
      <c r="F1170" s="38">
        <v>23356040</v>
      </c>
      <c r="G1170" s="39" t="s">
        <v>3544</v>
      </c>
      <c r="H1170" s="12"/>
      <c r="L1170" s="12"/>
    </row>
    <row r="1171" spans="1:12" ht="15.75" customHeight="1" x14ac:dyDescent="0.3">
      <c r="A1171" s="29" t="s">
        <v>633</v>
      </c>
      <c r="B1171" s="50" t="str">
        <f>VLOOKUP(A1171,'Sales Order'!A$2:B$1029,1,0)</f>
        <v>SO0395</v>
      </c>
      <c r="C1171" s="29" t="s">
        <v>52</v>
      </c>
      <c r="D1171" s="50" t="str">
        <f>VLOOKUP(C1171,Product!A$2:B$21,1,0)</f>
        <v>PD0010</v>
      </c>
      <c r="E1171" s="36">
        <v>31</v>
      </c>
      <c r="F1171" s="38">
        <v>7757750</v>
      </c>
      <c r="G1171" s="39" t="s">
        <v>3545</v>
      </c>
      <c r="H1171" s="12"/>
      <c r="L1171" s="12"/>
    </row>
    <row r="1172" spans="1:12" ht="15.75" customHeight="1" x14ac:dyDescent="0.3">
      <c r="A1172" s="29" t="s">
        <v>633</v>
      </c>
      <c r="B1172" s="50" t="str">
        <f>VLOOKUP(A1172,'Sales Order'!A$2:B$1029,1,0)</f>
        <v>SO0395</v>
      </c>
      <c r="C1172" s="29" t="s">
        <v>48</v>
      </c>
      <c r="D1172" s="50" t="str">
        <f>VLOOKUP(C1172,Product!A$2:B$21,1,0)</f>
        <v>PD0009</v>
      </c>
      <c r="E1172" s="36">
        <v>75</v>
      </c>
      <c r="F1172" s="38">
        <v>7546500</v>
      </c>
      <c r="G1172" s="39" t="s">
        <v>3546</v>
      </c>
      <c r="H1172" s="12"/>
      <c r="L1172" s="12"/>
    </row>
    <row r="1173" spans="1:12" ht="15.75" customHeight="1" x14ac:dyDescent="0.3">
      <c r="A1173" s="29" t="s">
        <v>633</v>
      </c>
      <c r="B1173" s="50" t="str">
        <f>VLOOKUP(A1173,'Sales Order'!A$2:B$1029,1,0)</f>
        <v>SO0395</v>
      </c>
      <c r="C1173" s="29" t="s">
        <v>28</v>
      </c>
      <c r="D1173" s="50" t="str">
        <f>VLOOKUP(C1173,Product!A$2:B$21,1,0)</f>
        <v>PD0003</v>
      </c>
      <c r="E1173" s="36">
        <v>98</v>
      </c>
      <c r="F1173" s="38">
        <v>74815160</v>
      </c>
      <c r="G1173" s="39" t="s">
        <v>3547</v>
      </c>
      <c r="H1173" s="12"/>
      <c r="L1173" s="12"/>
    </row>
    <row r="1174" spans="1:12" ht="15.75" customHeight="1" x14ac:dyDescent="0.3">
      <c r="A1174" s="17" t="s">
        <v>634</v>
      </c>
      <c r="B1174" s="50" t="str">
        <f>VLOOKUP(A1174,'Sales Order'!A$2:B$1029,1,0)</f>
        <v>SO0396</v>
      </c>
      <c r="C1174" s="29" t="s">
        <v>55</v>
      </c>
      <c r="D1174" s="50" t="str">
        <f>VLOOKUP(C1174,Product!A$2:B$21,1,0)</f>
        <v>PD0011</v>
      </c>
      <c r="E1174" s="36">
        <v>128</v>
      </c>
      <c r="F1174" s="38">
        <v>268737280</v>
      </c>
      <c r="G1174" s="39" t="s">
        <v>3548</v>
      </c>
      <c r="H1174" s="12"/>
      <c r="L1174" s="12"/>
    </row>
    <row r="1175" spans="1:12" ht="15.75" customHeight="1" x14ac:dyDescent="0.3">
      <c r="A1175" s="29" t="s">
        <v>634</v>
      </c>
      <c r="B1175" s="50" t="str">
        <f>VLOOKUP(A1175,'Sales Order'!A$2:B$1029,1,0)</f>
        <v>SO0396</v>
      </c>
      <c r="C1175" s="29" t="s">
        <v>35</v>
      </c>
      <c r="D1175" s="50" t="str">
        <f>VLOOKUP(C1175,Product!A$2:B$21,1,0)</f>
        <v>PD0005</v>
      </c>
      <c r="E1175" s="36">
        <v>30</v>
      </c>
      <c r="F1175" s="38">
        <v>60582000</v>
      </c>
      <c r="G1175" s="39" t="s">
        <v>3549</v>
      </c>
      <c r="H1175" s="12"/>
      <c r="L1175" s="12"/>
    </row>
    <row r="1176" spans="1:12" ht="15.75" customHeight="1" x14ac:dyDescent="0.3">
      <c r="A1176" s="29" t="s">
        <v>634</v>
      </c>
      <c r="B1176" s="50" t="str">
        <f>VLOOKUP(A1176,'Sales Order'!A$2:B$1029,1,0)</f>
        <v>SO0396</v>
      </c>
      <c r="C1176" s="29" t="s">
        <v>43</v>
      </c>
      <c r="D1176" s="50" t="str">
        <f>VLOOKUP(C1176,Product!A$2:B$21,1,0)</f>
        <v>PD0007</v>
      </c>
      <c r="E1176" s="36">
        <v>47</v>
      </c>
      <c r="F1176" s="38">
        <v>133856000</v>
      </c>
      <c r="G1176" s="39" t="s">
        <v>3550</v>
      </c>
      <c r="H1176" s="12"/>
      <c r="L1176" s="12"/>
    </row>
    <row r="1177" spans="1:12" ht="15.75" customHeight="1" x14ac:dyDescent="0.3">
      <c r="A1177" s="17" t="s">
        <v>635</v>
      </c>
      <c r="B1177" s="50" t="str">
        <f>VLOOKUP(A1177,'Sales Order'!A$2:B$1029,1,0)</f>
        <v>SO0397</v>
      </c>
      <c r="C1177" s="29" t="s">
        <v>69</v>
      </c>
      <c r="D1177" s="50" t="str">
        <f>VLOOKUP(C1177,Product!A$2:B$21,1,0)</f>
        <v>PD0015</v>
      </c>
      <c r="E1177" s="36">
        <v>85</v>
      </c>
      <c r="F1177" s="38">
        <v>9241200</v>
      </c>
      <c r="G1177" s="39" t="s">
        <v>3551</v>
      </c>
      <c r="H1177" s="12"/>
      <c r="L1177" s="12"/>
    </row>
    <row r="1178" spans="1:12" ht="15.75" customHeight="1" x14ac:dyDescent="0.3">
      <c r="A1178" s="29" t="s">
        <v>635</v>
      </c>
      <c r="B1178" s="50" t="str">
        <f>VLOOKUP(A1178,'Sales Order'!A$2:B$1029,1,0)</f>
        <v>SO0397</v>
      </c>
      <c r="C1178" s="29" t="s">
        <v>35</v>
      </c>
      <c r="D1178" s="50" t="str">
        <f>VLOOKUP(C1178,Product!A$2:B$21,1,0)</f>
        <v>PD0005</v>
      </c>
      <c r="E1178" s="36">
        <v>111</v>
      </c>
      <c r="F1178" s="38">
        <v>185170200</v>
      </c>
      <c r="G1178" s="39" t="s">
        <v>3552</v>
      </c>
      <c r="H1178" s="12"/>
      <c r="L1178" s="12"/>
    </row>
    <row r="1179" spans="1:12" ht="15.75" customHeight="1" x14ac:dyDescent="0.3">
      <c r="A1179" s="29" t="s">
        <v>635</v>
      </c>
      <c r="B1179" s="50" t="str">
        <f>VLOOKUP(A1179,'Sales Order'!A$2:B$1029,1,0)</f>
        <v>SO0397</v>
      </c>
      <c r="C1179" s="29" t="s">
        <v>45</v>
      </c>
      <c r="D1179" s="50" t="str">
        <f>VLOOKUP(C1179,Product!A$2:B$21,1,0)</f>
        <v>PD0008</v>
      </c>
      <c r="E1179" s="36">
        <v>120</v>
      </c>
      <c r="F1179" s="38">
        <v>16449600</v>
      </c>
      <c r="G1179" s="39" t="s">
        <v>3553</v>
      </c>
      <c r="H1179" s="12"/>
      <c r="L1179" s="12"/>
    </row>
    <row r="1180" spans="1:12" ht="15.75" customHeight="1" x14ac:dyDescent="0.3">
      <c r="A1180" s="17" t="s">
        <v>636</v>
      </c>
      <c r="B1180" s="50" t="str">
        <f>VLOOKUP(A1180,'Sales Order'!A$2:B$1029,1,0)</f>
        <v>SO0398</v>
      </c>
      <c r="C1180" s="29" t="s">
        <v>83</v>
      </c>
      <c r="D1180" s="50" t="str">
        <f>VLOOKUP(C1180,Product!A$2:B$21,1,0)</f>
        <v>PD0020</v>
      </c>
      <c r="E1180" s="36">
        <v>127</v>
      </c>
      <c r="F1180" s="38">
        <v>35059620</v>
      </c>
      <c r="G1180" s="39" t="s">
        <v>3554</v>
      </c>
      <c r="H1180" s="12"/>
      <c r="L1180" s="12"/>
    </row>
    <row r="1181" spans="1:12" ht="15.75" customHeight="1" x14ac:dyDescent="0.3">
      <c r="A1181" s="29" t="s">
        <v>636</v>
      </c>
      <c r="B1181" s="50" t="str">
        <f>VLOOKUP(A1181,'Sales Order'!A$2:B$1029,1,0)</f>
        <v>SO0398</v>
      </c>
      <c r="C1181" s="29" t="s">
        <v>40</v>
      </c>
      <c r="D1181" s="50" t="str">
        <f>VLOOKUP(C1181,Product!A$2:B$21,1,0)</f>
        <v>PD0006</v>
      </c>
      <c r="E1181" s="36">
        <v>133</v>
      </c>
      <c r="F1181" s="38">
        <v>25573240</v>
      </c>
      <c r="G1181" s="39" t="s">
        <v>3555</v>
      </c>
      <c r="H1181" s="12"/>
      <c r="L1181" s="12"/>
    </row>
    <row r="1182" spans="1:12" ht="15.75" customHeight="1" x14ac:dyDescent="0.3">
      <c r="A1182" s="29" t="s">
        <v>636</v>
      </c>
      <c r="B1182" s="50" t="str">
        <f>VLOOKUP(A1182,'Sales Order'!A$2:B$1029,1,0)</f>
        <v>SO0398</v>
      </c>
      <c r="C1182" s="29" t="s">
        <v>75</v>
      </c>
      <c r="D1182" s="50" t="str">
        <f>VLOOKUP(C1182,Product!A$2:B$21,1,0)</f>
        <v>PD0017</v>
      </c>
      <c r="E1182" s="36">
        <v>46</v>
      </c>
      <c r="F1182" s="38">
        <v>102396000</v>
      </c>
      <c r="G1182" s="39" t="s">
        <v>3556</v>
      </c>
      <c r="H1182" s="12"/>
      <c r="L1182" s="12"/>
    </row>
    <row r="1183" spans="1:12" ht="15.75" customHeight="1" x14ac:dyDescent="0.3">
      <c r="A1183" s="17" t="s">
        <v>637</v>
      </c>
      <c r="B1183" s="50" t="str">
        <f>VLOOKUP(A1183,'Sales Order'!A$2:B$1029,1,0)</f>
        <v>SO0399</v>
      </c>
      <c r="C1183" s="29" t="s">
        <v>55</v>
      </c>
      <c r="D1183" s="50" t="str">
        <f>VLOOKUP(C1183,Product!A$2:B$21,1,0)</f>
        <v>PD0011</v>
      </c>
      <c r="E1183" s="36">
        <v>51</v>
      </c>
      <c r="F1183" s="38">
        <v>99856470</v>
      </c>
      <c r="G1183" s="39" t="s">
        <v>3557</v>
      </c>
      <c r="H1183" s="12"/>
      <c r="L1183" s="12"/>
    </row>
    <row r="1184" spans="1:12" ht="15.75" customHeight="1" x14ac:dyDescent="0.3">
      <c r="A1184" s="29" t="s">
        <v>637</v>
      </c>
      <c r="B1184" s="50" t="str">
        <f>VLOOKUP(A1184,'Sales Order'!A$2:B$1029,1,0)</f>
        <v>SO0399</v>
      </c>
      <c r="C1184" s="29" t="s">
        <v>75</v>
      </c>
      <c r="D1184" s="50" t="str">
        <f>VLOOKUP(C1184,Product!A$2:B$21,1,0)</f>
        <v>PD0017</v>
      </c>
      <c r="E1184" s="36">
        <v>63</v>
      </c>
      <c r="F1184" s="38">
        <v>135229500</v>
      </c>
      <c r="G1184" s="39" t="s">
        <v>3558</v>
      </c>
      <c r="H1184" s="12"/>
      <c r="L1184" s="12"/>
    </row>
    <row r="1185" spans="1:12" ht="15.75" customHeight="1" x14ac:dyDescent="0.3">
      <c r="A1185" s="17" t="s">
        <v>638</v>
      </c>
      <c r="B1185" s="50" t="str">
        <f>VLOOKUP(A1185,'Sales Order'!A$2:B$1029,1,0)</f>
        <v>SO0400</v>
      </c>
      <c r="C1185" s="29" t="s">
        <v>45</v>
      </c>
      <c r="D1185" s="50" t="str">
        <f>VLOOKUP(C1185,Product!A$2:B$21,1,0)</f>
        <v>PD0008</v>
      </c>
      <c r="E1185" s="36">
        <v>82</v>
      </c>
      <c r="F1185" s="38">
        <v>10629660</v>
      </c>
      <c r="G1185" s="39" t="s">
        <v>3559</v>
      </c>
      <c r="H1185" s="12"/>
      <c r="L1185" s="12"/>
    </row>
    <row r="1186" spans="1:12" ht="15.75" customHeight="1" x14ac:dyDescent="0.3">
      <c r="A1186" s="29" t="s">
        <v>638</v>
      </c>
      <c r="B1186" s="50" t="str">
        <f>VLOOKUP(A1186,'Sales Order'!A$2:B$1029,1,0)</f>
        <v>SO0400</v>
      </c>
      <c r="C1186" s="29" t="s">
        <v>19</v>
      </c>
      <c r="D1186" s="50" t="str">
        <f>VLOOKUP(C1186,Product!A$2:B$21,1,0)</f>
        <v>PD0001</v>
      </c>
      <c r="E1186" s="36">
        <v>140</v>
      </c>
      <c r="F1186" s="38">
        <v>32071200</v>
      </c>
      <c r="G1186" s="39" t="s">
        <v>3560</v>
      </c>
      <c r="H1186" s="12"/>
      <c r="L1186" s="12"/>
    </row>
    <row r="1187" spans="1:12" ht="15.75" customHeight="1" x14ac:dyDescent="0.3">
      <c r="A1187" s="29" t="s">
        <v>638</v>
      </c>
      <c r="B1187" s="50" t="str">
        <f>VLOOKUP(A1187,'Sales Order'!A$2:B$1029,1,0)</f>
        <v>SO0400</v>
      </c>
      <c r="C1187" s="29" t="s">
        <v>35</v>
      </c>
      <c r="D1187" s="50" t="str">
        <f>VLOOKUP(C1187,Product!A$2:B$21,1,0)</f>
        <v>PD0005</v>
      </c>
      <c r="E1187" s="36">
        <v>101</v>
      </c>
      <c r="F1187" s="38">
        <v>175139050</v>
      </c>
      <c r="G1187" s="39" t="s">
        <v>3561</v>
      </c>
      <c r="H1187" s="12"/>
      <c r="L1187" s="12"/>
    </row>
    <row r="1188" spans="1:12" ht="15.75" customHeight="1" x14ac:dyDescent="0.3">
      <c r="A1188" s="17" t="s">
        <v>639</v>
      </c>
      <c r="B1188" s="50" t="str">
        <f>VLOOKUP(A1188,'Sales Order'!A$2:B$1029,1,0)</f>
        <v>SO0401</v>
      </c>
      <c r="C1188" s="29" t="s">
        <v>48</v>
      </c>
      <c r="D1188" s="50" t="str">
        <f>VLOOKUP(C1188,Product!A$2:B$21,1,0)</f>
        <v>PD0009</v>
      </c>
      <c r="E1188" s="36">
        <v>94</v>
      </c>
      <c r="F1188" s="38">
        <v>10307100</v>
      </c>
      <c r="G1188" s="39" t="s">
        <v>3562</v>
      </c>
      <c r="H1188" s="12"/>
      <c r="L1188" s="12"/>
    </row>
    <row r="1189" spans="1:12" ht="15.75" customHeight="1" x14ac:dyDescent="0.3">
      <c r="A1189" s="29" t="s">
        <v>639</v>
      </c>
      <c r="B1189" s="50" t="str">
        <f>VLOOKUP(A1189,'Sales Order'!A$2:B$1029,1,0)</f>
        <v>SO0401</v>
      </c>
      <c r="C1189" s="29" t="s">
        <v>35</v>
      </c>
      <c r="D1189" s="50" t="str">
        <f>VLOOKUP(C1189,Product!A$2:B$21,1,0)</f>
        <v>PD0005</v>
      </c>
      <c r="E1189" s="36">
        <v>28</v>
      </c>
      <c r="F1189" s="38">
        <v>51011800</v>
      </c>
      <c r="G1189" s="39" t="s">
        <v>3563</v>
      </c>
      <c r="H1189" s="12"/>
      <c r="L1189" s="12"/>
    </row>
    <row r="1190" spans="1:12" ht="15.75" customHeight="1" x14ac:dyDescent="0.3">
      <c r="A1190" s="17" t="s">
        <v>640</v>
      </c>
      <c r="B1190" s="50" t="str">
        <f>VLOOKUP(A1190,'Sales Order'!A$2:B$1029,1,0)</f>
        <v>SO0402</v>
      </c>
      <c r="C1190" s="29" t="s">
        <v>25</v>
      </c>
      <c r="D1190" s="50" t="str">
        <f>VLOOKUP(C1190,Product!A$2:B$21,1,0)</f>
        <v>PD0002</v>
      </c>
      <c r="E1190" s="36">
        <v>32</v>
      </c>
      <c r="F1190" s="38">
        <v>505600</v>
      </c>
      <c r="G1190" s="39" t="s">
        <v>3564</v>
      </c>
      <c r="H1190" s="12"/>
      <c r="L1190" s="12"/>
    </row>
    <row r="1191" spans="1:12" ht="15.75" customHeight="1" x14ac:dyDescent="0.3">
      <c r="A1191" s="29" t="s">
        <v>640</v>
      </c>
      <c r="B1191" s="50" t="str">
        <f>VLOOKUP(A1191,'Sales Order'!A$2:B$1029,1,0)</f>
        <v>SO0402</v>
      </c>
      <c r="C1191" s="29" t="s">
        <v>78</v>
      </c>
      <c r="D1191" s="50" t="str">
        <f>VLOOKUP(C1191,Product!A$2:B$21,1,0)</f>
        <v>PD0018</v>
      </c>
      <c r="E1191" s="36">
        <v>42</v>
      </c>
      <c r="F1191" s="38">
        <v>21226800</v>
      </c>
      <c r="G1191" s="39" t="s">
        <v>3565</v>
      </c>
      <c r="H1191" s="12"/>
      <c r="L1191" s="12"/>
    </row>
    <row r="1192" spans="1:12" ht="15.75" customHeight="1" x14ac:dyDescent="0.3">
      <c r="A1192" s="29" t="s">
        <v>640</v>
      </c>
      <c r="B1192" s="50" t="str">
        <f>VLOOKUP(A1192,'Sales Order'!A$2:B$1029,1,0)</f>
        <v>SO0402</v>
      </c>
      <c r="C1192" s="29" t="s">
        <v>48</v>
      </c>
      <c r="D1192" s="50" t="str">
        <f>VLOOKUP(C1192,Product!A$2:B$21,1,0)</f>
        <v>PD0009</v>
      </c>
      <c r="E1192" s="36">
        <v>147</v>
      </c>
      <c r="F1192" s="38">
        <v>14222250</v>
      </c>
      <c r="G1192" s="39" t="s">
        <v>3566</v>
      </c>
      <c r="H1192" s="12"/>
      <c r="L1192" s="12"/>
    </row>
    <row r="1193" spans="1:12" ht="15.75" customHeight="1" x14ac:dyDescent="0.3">
      <c r="A1193" s="29" t="s">
        <v>641</v>
      </c>
      <c r="B1193" s="50" t="str">
        <f>VLOOKUP(A1193,'Sales Order'!A$2:B$1029,1,0)</f>
        <v>SO0403</v>
      </c>
      <c r="C1193" s="29" t="s">
        <v>58</v>
      </c>
      <c r="D1193" s="50" t="str">
        <f>VLOOKUP(C1193,Product!A$2:B$21,1,0)</f>
        <v>PD0012</v>
      </c>
      <c r="E1193" s="36">
        <v>48</v>
      </c>
      <c r="F1193" s="38">
        <v>208417440</v>
      </c>
      <c r="G1193" s="39" t="s">
        <v>3567</v>
      </c>
      <c r="H1193" s="12"/>
      <c r="L1193" s="12"/>
    </row>
    <row r="1194" spans="1:12" ht="15.75" customHeight="1" x14ac:dyDescent="0.3">
      <c r="A1194" s="17" t="s">
        <v>642</v>
      </c>
      <c r="B1194" s="50" t="str">
        <f>VLOOKUP(A1194,'Sales Order'!A$2:B$1029,1,0)</f>
        <v>SO0404</v>
      </c>
      <c r="C1194" s="29" t="s">
        <v>19</v>
      </c>
      <c r="D1194" s="50" t="str">
        <f>VLOOKUP(C1194,Product!A$2:B$21,1,0)</f>
        <v>PD0001</v>
      </c>
      <c r="E1194" s="36">
        <v>115</v>
      </c>
      <c r="F1194" s="38">
        <v>24626100</v>
      </c>
      <c r="G1194" s="39" t="s">
        <v>3568</v>
      </c>
      <c r="H1194" s="12"/>
      <c r="L1194" s="12"/>
    </row>
    <row r="1195" spans="1:12" ht="15.75" customHeight="1" x14ac:dyDescent="0.3">
      <c r="A1195" s="29" t="s">
        <v>642</v>
      </c>
      <c r="B1195" s="50" t="str">
        <f>VLOOKUP(A1195,'Sales Order'!A$2:B$1029,1,0)</f>
        <v>SO0404</v>
      </c>
      <c r="C1195" s="29" t="s">
        <v>55</v>
      </c>
      <c r="D1195" s="50" t="str">
        <f>VLOOKUP(C1195,Product!A$2:B$21,1,0)</f>
        <v>PD0011</v>
      </c>
      <c r="E1195" s="36">
        <v>144</v>
      </c>
      <c r="F1195" s="38">
        <v>295535520</v>
      </c>
      <c r="G1195" s="39" t="s">
        <v>3569</v>
      </c>
      <c r="H1195" s="12"/>
      <c r="L1195" s="12"/>
    </row>
    <row r="1196" spans="1:12" ht="15.75" customHeight="1" x14ac:dyDescent="0.3">
      <c r="A1196" s="29" t="s">
        <v>642</v>
      </c>
      <c r="B1196" s="50" t="str">
        <f>VLOOKUP(A1196,'Sales Order'!A$2:B$1029,1,0)</f>
        <v>SO0404</v>
      </c>
      <c r="C1196" s="29" t="s">
        <v>25</v>
      </c>
      <c r="D1196" s="50" t="str">
        <f>VLOOKUP(C1196,Product!A$2:B$21,1,0)</f>
        <v>PD0002</v>
      </c>
      <c r="E1196" s="36">
        <v>26</v>
      </c>
      <c r="F1196" s="38">
        <v>468000</v>
      </c>
      <c r="G1196" s="39" t="s">
        <v>3570</v>
      </c>
      <c r="H1196" s="12"/>
      <c r="L1196" s="12"/>
    </row>
    <row r="1197" spans="1:12" ht="15.75" customHeight="1" x14ac:dyDescent="0.3">
      <c r="A1197" s="17" t="s">
        <v>643</v>
      </c>
      <c r="B1197" s="50" t="str">
        <f>VLOOKUP(A1197,'Sales Order'!A$2:B$1029,1,0)</f>
        <v>SO0405</v>
      </c>
      <c r="C1197" s="29" t="s">
        <v>35</v>
      </c>
      <c r="D1197" s="50" t="str">
        <f>VLOOKUP(C1197,Product!A$2:B$21,1,0)</f>
        <v>PD0005</v>
      </c>
      <c r="E1197" s="36">
        <v>78</v>
      </c>
      <c r="F1197" s="38">
        <v>155801100</v>
      </c>
      <c r="G1197" s="39" t="s">
        <v>3571</v>
      </c>
      <c r="H1197" s="12"/>
      <c r="L1197" s="12"/>
    </row>
    <row r="1198" spans="1:12" ht="15.75" customHeight="1" x14ac:dyDescent="0.3">
      <c r="A1198" s="17" t="s">
        <v>644</v>
      </c>
      <c r="B1198" s="50" t="str">
        <f>VLOOKUP(A1198,'Sales Order'!A$2:B$1029,1,0)</f>
        <v>SO0406</v>
      </c>
      <c r="C1198" s="29" t="s">
        <v>58</v>
      </c>
      <c r="D1198" s="50" t="str">
        <f>VLOOKUP(C1198,Product!A$2:B$21,1,0)</f>
        <v>PD0012</v>
      </c>
      <c r="E1198" s="36">
        <v>150</v>
      </c>
      <c r="F1198" s="38">
        <v>795099000</v>
      </c>
      <c r="G1198" s="39" t="s">
        <v>3572</v>
      </c>
      <c r="H1198" s="12"/>
      <c r="L1198" s="12"/>
    </row>
    <row r="1199" spans="1:12" ht="15.75" customHeight="1" x14ac:dyDescent="0.3">
      <c r="A1199" s="29" t="s">
        <v>644</v>
      </c>
      <c r="B1199" s="50" t="str">
        <f>VLOOKUP(A1199,'Sales Order'!A$2:B$1029,1,0)</f>
        <v>SO0406</v>
      </c>
      <c r="C1199" s="29" t="s">
        <v>65</v>
      </c>
      <c r="D1199" s="50" t="str">
        <f>VLOOKUP(C1199,Product!A$2:B$21,1,0)</f>
        <v>PD0014</v>
      </c>
      <c r="E1199" s="36">
        <v>72</v>
      </c>
      <c r="F1199" s="38">
        <v>17493840</v>
      </c>
      <c r="G1199" s="39" t="s">
        <v>3573</v>
      </c>
      <c r="H1199" s="12"/>
      <c r="L1199" s="12"/>
    </row>
    <row r="1200" spans="1:12" ht="15.75" customHeight="1" x14ac:dyDescent="0.3">
      <c r="A1200" s="29" t="s">
        <v>644</v>
      </c>
      <c r="B1200" s="50" t="str">
        <f>VLOOKUP(A1200,'Sales Order'!A$2:B$1029,1,0)</f>
        <v>SO0406</v>
      </c>
      <c r="C1200" s="29" t="s">
        <v>52</v>
      </c>
      <c r="D1200" s="50" t="str">
        <f>VLOOKUP(C1200,Product!A$2:B$21,1,0)</f>
        <v>PD0010</v>
      </c>
      <c r="E1200" s="36">
        <v>33</v>
      </c>
      <c r="F1200" s="38">
        <v>9759750</v>
      </c>
      <c r="G1200" s="39" t="s">
        <v>3574</v>
      </c>
      <c r="H1200" s="12"/>
      <c r="L1200" s="12"/>
    </row>
    <row r="1201" spans="1:12" ht="15.75" customHeight="1" x14ac:dyDescent="0.3">
      <c r="A1201" s="29" t="s">
        <v>644</v>
      </c>
      <c r="B1201" s="50" t="str">
        <f>VLOOKUP(A1201,'Sales Order'!A$2:B$1029,1,0)</f>
        <v>SO0406</v>
      </c>
      <c r="C1201" s="29" t="s">
        <v>43</v>
      </c>
      <c r="D1201" s="50" t="str">
        <f>VLOOKUP(C1201,Product!A$2:B$21,1,0)</f>
        <v>PD0007</v>
      </c>
      <c r="E1201" s="36">
        <v>114</v>
      </c>
      <c r="F1201" s="38">
        <v>313728000</v>
      </c>
      <c r="G1201" s="39" t="s">
        <v>3575</v>
      </c>
      <c r="H1201" s="12"/>
      <c r="L1201" s="12"/>
    </row>
    <row r="1202" spans="1:12" ht="15.75" customHeight="1" x14ac:dyDescent="0.3">
      <c r="A1202" s="17" t="s">
        <v>645</v>
      </c>
      <c r="B1202" s="50" t="str">
        <f>VLOOKUP(A1202,'Sales Order'!A$2:B$1029,1,0)</f>
        <v>SO0407</v>
      </c>
      <c r="C1202" s="29" t="s">
        <v>72</v>
      </c>
      <c r="D1202" s="50" t="str">
        <f>VLOOKUP(C1202,Product!A$2:B$21,1,0)</f>
        <v>PD0016</v>
      </c>
      <c r="E1202" s="36">
        <v>123</v>
      </c>
      <c r="F1202" s="38">
        <v>30542129.999999996</v>
      </c>
      <c r="G1202" s="39" t="s">
        <v>3576</v>
      </c>
      <c r="H1202" s="12"/>
      <c r="L1202" s="12"/>
    </row>
    <row r="1203" spans="1:12" ht="15.75" customHeight="1" x14ac:dyDescent="0.3">
      <c r="A1203" s="29" t="s">
        <v>645</v>
      </c>
      <c r="B1203" s="50" t="str">
        <f>VLOOKUP(A1203,'Sales Order'!A$2:B$1029,1,0)</f>
        <v>SO0407</v>
      </c>
      <c r="C1203" s="29" t="s">
        <v>55</v>
      </c>
      <c r="D1203" s="50" t="str">
        <f>VLOOKUP(C1203,Product!A$2:B$21,1,0)</f>
        <v>PD0011</v>
      </c>
      <c r="E1203" s="36">
        <v>78</v>
      </c>
      <c r="F1203" s="38">
        <v>152721660</v>
      </c>
      <c r="G1203" s="39" t="s">
        <v>3577</v>
      </c>
      <c r="H1203" s="12"/>
      <c r="L1203" s="12"/>
    </row>
    <row r="1204" spans="1:12" ht="15.75" customHeight="1" x14ac:dyDescent="0.3">
      <c r="A1204" s="29" t="s">
        <v>645</v>
      </c>
      <c r="B1204" s="50" t="str">
        <f>VLOOKUP(A1204,'Sales Order'!A$2:B$1029,1,0)</f>
        <v>SO0407</v>
      </c>
      <c r="C1204" s="29" t="s">
        <v>48</v>
      </c>
      <c r="D1204" s="50" t="str">
        <f>VLOOKUP(C1204,Product!A$2:B$21,1,0)</f>
        <v>PD0009</v>
      </c>
      <c r="E1204" s="36">
        <v>139</v>
      </c>
      <c r="F1204" s="38">
        <v>15958590</v>
      </c>
      <c r="G1204" s="39" t="s">
        <v>3578</v>
      </c>
      <c r="H1204" s="12"/>
      <c r="L1204" s="12"/>
    </row>
    <row r="1205" spans="1:12" ht="15.75" customHeight="1" x14ac:dyDescent="0.3">
      <c r="A1205" s="29" t="s">
        <v>645</v>
      </c>
      <c r="B1205" s="50" t="str">
        <f>VLOOKUP(A1205,'Sales Order'!A$2:B$1029,1,0)</f>
        <v>SO0407</v>
      </c>
      <c r="C1205" s="29" t="s">
        <v>33</v>
      </c>
      <c r="D1205" s="50" t="str">
        <f>VLOOKUP(C1205,Product!A$2:B$21,1,0)</f>
        <v>PD0004</v>
      </c>
      <c r="E1205" s="36">
        <v>38</v>
      </c>
      <c r="F1205" s="38">
        <v>6437200</v>
      </c>
      <c r="G1205" s="39" t="s">
        <v>3579</v>
      </c>
      <c r="H1205" s="12"/>
      <c r="L1205" s="12"/>
    </row>
    <row r="1206" spans="1:12" ht="15.75" customHeight="1" x14ac:dyDescent="0.3">
      <c r="A1206" s="29" t="s">
        <v>646</v>
      </c>
      <c r="B1206" s="50" t="str">
        <f>VLOOKUP(A1206,'Sales Order'!A$2:B$1029,1,0)</f>
        <v>SO0408</v>
      </c>
      <c r="C1206" s="29" t="s">
        <v>72</v>
      </c>
      <c r="D1206" s="50" t="str">
        <f>VLOOKUP(C1206,Product!A$2:B$21,1,0)</f>
        <v>PD0016</v>
      </c>
      <c r="E1206" s="36">
        <v>48</v>
      </c>
      <c r="F1206" s="38">
        <v>9612000</v>
      </c>
      <c r="G1206" s="39" t="s">
        <v>3580</v>
      </c>
      <c r="H1206" s="12"/>
      <c r="L1206" s="12"/>
    </row>
    <row r="1207" spans="1:12" ht="15.75" customHeight="1" x14ac:dyDescent="0.3">
      <c r="A1207" s="29" t="s">
        <v>646</v>
      </c>
      <c r="B1207" s="50" t="str">
        <f>VLOOKUP(A1207,'Sales Order'!A$2:B$1029,1,0)</f>
        <v>SO0408</v>
      </c>
      <c r="C1207" s="29" t="s">
        <v>45</v>
      </c>
      <c r="D1207" s="50" t="str">
        <f>VLOOKUP(C1207,Product!A$2:B$21,1,0)</f>
        <v>PD0008</v>
      </c>
      <c r="E1207" s="36">
        <v>90</v>
      </c>
      <c r="F1207" s="38">
        <v>12337200</v>
      </c>
      <c r="G1207" s="39" t="s">
        <v>3581</v>
      </c>
      <c r="H1207" s="12"/>
      <c r="L1207" s="12"/>
    </row>
    <row r="1208" spans="1:12" ht="15.75" customHeight="1" x14ac:dyDescent="0.3">
      <c r="A1208" s="17" t="s">
        <v>647</v>
      </c>
      <c r="B1208" s="50" t="str">
        <f>VLOOKUP(A1208,'Sales Order'!A$2:B$1029,1,0)</f>
        <v>SO0409</v>
      </c>
      <c r="C1208" s="29" t="s">
        <v>40</v>
      </c>
      <c r="D1208" s="50" t="str">
        <f>VLOOKUP(C1208,Product!A$2:B$21,1,0)</f>
        <v>PD0006</v>
      </c>
      <c r="E1208" s="36">
        <v>94</v>
      </c>
      <c r="F1208" s="38">
        <v>15716800</v>
      </c>
      <c r="G1208" s="39" t="s">
        <v>3582</v>
      </c>
      <c r="H1208" s="12"/>
      <c r="L1208" s="12"/>
    </row>
    <row r="1209" spans="1:12" ht="15.75" customHeight="1" x14ac:dyDescent="0.3">
      <c r="A1209" s="29" t="s">
        <v>647</v>
      </c>
      <c r="B1209" s="50" t="str">
        <f>VLOOKUP(A1209,'Sales Order'!A$2:B$1029,1,0)</f>
        <v>SO0409</v>
      </c>
      <c r="C1209" s="29" t="s">
        <v>45</v>
      </c>
      <c r="D1209" s="50" t="str">
        <f>VLOOKUP(C1209,Product!A$2:B$21,1,0)</f>
        <v>PD0008</v>
      </c>
      <c r="E1209" s="36">
        <v>60</v>
      </c>
      <c r="F1209" s="38">
        <v>8314199.9999999991</v>
      </c>
      <c r="G1209" s="39" t="s">
        <v>3583</v>
      </c>
      <c r="H1209" s="12"/>
      <c r="L1209" s="12"/>
    </row>
    <row r="1210" spans="1:12" ht="15.75" customHeight="1" x14ac:dyDescent="0.3">
      <c r="A1210" s="29" t="s">
        <v>648</v>
      </c>
      <c r="B1210" s="50" t="str">
        <f>VLOOKUP(A1210,'Sales Order'!A$2:B$1029,1,0)</f>
        <v>SO0410</v>
      </c>
      <c r="C1210" s="29" t="s">
        <v>52</v>
      </c>
      <c r="D1210" s="50" t="str">
        <f>VLOOKUP(C1210,Product!A$2:B$21,1,0)</f>
        <v>PD0010</v>
      </c>
      <c r="E1210" s="36">
        <v>95</v>
      </c>
      <c r="F1210" s="38">
        <v>26552500</v>
      </c>
      <c r="G1210" s="39" t="s">
        <v>3584</v>
      </c>
      <c r="H1210" s="12"/>
      <c r="L1210" s="12"/>
    </row>
    <row r="1211" spans="1:12" ht="15.75" customHeight="1" x14ac:dyDescent="0.3">
      <c r="A1211" s="17" t="s">
        <v>649</v>
      </c>
      <c r="B1211" s="50" t="str">
        <f>VLOOKUP(A1211,'Sales Order'!A$2:B$1029,1,0)</f>
        <v>SO0411</v>
      </c>
      <c r="C1211" s="29" t="s">
        <v>81</v>
      </c>
      <c r="D1211" s="50" t="str">
        <f>VLOOKUP(C1211,Product!A$2:B$21,1,0)</f>
        <v>PD0019</v>
      </c>
      <c r="E1211" s="36">
        <v>29</v>
      </c>
      <c r="F1211" s="38">
        <v>66528900</v>
      </c>
      <c r="G1211" s="39" t="s">
        <v>3585</v>
      </c>
      <c r="H1211" s="12"/>
      <c r="L1211" s="12"/>
    </row>
    <row r="1212" spans="1:12" ht="15.75" customHeight="1" x14ac:dyDescent="0.3">
      <c r="A1212" s="29" t="s">
        <v>649</v>
      </c>
      <c r="B1212" s="50" t="str">
        <f>VLOOKUP(A1212,'Sales Order'!A$2:B$1029,1,0)</f>
        <v>SO0411</v>
      </c>
      <c r="C1212" s="29" t="s">
        <v>40</v>
      </c>
      <c r="D1212" s="50" t="str">
        <f>VLOOKUP(C1212,Product!A$2:B$21,1,0)</f>
        <v>PD0006</v>
      </c>
      <c r="E1212" s="36">
        <v>81</v>
      </c>
      <c r="F1212" s="38">
        <v>15236100</v>
      </c>
      <c r="G1212" s="39" t="s">
        <v>3586</v>
      </c>
      <c r="H1212" s="12"/>
      <c r="L1212" s="12"/>
    </row>
    <row r="1213" spans="1:12" ht="15.75" customHeight="1" x14ac:dyDescent="0.3">
      <c r="A1213" s="17" t="s">
        <v>650</v>
      </c>
      <c r="B1213" s="50" t="str">
        <f>VLOOKUP(A1213,'Sales Order'!A$2:B$1029,1,0)</f>
        <v>SO0412</v>
      </c>
      <c r="C1213" s="29" t="s">
        <v>83</v>
      </c>
      <c r="D1213" s="50" t="str">
        <f>VLOOKUP(C1213,Product!A$2:B$21,1,0)</f>
        <v>PD0020</v>
      </c>
      <c r="E1213" s="36">
        <v>126</v>
      </c>
      <c r="F1213" s="38">
        <v>30334500</v>
      </c>
      <c r="G1213" s="39" t="s">
        <v>3587</v>
      </c>
      <c r="H1213" s="12"/>
      <c r="L1213" s="12"/>
    </row>
    <row r="1214" spans="1:12" ht="15.75" customHeight="1" x14ac:dyDescent="0.3">
      <c r="A1214" s="29" t="s">
        <v>650</v>
      </c>
      <c r="B1214" s="50" t="str">
        <f>VLOOKUP(A1214,'Sales Order'!A$2:B$1029,1,0)</f>
        <v>SO0412</v>
      </c>
      <c r="C1214" s="29" t="s">
        <v>72</v>
      </c>
      <c r="D1214" s="50" t="str">
        <f>VLOOKUP(C1214,Product!A$2:B$21,1,0)</f>
        <v>PD0016</v>
      </c>
      <c r="E1214" s="36">
        <v>60</v>
      </c>
      <c r="F1214" s="38">
        <v>14578200</v>
      </c>
      <c r="G1214" s="39" t="s">
        <v>3588</v>
      </c>
      <c r="H1214" s="12"/>
      <c r="L1214" s="12"/>
    </row>
    <row r="1215" spans="1:12" ht="15.75" customHeight="1" x14ac:dyDescent="0.3">
      <c r="A1215" s="29" t="s">
        <v>650</v>
      </c>
      <c r="B1215" s="50" t="str">
        <f>VLOOKUP(A1215,'Sales Order'!A$2:B$1029,1,0)</f>
        <v>SO0412</v>
      </c>
      <c r="C1215" s="29" t="s">
        <v>55</v>
      </c>
      <c r="D1215" s="50" t="str">
        <f>VLOOKUP(C1215,Product!A$2:B$21,1,0)</f>
        <v>PD0011</v>
      </c>
      <c r="E1215" s="36">
        <v>87</v>
      </c>
      <c r="F1215" s="38">
        <v>164186400</v>
      </c>
      <c r="G1215" s="39" t="s">
        <v>3589</v>
      </c>
      <c r="H1215" s="12"/>
      <c r="L1215" s="12"/>
    </row>
    <row r="1216" spans="1:12" ht="15.75" customHeight="1" x14ac:dyDescent="0.3">
      <c r="A1216" s="29" t="s">
        <v>651</v>
      </c>
      <c r="B1216" s="50" t="str">
        <f>VLOOKUP(A1216,'Sales Order'!A$2:B$1029,1,0)</f>
        <v>SO0413</v>
      </c>
      <c r="C1216" s="29" t="s">
        <v>52</v>
      </c>
      <c r="D1216" s="50" t="str">
        <f>VLOOKUP(C1216,Product!A$2:B$21,1,0)</f>
        <v>PD0010</v>
      </c>
      <c r="E1216" s="36">
        <v>25</v>
      </c>
      <c r="F1216" s="38">
        <v>6825000</v>
      </c>
      <c r="G1216" s="39" t="s">
        <v>3590</v>
      </c>
      <c r="H1216" s="12"/>
      <c r="L1216" s="12"/>
    </row>
    <row r="1217" spans="1:12" ht="15.75" customHeight="1" x14ac:dyDescent="0.3">
      <c r="A1217" s="29" t="s">
        <v>651</v>
      </c>
      <c r="B1217" s="50" t="str">
        <f>VLOOKUP(A1217,'Sales Order'!A$2:B$1029,1,0)</f>
        <v>SO0413</v>
      </c>
      <c r="C1217" s="29" t="s">
        <v>81</v>
      </c>
      <c r="D1217" s="50" t="str">
        <f>VLOOKUP(C1217,Product!A$2:B$21,1,0)</f>
        <v>PD0019</v>
      </c>
      <c r="E1217" s="36">
        <v>135</v>
      </c>
      <c r="F1217" s="38">
        <v>292497750</v>
      </c>
      <c r="G1217" s="39" t="s">
        <v>3591</v>
      </c>
      <c r="H1217" s="12"/>
      <c r="L1217" s="12"/>
    </row>
    <row r="1218" spans="1:12" ht="15.75" customHeight="1" x14ac:dyDescent="0.3">
      <c r="A1218" s="17" t="s">
        <v>652</v>
      </c>
      <c r="B1218" s="50" t="str">
        <f>VLOOKUP(A1218,'Sales Order'!A$2:B$1029,1,0)</f>
        <v>SO0414</v>
      </c>
      <c r="C1218" s="29" t="s">
        <v>40</v>
      </c>
      <c r="D1218" s="50" t="str">
        <f>VLOOKUP(C1218,Product!A$2:B$21,1,0)</f>
        <v>PD0006</v>
      </c>
      <c r="E1218" s="36">
        <v>53</v>
      </c>
      <c r="F1218" s="38">
        <v>8640060</v>
      </c>
      <c r="G1218" s="39" t="s">
        <v>3592</v>
      </c>
      <c r="H1218" s="12"/>
      <c r="L1218" s="12"/>
    </row>
    <row r="1219" spans="1:12" ht="15.75" customHeight="1" x14ac:dyDescent="0.3">
      <c r="A1219" s="29" t="s">
        <v>652</v>
      </c>
      <c r="B1219" s="50" t="str">
        <f>VLOOKUP(A1219,'Sales Order'!A$2:B$1029,1,0)</f>
        <v>SO0414</v>
      </c>
      <c r="C1219" s="29" t="s">
        <v>55</v>
      </c>
      <c r="D1219" s="50" t="str">
        <f>VLOOKUP(C1219,Product!A$2:B$21,1,0)</f>
        <v>PD0011</v>
      </c>
      <c r="E1219" s="36">
        <v>124</v>
      </c>
      <c r="F1219" s="38">
        <v>239863120.00000003</v>
      </c>
      <c r="G1219" s="39" t="s">
        <v>3593</v>
      </c>
      <c r="H1219" s="12"/>
      <c r="L1219" s="12"/>
    </row>
    <row r="1220" spans="1:12" ht="15.75" customHeight="1" x14ac:dyDescent="0.3">
      <c r="A1220" s="17" t="s">
        <v>653</v>
      </c>
      <c r="B1220" s="50" t="str">
        <f>VLOOKUP(A1220,'Sales Order'!A$2:B$1029,1,0)</f>
        <v>SO0415</v>
      </c>
      <c r="C1220" s="29" t="s">
        <v>58</v>
      </c>
      <c r="D1220" s="50" t="str">
        <f>VLOOKUP(C1220,Product!A$2:B$21,1,0)</f>
        <v>PD0012</v>
      </c>
      <c r="E1220" s="36">
        <v>145</v>
      </c>
      <c r="F1220" s="38">
        <v>760419150</v>
      </c>
      <c r="G1220" s="39" t="s">
        <v>3594</v>
      </c>
      <c r="H1220" s="12"/>
      <c r="L1220" s="12"/>
    </row>
    <row r="1221" spans="1:12" ht="15.75" customHeight="1" x14ac:dyDescent="0.3">
      <c r="A1221" s="29" t="s">
        <v>653</v>
      </c>
      <c r="B1221" s="50" t="str">
        <f>VLOOKUP(A1221,'Sales Order'!A$2:B$1029,1,0)</f>
        <v>SO0415</v>
      </c>
      <c r="C1221" s="29" t="s">
        <v>61</v>
      </c>
      <c r="D1221" s="50" t="str">
        <f>VLOOKUP(C1221,Product!A$2:B$21,1,0)</f>
        <v>PD0013</v>
      </c>
      <c r="E1221" s="36">
        <v>66</v>
      </c>
      <c r="F1221" s="38">
        <v>25291200</v>
      </c>
      <c r="G1221" s="39" t="s">
        <v>3595</v>
      </c>
      <c r="H1221" s="12"/>
      <c r="L1221" s="12"/>
    </row>
    <row r="1222" spans="1:12" ht="15.75" customHeight="1" x14ac:dyDescent="0.3">
      <c r="A1222" s="29" t="s">
        <v>653</v>
      </c>
      <c r="B1222" s="50" t="str">
        <f>VLOOKUP(A1222,'Sales Order'!A$2:B$1029,1,0)</f>
        <v>SO0415</v>
      </c>
      <c r="C1222" s="29" t="s">
        <v>69</v>
      </c>
      <c r="D1222" s="50" t="str">
        <f>VLOOKUP(C1222,Product!A$2:B$21,1,0)</f>
        <v>PD0015</v>
      </c>
      <c r="E1222" s="36">
        <v>101</v>
      </c>
      <c r="F1222" s="38">
        <v>10706202</v>
      </c>
      <c r="G1222" s="39" t="s">
        <v>3596</v>
      </c>
      <c r="H1222" s="12"/>
      <c r="L1222" s="12"/>
    </row>
    <row r="1223" spans="1:12" ht="15.75" customHeight="1" x14ac:dyDescent="0.3">
      <c r="A1223" s="17" t="s">
        <v>654</v>
      </c>
      <c r="B1223" s="50" t="str">
        <f>VLOOKUP(A1223,'Sales Order'!A$2:B$1029,1,0)</f>
        <v>SO0416</v>
      </c>
      <c r="C1223" s="29" t="s">
        <v>25</v>
      </c>
      <c r="D1223" s="50" t="str">
        <f>VLOOKUP(C1223,Product!A$2:B$21,1,0)</f>
        <v>PD0002</v>
      </c>
      <c r="E1223" s="36">
        <v>103</v>
      </c>
      <c r="F1223" s="38">
        <v>1936400</v>
      </c>
      <c r="G1223" s="39" t="s">
        <v>3597</v>
      </c>
      <c r="H1223" s="12"/>
      <c r="L1223" s="12"/>
    </row>
    <row r="1224" spans="1:12" ht="15.75" customHeight="1" x14ac:dyDescent="0.3">
      <c r="A1224" s="29" t="s">
        <v>654</v>
      </c>
      <c r="B1224" s="50" t="str">
        <f>VLOOKUP(A1224,'Sales Order'!A$2:B$1029,1,0)</f>
        <v>SO0416</v>
      </c>
      <c r="C1224" s="29" t="s">
        <v>75</v>
      </c>
      <c r="D1224" s="50" t="str">
        <f>VLOOKUP(C1224,Product!A$2:B$21,1,0)</f>
        <v>PD0017</v>
      </c>
      <c r="E1224" s="36">
        <v>53</v>
      </c>
      <c r="F1224" s="38">
        <v>127809500</v>
      </c>
      <c r="G1224" s="39" t="s">
        <v>3598</v>
      </c>
      <c r="H1224" s="12"/>
      <c r="L1224" s="12"/>
    </row>
    <row r="1225" spans="1:12" ht="15.75" customHeight="1" x14ac:dyDescent="0.3">
      <c r="A1225" s="29" t="s">
        <v>654</v>
      </c>
      <c r="B1225" s="50" t="str">
        <f>VLOOKUP(A1225,'Sales Order'!A$2:B$1029,1,0)</f>
        <v>SO0416</v>
      </c>
      <c r="C1225" s="29" t="s">
        <v>40</v>
      </c>
      <c r="D1225" s="50" t="str">
        <f>VLOOKUP(C1225,Product!A$2:B$21,1,0)</f>
        <v>PD0006</v>
      </c>
      <c r="E1225" s="36">
        <v>61</v>
      </c>
      <c r="F1225" s="38">
        <v>12111550</v>
      </c>
      <c r="G1225" s="39" t="s">
        <v>3599</v>
      </c>
      <c r="H1225" s="12"/>
      <c r="L1225" s="12"/>
    </row>
    <row r="1226" spans="1:12" ht="15.75" customHeight="1" x14ac:dyDescent="0.3">
      <c r="A1226" s="17" t="s">
        <v>655</v>
      </c>
      <c r="B1226" s="50" t="str">
        <f>VLOOKUP(A1226,'Sales Order'!A$2:B$1029,1,0)</f>
        <v>SO0417</v>
      </c>
      <c r="C1226" s="29" t="s">
        <v>45</v>
      </c>
      <c r="D1226" s="50" t="str">
        <f>VLOOKUP(C1226,Product!A$2:B$21,1,0)</f>
        <v>PD0008</v>
      </c>
      <c r="E1226" s="36">
        <v>82</v>
      </c>
      <c r="F1226" s="38">
        <v>10507480</v>
      </c>
      <c r="G1226" s="39" t="s">
        <v>3600</v>
      </c>
      <c r="H1226" s="12"/>
      <c r="L1226" s="12"/>
    </row>
    <row r="1227" spans="1:12" ht="15.75" customHeight="1" x14ac:dyDescent="0.3">
      <c r="A1227" s="29" t="s">
        <v>655</v>
      </c>
      <c r="B1227" s="50" t="str">
        <f>VLOOKUP(A1227,'Sales Order'!A$2:B$1029,1,0)</f>
        <v>SO0417</v>
      </c>
      <c r="C1227" s="29" t="s">
        <v>19</v>
      </c>
      <c r="D1227" s="50" t="str">
        <f>VLOOKUP(C1227,Product!A$2:B$21,1,0)</f>
        <v>PD0001</v>
      </c>
      <c r="E1227" s="36">
        <v>42</v>
      </c>
      <c r="F1227" s="38">
        <v>8366400</v>
      </c>
      <c r="G1227" s="39" t="s">
        <v>3601</v>
      </c>
      <c r="H1227" s="12"/>
      <c r="L1227" s="12"/>
    </row>
    <row r="1228" spans="1:12" ht="15.75" customHeight="1" x14ac:dyDescent="0.3">
      <c r="A1228" s="29" t="s">
        <v>655</v>
      </c>
      <c r="B1228" s="50" t="str">
        <f>VLOOKUP(A1228,'Sales Order'!A$2:B$1029,1,0)</f>
        <v>SO0417</v>
      </c>
      <c r="C1228" s="29" t="s">
        <v>25</v>
      </c>
      <c r="D1228" s="50" t="str">
        <f>VLOOKUP(C1228,Product!A$2:B$21,1,0)</f>
        <v>PD0002</v>
      </c>
      <c r="E1228" s="36">
        <v>38</v>
      </c>
      <c r="F1228" s="38">
        <v>577600</v>
      </c>
      <c r="G1228" s="39" t="s">
        <v>3602</v>
      </c>
      <c r="H1228" s="12"/>
      <c r="L1228" s="12"/>
    </row>
    <row r="1229" spans="1:12" ht="15.75" customHeight="1" x14ac:dyDescent="0.3">
      <c r="A1229" s="17" t="s">
        <v>656</v>
      </c>
      <c r="B1229" s="50" t="str">
        <f>VLOOKUP(A1229,'Sales Order'!A$2:B$1029,1,0)</f>
        <v>SO0418</v>
      </c>
      <c r="C1229" s="29" t="s">
        <v>69</v>
      </c>
      <c r="D1229" s="50" t="str">
        <f>VLOOKUP(C1229,Product!A$2:B$21,1,0)</f>
        <v>PD0015</v>
      </c>
      <c r="E1229" s="36">
        <v>66</v>
      </c>
      <c r="F1229" s="38">
        <v>6816744</v>
      </c>
      <c r="G1229" s="39" t="s">
        <v>3603</v>
      </c>
      <c r="H1229" s="12"/>
      <c r="L1229" s="12"/>
    </row>
    <row r="1230" spans="1:12" ht="15.75" customHeight="1" x14ac:dyDescent="0.3">
      <c r="A1230" s="17" t="s">
        <v>657</v>
      </c>
      <c r="B1230" s="50" t="str">
        <f>VLOOKUP(A1230,'Sales Order'!A$2:B$1029,1,0)</f>
        <v>SO0419</v>
      </c>
      <c r="C1230" s="29" t="s">
        <v>81</v>
      </c>
      <c r="D1230" s="50" t="str">
        <f>VLOOKUP(C1230,Product!A$2:B$21,1,0)</f>
        <v>PD0019</v>
      </c>
      <c r="E1230" s="36">
        <v>111</v>
      </c>
      <c r="F1230" s="38">
        <v>263133269.99999997</v>
      </c>
      <c r="G1230" s="39" t="s">
        <v>3604</v>
      </c>
      <c r="H1230" s="12"/>
      <c r="L1230" s="12"/>
    </row>
    <row r="1231" spans="1:12" ht="15.75" customHeight="1" x14ac:dyDescent="0.3">
      <c r="A1231" s="29" t="s">
        <v>657</v>
      </c>
      <c r="B1231" s="50" t="str">
        <f>VLOOKUP(A1231,'Sales Order'!A$2:B$1029,1,0)</f>
        <v>SO0419</v>
      </c>
      <c r="C1231" s="29" t="s">
        <v>72</v>
      </c>
      <c r="D1231" s="50" t="str">
        <f>VLOOKUP(C1231,Product!A$2:B$21,1,0)</f>
        <v>PD0016</v>
      </c>
      <c r="E1231" s="36">
        <v>111</v>
      </c>
      <c r="F1231" s="38">
        <v>27562410</v>
      </c>
      <c r="G1231" s="39" t="s">
        <v>3605</v>
      </c>
      <c r="H1231" s="12"/>
      <c r="L1231" s="12"/>
    </row>
    <row r="1232" spans="1:12" ht="15.75" customHeight="1" x14ac:dyDescent="0.3">
      <c r="A1232" s="29" t="s">
        <v>657</v>
      </c>
      <c r="B1232" s="50" t="str">
        <f>VLOOKUP(A1232,'Sales Order'!A$2:B$1029,1,0)</f>
        <v>SO0419</v>
      </c>
      <c r="C1232" s="29" t="s">
        <v>83</v>
      </c>
      <c r="D1232" s="50" t="str">
        <f>VLOOKUP(C1232,Product!A$2:B$21,1,0)</f>
        <v>PD0020</v>
      </c>
      <c r="E1232" s="36">
        <v>81</v>
      </c>
      <c r="F1232" s="38">
        <v>20540790</v>
      </c>
      <c r="G1232" s="39" t="s">
        <v>3606</v>
      </c>
      <c r="H1232" s="12"/>
      <c r="L1232" s="12"/>
    </row>
    <row r="1233" spans="1:12" ht="15.75" customHeight="1" x14ac:dyDescent="0.3">
      <c r="A1233" s="29" t="s">
        <v>657</v>
      </c>
      <c r="B1233" s="50" t="str">
        <f>VLOOKUP(A1233,'Sales Order'!A$2:B$1029,1,0)</f>
        <v>SO0419</v>
      </c>
      <c r="C1233" s="29" t="s">
        <v>48</v>
      </c>
      <c r="D1233" s="50" t="str">
        <f>VLOOKUP(C1233,Product!A$2:B$21,1,0)</f>
        <v>PD0009</v>
      </c>
      <c r="E1233" s="36">
        <v>150</v>
      </c>
      <c r="F1233" s="38">
        <v>15867000.000000002</v>
      </c>
      <c r="G1233" s="39" t="s">
        <v>3607</v>
      </c>
      <c r="H1233" s="12"/>
      <c r="L1233" s="12"/>
    </row>
    <row r="1234" spans="1:12" ht="15.75" customHeight="1" x14ac:dyDescent="0.3">
      <c r="A1234" s="29" t="s">
        <v>657</v>
      </c>
      <c r="B1234" s="50" t="str">
        <f>VLOOKUP(A1234,'Sales Order'!A$2:B$1029,1,0)</f>
        <v>SO0419</v>
      </c>
      <c r="C1234" s="29" t="s">
        <v>43</v>
      </c>
      <c r="D1234" s="50" t="str">
        <f>VLOOKUP(C1234,Product!A$2:B$21,1,0)</f>
        <v>PD0007</v>
      </c>
      <c r="E1234" s="36">
        <v>35</v>
      </c>
      <c r="F1234" s="38">
        <v>87360000</v>
      </c>
      <c r="G1234" s="39" t="s">
        <v>3608</v>
      </c>
      <c r="H1234" s="12"/>
      <c r="L1234" s="12"/>
    </row>
    <row r="1235" spans="1:12" ht="15.75" customHeight="1" x14ac:dyDescent="0.3">
      <c r="A1235" s="29" t="s">
        <v>658</v>
      </c>
      <c r="B1235" s="50" t="str">
        <f>VLOOKUP(A1235,'Sales Order'!A$2:B$1029,1,0)</f>
        <v>SO0420</v>
      </c>
      <c r="C1235" s="29" t="s">
        <v>33</v>
      </c>
      <c r="D1235" s="50" t="str">
        <f>VLOOKUP(C1235,Product!A$2:B$21,1,0)</f>
        <v>PD0004</v>
      </c>
      <c r="E1235" s="36">
        <v>128</v>
      </c>
      <c r="F1235" s="38">
        <v>26188800</v>
      </c>
      <c r="G1235" s="39" t="s">
        <v>3609</v>
      </c>
      <c r="H1235" s="12"/>
      <c r="L1235" s="12"/>
    </row>
    <row r="1236" spans="1:12" ht="15.75" customHeight="1" x14ac:dyDescent="0.3">
      <c r="A1236" s="29" t="s">
        <v>658</v>
      </c>
      <c r="B1236" s="50" t="str">
        <f>VLOOKUP(A1236,'Sales Order'!A$2:B$1029,1,0)</f>
        <v>SO0420</v>
      </c>
      <c r="C1236" s="29" t="s">
        <v>69</v>
      </c>
      <c r="D1236" s="50" t="str">
        <f>VLOOKUP(C1236,Product!A$2:B$21,1,0)</f>
        <v>PD0015</v>
      </c>
      <c r="E1236" s="36">
        <v>70</v>
      </c>
      <c r="F1236" s="38">
        <v>7229880</v>
      </c>
      <c r="G1236" s="39" t="s">
        <v>3610</v>
      </c>
      <c r="H1236" s="12"/>
      <c r="L1236" s="12"/>
    </row>
    <row r="1237" spans="1:12" ht="15.75" customHeight="1" x14ac:dyDescent="0.3">
      <c r="A1237" s="17" t="s">
        <v>659</v>
      </c>
      <c r="B1237" s="50" t="str">
        <f>VLOOKUP(A1237,'Sales Order'!A$2:B$1029,1,0)</f>
        <v>SO0421</v>
      </c>
      <c r="C1237" s="29" t="s">
        <v>19</v>
      </c>
      <c r="D1237" s="50" t="str">
        <f>VLOOKUP(C1237,Product!A$2:B$21,1,0)</f>
        <v>PD0001</v>
      </c>
      <c r="E1237" s="36">
        <v>53</v>
      </c>
      <c r="F1237" s="38">
        <v>9897750</v>
      </c>
      <c r="G1237" s="39" t="s">
        <v>3611</v>
      </c>
      <c r="H1237" s="12"/>
      <c r="L1237" s="12"/>
    </row>
    <row r="1238" spans="1:12" ht="15.75" customHeight="1" x14ac:dyDescent="0.3">
      <c r="A1238" s="29" t="s">
        <v>659</v>
      </c>
      <c r="B1238" s="50" t="str">
        <f>VLOOKUP(A1238,'Sales Order'!A$2:B$1029,1,0)</f>
        <v>SO0421</v>
      </c>
      <c r="C1238" s="29" t="s">
        <v>55</v>
      </c>
      <c r="D1238" s="50" t="str">
        <f>VLOOKUP(C1238,Product!A$2:B$21,1,0)</f>
        <v>PD0011</v>
      </c>
      <c r="E1238" s="36">
        <v>26</v>
      </c>
      <c r="F1238" s="38">
        <v>53973920</v>
      </c>
      <c r="G1238" s="39" t="s">
        <v>3612</v>
      </c>
      <c r="H1238" s="12"/>
      <c r="L1238" s="12"/>
    </row>
    <row r="1239" spans="1:12" ht="15.75" customHeight="1" x14ac:dyDescent="0.3">
      <c r="A1239" s="29" t="s">
        <v>659</v>
      </c>
      <c r="B1239" s="50" t="str">
        <f>VLOOKUP(A1239,'Sales Order'!A$2:B$1029,1,0)</f>
        <v>SO0421</v>
      </c>
      <c r="C1239" s="29" t="s">
        <v>65</v>
      </c>
      <c r="D1239" s="50" t="str">
        <f>VLOOKUP(C1239,Product!A$2:B$21,1,0)</f>
        <v>PD0014</v>
      </c>
      <c r="E1239" s="36">
        <v>59</v>
      </c>
      <c r="F1239" s="38">
        <v>13232520</v>
      </c>
      <c r="G1239" s="39" t="s">
        <v>3613</v>
      </c>
      <c r="H1239" s="12"/>
      <c r="L1239" s="12"/>
    </row>
    <row r="1240" spans="1:12" ht="15.75" customHeight="1" x14ac:dyDescent="0.3">
      <c r="A1240" s="17" t="s">
        <v>660</v>
      </c>
      <c r="B1240" s="50" t="str">
        <f>VLOOKUP(A1240,'Sales Order'!A$2:B$1029,1,0)</f>
        <v>SO0422</v>
      </c>
      <c r="C1240" s="29" t="s">
        <v>19</v>
      </c>
      <c r="D1240" s="50" t="str">
        <f>VLOOKUP(C1240,Product!A$2:B$21,1,0)</f>
        <v>PD0001</v>
      </c>
      <c r="E1240" s="36">
        <v>86</v>
      </c>
      <c r="F1240" s="38">
        <v>18630180</v>
      </c>
      <c r="G1240" s="39" t="s">
        <v>3614</v>
      </c>
      <c r="H1240" s="12"/>
      <c r="L1240" s="12"/>
    </row>
    <row r="1241" spans="1:12" ht="15.75" customHeight="1" x14ac:dyDescent="0.3">
      <c r="A1241" s="29" t="s">
        <v>660</v>
      </c>
      <c r="B1241" s="50" t="str">
        <f>VLOOKUP(A1241,'Sales Order'!A$2:B$1029,1,0)</f>
        <v>SO0422</v>
      </c>
      <c r="C1241" s="29" t="s">
        <v>75</v>
      </c>
      <c r="D1241" s="50" t="str">
        <f>VLOOKUP(C1241,Product!A$2:B$21,1,0)</f>
        <v>PD0017</v>
      </c>
      <c r="E1241" s="36">
        <v>129</v>
      </c>
      <c r="F1241" s="38">
        <v>317920500</v>
      </c>
      <c r="G1241" s="39" t="s">
        <v>3615</v>
      </c>
      <c r="H1241" s="12"/>
      <c r="L1241" s="12"/>
    </row>
    <row r="1242" spans="1:12" ht="15.75" customHeight="1" x14ac:dyDescent="0.3">
      <c r="A1242" s="29" t="s">
        <v>660</v>
      </c>
      <c r="B1242" s="50" t="str">
        <f>VLOOKUP(A1242,'Sales Order'!A$2:B$1029,1,0)</f>
        <v>SO0422</v>
      </c>
      <c r="C1242" s="29" t="s">
        <v>35</v>
      </c>
      <c r="D1242" s="50" t="str">
        <f>VLOOKUP(C1242,Product!A$2:B$21,1,0)</f>
        <v>PD0005</v>
      </c>
      <c r="E1242" s="36">
        <v>136</v>
      </c>
      <c r="F1242" s="38">
        <v>250756800</v>
      </c>
      <c r="G1242" s="39" t="s">
        <v>3616</v>
      </c>
      <c r="H1242" s="12"/>
      <c r="L1242" s="12"/>
    </row>
    <row r="1243" spans="1:12" ht="15.75" customHeight="1" x14ac:dyDescent="0.3">
      <c r="A1243" s="17" t="s">
        <v>661</v>
      </c>
      <c r="B1243" s="50" t="str">
        <f>VLOOKUP(A1243,'Sales Order'!A$2:B$1029,1,0)</f>
        <v>SO0423</v>
      </c>
      <c r="C1243" s="29" t="s">
        <v>28</v>
      </c>
      <c r="D1243" s="50" t="str">
        <f>VLOOKUP(C1243,Product!A$2:B$21,1,0)</f>
        <v>PD0003</v>
      </c>
      <c r="E1243" s="36">
        <v>121</v>
      </c>
      <c r="F1243" s="38">
        <v>90120800</v>
      </c>
      <c r="G1243" s="39" t="s">
        <v>3617</v>
      </c>
      <c r="H1243" s="12"/>
      <c r="L1243" s="12"/>
    </row>
    <row r="1244" spans="1:12" ht="15.75" customHeight="1" x14ac:dyDescent="0.3">
      <c r="A1244" s="29" t="s">
        <v>661</v>
      </c>
      <c r="B1244" s="50" t="str">
        <f>VLOOKUP(A1244,'Sales Order'!A$2:B$1029,1,0)</f>
        <v>SO0423</v>
      </c>
      <c r="C1244" s="29" t="s">
        <v>19</v>
      </c>
      <c r="D1244" s="50" t="str">
        <f>VLOOKUP(C1244,Product!A$2:B$21,1,0)</f>
        <v>PD0001</v>
      </c>
      <c r="E1244" s="36">
        <v>49</v>
      </c>
      <c r="F1244" s="38">
        <v>10126830</v>
      </c>
      <c r="G1244" s="39" t="s">
        <v>3618</v>
      </c>
      <c r="H1244" s="12"/>
      <c r="L1244" s="12"/>
    </row>
    <row r="1245" spans="1:12" ht="15.75" customHeight="1" x14ac:dyDescent="0.3">
      <c r="A1245" s="29" t="s">
        <v>662</v>
      </c>
      <c r="B1245" s="50" t="str">
        <f>VLOOKUP(A1245,'Sales Order'!A$2:B$1029,1,0)</f>
        <v>SO0424</v>
      </c>
      <c r="C1245" s="29" t="s">
        <v>55</v>
      </c>
      <c r="D1245" s="50" t="str">
        <f>VLOOKUP(C1245,Product!A$2:B$21,1,0)</f>
        <v>PD0011</v>
      </c>
      <c r="E1245" s="36">
        <v>100</v>
      </c>
      <c r="F1245" s="38">
        <v>212310000</v>
      </c>
      <c r="G1245" s="39" t="s">
        <v>3619</v>
      </c>
      <c r="H1245" s="12"/>
      <c r="L1245" s="12"/>
    </row>
    <row r="1246" spans="1:12" ht="15.75" customHeight="1" x14ac:dyDescent="0.3">
      <c r="A1246" s="17" t="s">
        <v>663</v>
      </c>
      <c r="B1246" s="50" t="str">
        <f>VLOOKUP(A1246,'Sales Order'!A$2:B$1029,1,0)</f>
        <v>SO0425</v>
      </c>
      <c r="C1246" s="29" t="s">
        <v>45</v>
      </c>
      <c r="D1246" s="50" t="str">
        <f>VLOOKUP(C1246,Product!A$2:B$21,1,0)</f>
        <v>PD0008</v>
      </c>
      <c r="E1246" s="36">
        <v>61</v>
      </c>
      <c r="F1246" s="38">
        <v>6998530</v>
      </c>
      <c r="G1246" s="39" t="s">
        <v>3620</v>
      </c>
      <c r="H1246" s="12"/>
      <c r="L1246" s="12"/>
    </row>
    <row r="1247" spans="1:12" ht="15.75" customHeight="1" x14ac:dyDescent="0.3">
      <c r="A1247" s="29" t="s">
        <v>663</v>
      </c>
      <c r="B1247" s="50" t="str">
        <f>VLOOKUP(A1247,'Sales Order'!A$2:B$1029,1,0)</f>
        <v>SO0425</v>
      </c>
      <c r="C1247" s="29" t="s">
        <v>61</v>
      </c>
      <c r="D1247" s="50" t="str">
        <f>VLOOKUP(C1247,Product!A$2:B$21,1,0)</f>
        <v>PD0013</v>
      </c>
      <c r="E1247" s="36">
        <v>145</v>
      </c>
      <c r="F1247" s="38">
        <v>59731300</v>
      </c>
      <c r="G1247" s="39" t="s">
        <v>3621</v>
      </c>
      <c r="H1247" s="12"/>
      <c r="L1247" s="12"/>
    </row>
    <row r="1248" spans="1:12" ht="15.75" customHeight="1" x14ac:dyDescent="0.3">
      <c r="A1248" s="29" t="s">
        <v>663</v>
      </c>
      <c r="B1248" s="50" t="str">
        <f>VLOOKUP(A1248,'Sales Order'!A$2:B$1029,1,0)</f>
        <v>SO0425</v>
      </c>
      <c r="C1248" s="29" t="s">
        <v>65</v>
      </c>
      <c r="D1248" s="50" t="str">
        <f>VLOOKUP(C1248,Product!A$2:B$21,1,0)</f>
        <v>PD0014</v>
      </c>
      <c r="E1248" s="36">
        <v>39</v>
      </c>
      <c r="F1248" s="38">
        <v>9788220</v>
      </c>
      <c r="G1248" s="39" t="s">
        <v>3622</v>
      </c>
      <c r="H1248" s="12"/>
      <c r="L1248" s="12"/>
    </row>
    <row r="1249" spans="1:12" ht="15.75" customHeight="1" x14ac:dyDescent="0.3">
      <c r="A1249" s="29" t="s">
        <v>663</v>
      </c>
      <c r="B1249" s="50" t="str">
        <f>VLOOKUP(A1249,'Sales Order'!A$2:B$1029,1,0)</f>
        <v>SO0425</v>
      </c>
      <c r="C1249" s="29" t="s">
        <v>52</v>
      </c>
      <c r="D1249" s="50" t="str">
        <f>VLOOKUP(C1249,Product!A$2:B$21,1,0)</f>
        <v>PD0010</v>
      </c>
      <c r="E1249" s="36">
        <v>89</v>
      </c>
      <c r="F1249" s="38">
        <v>24586250</v>
      </c>
      <c r="G1249" s="39" t="s">
        <v>3623</v>
      </c>
      <c r="H1249" s="12"/>
      <c r="L1249" s="12"/>
    </row>
    <row r="1250" spans="1:12" ht="15.75" customHeight="1" x14ac:dyDescent="0.3">
      <c r="A1250" s="17" t="s">
        <v>664</v>
      </c>
      <c r="B1250" s="50" t="str">
        <f>VLOOKUP(A1250,'Sales Order'!A$2:B$1029,1,0)</f>
        <v>SO0426</v>
      </c>
      <c r="C1250" s="29" t="s">
        <v>45</v>
      </c>
      <c r="D1250" s="50" t="str">
        <f>VLOOKUP(C1250,Product!A$2:B$21,1,0)</f>
        <v>PD0008</v>
      </c>
      <c r="E1250" s="36">
        <v>119</v>
      </c>
      <c r="F1250" s="38">
        <v>13475560</v>
      </c>
      <c r="G1250" s="39" t="s">
        <v>3624</v>
      </c>
      <c r="H1250" s="12"/>
      <c r="L1250" s="12"/>
    </row>
    <row r="1251" spans="1:12" ht="15.75" customHeight="1" x14ac:dyDescent="0.3">
      <c r="A1251" s="29" t="s">
        <v>664</v>
      </c>
      <c r="B1251" s="50" t="str">
        <f>VLOOKUP(A1251,'Sales Order'!A$2:B$1029,1,0)</f>
        <v>SO0426</v>
      </c>
      <c r="C1251" s="29" t="s">
        <v>28</v>
      </c>
      <c r="D1251" s="50" t="str">
        <f>VLOOKUP(C1251,Product!A$2:B$21,1,0)</f>
        <v>PD0003</v>
      </c>
      <c r="E1251" s="36">
        <v>73</v>
      </c>
      <c r="F1251" s="38">
        <v>63885220</v>
      </c>
      <c r="G1251" s="39" t="s">
        <v>3625</v>
      </c>
      <c r="H1251" s="12"/>
      <c r="L1251" s="12"/>
    </row>
    <row r="1252" spans="1:12" ht="15.75" customHeight="1" x14ac:dyDescent="0.3">
      <c r="A1252" s="29" t="s">
        <v>664</v>
      </c>
      <c r="B1252" s="50" t="str">
        <f>VLOOKUP(A1252,'Sales Order'!A$2:B$1029,1,0)</f>
        <v>SO0426</v>
      </c>
      <c r="C1252" s="29" t="s">
        <v>55</v>
      </c>
      <c r="D1252" s="50" t="str">
        <f>VLOOKUP(C1252,Product!A$2:B$21,1,0)</f>
        <v>PD0011</v>
      </c>
      <c r="E1252" s="36">
        <v>130</v>
      </c>
      <c r="F1252" s="38">
        <v>260669500</v>
      </c>
      <c r="G1252" s="39" t="s">
        <v>3626</v>
      </c>
      <c r="H1252" s="12"/>
      <c r="L1252" s="12"/>
    </row>
    <row r="1253" spans="1:12" ht="15.75" customHeight="1" x14ac:dyDescent="0.3">
      <c r="A1253" s="29" t="s">
        <v>664</v>
      </c>
      <c r="B1253" s="50" t="str">
        <f>VLOOKUP(A1253,'Sales Order'!A$2:B$1029,1,0)</f>
        <v>SO0426</v>
      </c>
      <c r="C1253" s="29" t="s">
        <v>33</v>
      </c>
      <c r="D1253" s="50" t="str">
        <f>VLOOKUP(C1253,Product!A$2:B$21,1,0)</f>
        <v>PD0004</v>
      </c>
      <c r="E1253" s="36">
        <v>144</v>
      </c>
      <c r="F1253" s="38">
        <v>25660800</v>
      </c>
      <c r="G1253" s="39" t="s">
        <v>3627</v>
      </c>
      <c r="H1253" s="12"/>
      <c r="L1253" s="12"/>
    </row>
    <row r="1254" spans="1:12" ht="15.75" customHeight="1" x14ac:dyDescent="0.3">
      <c r="A1254" s="17" t="s">
        <v>665</v>
      </c>
      <c r="B1254" s="50" t="str">
        <f>VLOOKUP(A1254,'Sales Order'!A$2:B$1029,1,0)</f>
        <v>SO0427</v>
      </c>
      <c r="C1254" s="29" t="s">
        <v>45</v>
      </c>
      <c r="D1254" s="50" t="str">
        <f>VLOOKUP(C1254,Product!A$2:B$21,1,0)</f>
        <v>PD0008</v>
      </c>
      <c r="E1254" s="36">
        <v>25</v>
      </c>
      <c r="F1254" s="38">
        <v>3315250</v>
      </c>
      <c r="G1254" s="39" t="s">
        <v>3628</v>
      </c>
      <c r="H1254" s="12"/>
      <c r="L1254" s="12"/>
    </row>
    <row r="1255" spans="1:12" ht="15.75" customHeight="1" x14ac:dyDescent="0.3">
      <c r="A1255" s="29" t="s">
        <v>665</v>
      </c>
      <c r="B1255" s="50" t="str">
        <f>VLOOKUP(A1255,'Sales Order'!A$2:B$1029,1,0)</f>
        <v>SO0427</v>
      </c>
      <c r="C1255" s="29" t="s">
        <v>75</v>
      </c>
      <c r="D1255" s="50" t="str">
        <f>VLOOKUP(C1255,Product!A$2:B$21,1,0)</f>
        <v>PD0017</v>
      </c>
      <c r="E1255" s="36">
        <v>107</v>
      </c>
      <c r="F1255" s="38">
        <v>226840000</v>
      </c>
      <c r="G1255" s="39" t="s">
        <v>3629</v>
      </c>
      <c r="H1255" s="12"/>
      <c r="L1255" s="12"/>
    </row>
    <row r="1256" spans="1:12" ht="15.75" customHeight="1" x14ac:dyDescent="0.3">
      <c r="A1256" s="17" t="s">
        <v>666</v>
      </c>
      <c r="B1256" s="50" t="str">
        <f>VLOOKUP(A1256,'Sales Order'!A$2:B$1029,1,0)</f>
        <v>SO0428</v>
      </c>
      <c r="C1256" s="29" t="s">
        <v>81</v>
      </c>
      <c r="D1256" s="50" t="str">
        <f>VLOOKUP(C1256,Product!A$2:B$21,1,0)</f>
        <v>PD0019</v>
      </c>
      <c r="E1256" s="36">
        <v>77</v>
      </c>
      <c r="F1256" s="38">
        <v>174682970</v>
      </c>
      <c r="G1256" s="39" t="s">
        <v>3630</v>
      </c>
      <c r="H1256" s="12"/>
      <c r="L1256" s="12"/>
    </row>
    <row r="1257" spans="1:12" ht="15.75" customHeight="1" x14ac:dyDescent="0.3">
      <c r="A1257" s="29" t="s">
        <v>666</v>
      </c>
      <c r="B1257" s="50" t="str">
        <f>VLOOKUP(A1257,'Sales Order'!A$2:B$1029,1,0)</f>
        <v>SO0428</v>
      </c>
      <c r="C1257" s="29" t="s">
        <v>78</v>
      </c>
      <c r="D1257" s="50" t="str">
        <f>VLOOKUP(C1257,Product!A$2:B$21,1,0)</f>
        <v>PD0018</v>
      </c>
      <c r="E1257" s="36">
        <v>59</v>
      </c>
      <c r="F1257" s="38">
        <v>24796520</v>
      </c>
      <c r="G1257" s="39" t="s">
        <v>3631</v>
      </c>
      <c r="H1257" s="12"/>
      <c r="L1257" s="12"/>
    </row>
    <row r="1258" spans="1:12" ht="15.75" customHeight="1" x14ac:dyDescent="0.3">
      <c r="A1258" s="29" t="s">
        <v>666</v>
      </c>
      <c r="B1258" s="50" t="str">
        <f>VLOOKUP(A1258,'Sales Order'!A$2:B$1029,1,0)</f>
        <v>SO0428</v>
      </c>
      <c r="C1258" s="29" t="s">
        <v>55</v>
      </c>
      <c r="D1258" s="50" t="str">
        <f>VLOOKUP(C1258,Product!A$2:B$21,1,0)</f>
        <v>PD0011</v>
      </c>
      <c r="E1258" s="36">
        <v>60</v>
      </c>
      <c r="F1258" s="38">
        <v>110401200</v>
      </c>
      <c r="G1258" s="39" t="s">
        <v>3632</v>
      </c>
      <c r="H1258" s="12"/>
      <c r="L1258" s="12"/>
    </row>
    <row r="1259" spans="1:12" ht="15.75" customHeight="1" x14ac:dyDescent="0.3">
      <c r="A1259" s="29" t="s">
        <v>666</v>
      </c>
      <c r="B1259" s="50" t="str">
        <f>VLOOKUP(A1259,'Sales Order'!A$2:B$1029,1,0)</f>
        <v>SO0428</v>
      </c>
      <c r="C1259" s="29" t="s">
        <v>75</v>
      </c>
      <c r="D1259" s="50" t="str">
        <f>VLOOKUP(C1259,Product!A$2:B$21,1,0)</f>
        <v>PD0017</v>
      </c>
      <c r="E1259" s="36">
        <v>120</v>
      </c>
      <c r="F1259" s="38">
        <v>241680000</v>
      </c>
      <c r="G1259" s="39" t="s">
        <v>3633</v>
      </c>
      <c r="H1259" s="12"/>
      <c r="L1259" s="12"/>
    </row>
    <row r="1260" spans="1:12" ht="15.75" customHeight="1" x14ac:dyDescent="0.3">
      <c r="A1260" s="29" t="s">
        <v>666</v>
      </c>
      <c r="B1260" s="50" t="str">
        <f>VLOOKUP(A1260,'Sales Order'!A$2:B$1029,1,0)</f>
        <v>SO0428</v>
      </c>
      <c r="C1260" s="29" t="s">
        <v>58</v>
      </c>
      <c r="D1260" s="50" t="str">
        <f>VLOOKUP(C1260,Product!A$2:B$21,1,0)</f>
        <v>PD0012</v>
      </c>
      <c r="E1260" s="36">
        <v>47</v>
      </c>
      <c r="F1260" s="38">
        <v>230578710</v>
      </c>
      <c r="G1260" s="39" t="s">
        <v>3634</v>
      </c>
      <c r="H1260" s="12"/>
      <c r="L1260" s="12"/>
    </row>
    <row r="1261" spans="1:12" ht="15.75" customHeight="1" x14ac:dyDescent="0.3">
      <c r="A1261" s="17" t="s">
        <v>667</v>
      </c>
      <c r="B1261" s="50" t="str">
        <f>VLOOKUP(A1261,'Sales Order'!A$2:B$1029,1,0)</f>
        <v>SO0429</v>
      </c>
      <c r="C1261" s="29" t="s">
        <v>52</v>
      </c>
      <c r="D1261" s="50" t="str">
        <f>VLOOKUP(C1261,Product!A$2:B$21,1,0)</f>
        <v>PD0010</v>
      </c>
      <c r="E1261" s="36">
        <v>125</v>
      </c>
      <c r="F1261" s="38">
        <v>36562500</v>
      </c>
      <c r="G1261" s="39" t="s">
        <v>3635</v>
      </c>
      <c r="H1261" s="12"/>
      <c r="L1261" s="12"/>
    </row>
    <row r="1262" spans="1:12" ht="15.75" customHeight="1" x14ac:dyDescent="0.3">
      <c r="A1262" s="17" t="s">
        <v>668</v>
      </c>
      <c r="B1262" s="50" t="str">
        <f>VLOOKUP(A1262,'Sales Order'!A$2:B$1029,1,0)</f>
        <v>SO0430</v>
      </c>
      <c r="C1262" s="29" t="s">
        <v>81</v>
      </c>
      <c r="D1262" s="50" t="str">
        <f>VLOOKUP(C1262,Product!A$2:B$21,1,0)</f>
        <v>PD0019</v>
      </c>
      <c r="E1262" s="36">
        <v>108</v>
      </c>
      <c r="F1262" s="38">
        <v>236751120</v>
      </c>
      <c r="G1262" s="39" t="s">
        <v>3636</v>
      </c>
      <c r="H1262" s="12"/>
      <c r="L1262" s="12"/>
    </row>
    <row r="1263" spans="1:12" ht="15.75" customHeight="1" x14ac:dyDescent="0.3">
      <c r="A1263" s="29" t="s">
        <v>668</v>
      </c>
      <c r="B1263" s="50" t="str">
        <f>VLOOKUP(A1263,'Sales Order'!A$2:B$1029,1,0)</f>
        <v>SO0430</v>
      </c>
      <c r="C1263" s="29" t="s">
        <v>28</v>
      </c>
      <c r="D1263" s="50" t="str">
        <f>VLOOKUP(C1263,Product!A$2:B$21,1,0)</f>
        <v>PD0003</v>
      </c>
      <c r="E1263" s="36">
        <v>61</v>
      </c>
      <c r="F1263" s="38">
        <v>46568620</v>
      </c>
      <c r="G1263" s="39" t="s">
        <v>3637</v>
      </c>
      <c r="H1263" s="12"/>
      <c r="L1263" s="12"/>
    </row>
    <row r="1264" spans="1:12" ht="15.75" customHeight="1" x14ac:dyDescent="0.3">
      <c r="A1264" s="29" t="s">
        <v>668</v>
      </c>
      <c r="B1264" s="50" t="str">
        <f>VLOOKUP(A1264,'Sales Order'!A$2:B$1029,1,0)</f>
        <v>SO0430</v>
      </c>
      <c r="C1264" s="29" t="s">
        <v>19</v>
      </c>
      <c r="D1264" s="50" t="str">
        <f>VLOOKUP(C1264,Product!A$2:B$21,1,0)</f>
        <v>PD0001</v>
      </c>
      <c r="E1264" s="36">
        <v>109</v>
      </c>
      <c r="F1264" s="38">
        <v>20627160</v>
      </c>
      <c r="G1264" s="39" t="s">
        <v>3638</v>
      </c>
      <c r="H1264" s="12"/>
      <c r="L1264" s="12"/>
    </row>
    <row r="1265" spans="1:12" ht="15.75" customHeight="1" x14ac:dyDescent="0.3">
      <c r="A1265" s="17" t="s">
        <v>669</v>
      </c>
      <c r="B1265" s="50" t="str">
        <f>VLOOKUP(A1265,'Sales Order'!A$2:B$1029,1,0)</f>
        <v>SO0431</v>
      </c>
      <c r="C1265" s="29" t="s">
        <v>55</v>
      </c>
      <c r="D1265" s="50" t="str">
        <f>VLOOKUP(C1265,Product!A$2:B$21,1,0)</f>
        <v>PD0011</v>
      </c>
      <c r="E1265" s="36">
        <v>95</v>
      </c>
      <c r="F1265" s="38">
        <v>177042950</v>
      </c>
      <c r="G1265" s="39" t="s">
        <v>3639</v>
      </c>
      <c r="H1265" s="12"/>
      <c r="L1265" s="12"/>
    </row>
    <row r="1266" spans="1:12" ht="15.75" customHeight="1" x14ac:dyDescent="0.3">
      <c r="A1266" s="29" t="s">
        <v>669</v>
      </c>
      <c r="B1266" s="50" t="str">
        <f>VLOOKUP(A1266,'Sales Order'!A$2:B$1029,1,0)</f>
        <v>SO0431</v>
      </c>
      <c r="C1266" s="29" t="s">
        <v>61</v>
      </c>
      <c r="D1266" s="50" t="str">
        <f>VLOOKUP(C1266,Product!A$2:B$21,1,0)</f>
        <v>PD0013</v>
      </c>
      <c r="E1266" s="36">
        <v>55</v>
      </c>
      <c r="F1266" s="38">
        <v>24500850</v>
      </c>
      <c r="G1266" s="39" t="s">
        <v>3640</v>
      </c>
      <c r="H1266" s="12"/>
      <c r="L1266" s="12"/>
    </row>
    <row r="1267" spans="1:12" ht="15.75" customHeight="1" x14ac:dyDescent="0.3">
      <c r="A1267" s="29" t="s">
        <v>669</v>
      </c>
      <c r="B1267" s="50" t="str">
        <f>VLOOKUP(A1267,'Sales Order'!A$2:B$1029,1,0)</f>
        <v>SO0431</v>
      </c>
      <c r="C1267" s="29" t="s">
        <v>48</v>
      </c>
      <c r="D1267" s="50" t="str">
        <f>VLOOKUP(C1267,Product!A$2:B$21,1,0)</f>
        <v>PD0009</v>
      </c>
      <c r="E1267" s="36">
        <v>106</v>
      </c>
      <c r="F1267" s="38">
        <v>11759640</v>
      </c>
      <c r="G1267" s="39" t="s">
        <v>3641</v>
      </c>
      <c r="H1267" s="12"/>
      <c r="L1267" s="12"/>
    </row>
    <row r="1268" spans="1:12" ht="15.75" customHeight="1" x14ac:dyDescent="0.3">
      <c r="A1268" s="17" t="s">
        <v>670</v>
      </c>
      <c r="B1268" s="50" t="str">
        <f>VLOOKUP(A1268,'Sales Order'!A$2:B$1029,1,0)</f>
        <v>SO0432</v>
      </c>
      <c r="C1268" s="29" t="s">
        <v>75</v>
      </c>
      <c r="D1268" s="50" t="str">
        <f>VLOOKUP(C1268,Product!A$2:B$21,1,0)</f>
        <v>PD0017</v>
      </c>
      <c r="E1268" s="36">
        <v>123</v>
      </c>
      <c r="F1268" s="38">
        <v>264019500.00000003</v>
      </c>
      <c r="G1268" s="39" t="s">
        <v>3642</v>
      </c>
      <c r="H1268" s="12"/>
      <c r="L1268" s="12"/>
    </row>
    <row r="1269" spans="1:12" ht="15.75" customHeight="1" x14ac:dyDescent="0.3">
      <c r="A1269" s="17" t="s">
        <v>671</v>
      </c>
      <c r="B1269" s="50" t="str">
        <f>VLOOKUP(A1269,'Sales Order'!A$2:B$1029,1,0)</f>
        <v>SO0433</v>
      </c>
      <c r="C1269" s="29" t="s">
        <v>28</v>
      </c>
      <c r="D1269" s="50" t="str">
        <f>VLOOKUP(C1269,Product!A$2:B$21,1,0)</f>
        <v>PD0003</v>
      </c>
      <c r="E1269" s="36">
        <v>50</v>
      </c>
      <c r="F1269" s="38">
        <v>38636500</v>
      </c>
      <c r="G1269" s="39" t="s">
        <v>3643</v>
      </c>
      <c r="H1269" s="12"/>
      <c r="L1269" s="12"/>
    </row>
    <row r="1270" spans="1:12" ht="15.75" customHeight="1" x14ac:dyDescent="0.3">
      <c r="A1270" s="29" t="s">
        <v>671</v>
      </c>
      <c r="B1270" s="50" t="str">
        <f>VLOOKUP(A1270,'Sales Order'!A$2:B$1029,1,0)</f>
        <v>SO0433</v>
      </c>
      <c r="C1270" s="29" t="s">
        <v>58</v>
      </c>
      <c r="D1270" s="50" t="str">
        <f>VLOOKUP(C1270,Product!A$2:B$21,1,0)</f>
        <v>PD0012</v>
      </c>
      <c r="E1270" s="36">
        <v>29</v>
      </c>
      <c r="F1270" s="38">
        <v>143907280</v>
      </c>
      <c r="G1270" s="39" t="s">
        <v>3644</v>
      </c>
      <c r="H1270" s="12"/>
      <c r="L1270" s="12"/>
    </row>
    <row r="1271" spans="1:12" ht="15.75" customHeight="1" x14ac:dyDescent="0.3">
      <c r="A1271" s="17" t="s">
        <v>672</v>
      </c>
      <c r="B1271" s="50" t="str">
        <f>VLOOKUP(A1271,'Sales Order'!A$2:B$1029,1,0)</f>
        <v>SO0434</v>
      </c>
      <c r="C1271" s="29" t="s">
        <v>58</v>
      </c>
      <c r="D1271" s="50" t="str">
        <f>VLOOKUP(C1271,Product!A$2:B$21,1,0)</f>
        <v>PD0012</v>
      </c>
      <c r="E1271" s="36">
        <v>57</v>
      </c>
      <c r="F1271" s="38">
        <v>263566860.00000003</v>
      </c>
      <c r="G1271" s="39" t="s">
        <v>3645</v>
      </c>
      <c r="H1271" s="12"/>
      <c r="L1271" s="12"/>
    </row>
    <row r="1272" spans="1:12" ht="15.75" customHeight="1" x14ac:dyDescent="0.3">
      <c r="A1272" s="29" t="s">
        <v>672</v>
      </c>
      <c r="B1272" s="50" t="str">
        <f>VLOOKUP(A1272,'Sales Order'!A$2:B$1029,1,0)</f>
        <v>SO0434</v>
      </c>
      <c r="C1272" s="29" t="s">
        <v>55</v>
      </c>
      <c r="D1272" s="50" t="str">
        <f>VLOOKUP(C1272,Product!A$2:B$21,1,0)</f>
        <v>PD0011</v>
      </c>
      <c r="E1272" s="36">
        <v>65</v>
      </c>
      <c r="F1272" s="38">
        <v>133401450</v>
      </c>
      <c r="G1272" s="39" t="s">
        <v>3646</v>
      </c>
      <c r="H1272" s="12"/>
      <c r="L1272" s="12"/>
    </row>
    <row r="1273" spans="1:12" ht="15.75" customHeight="1" x14ac:dyDescent="0.3">
      <c r="A1273" s="29" t="s">
        <v>672</v>
      </c>
      <c r="B1273" s="50" t="str">
        <f>VLOOKUP(A1273,'Sales Order'!A$2:B$1029,1,0)</f>
        <v>SO0434</v>
      </c>
      <c r="C1273" s="29" t="s">
        <v>69</v>
      </c>
      <c r="D1273" s="50" t="str">
        <f>VLOOKUP(C1273,Product!A$2:B$21,1,0)</f>
        <v>PD0015</v>
      </c>
      <c r="E1273" s="36">
        <v>126</v>
      </c>
      <c r="F1273" s="38">
        <v>15239826</v>
      </c>
      <c r="G1273" s="39" t="s">
        <v>3647</v>
      </c>
      <c r="H1273" s="12"/>
      <c r="L1273" s="12"/>
    </row>
    <row r="1274" spans="1:12" ht="15.75" customHeight="1" x14ac:dyDescent="0.3">
      <c r="A1274" s="29" t="s">
        <v>672</v>
      </c>
      <c r="B1274" s="50" t="str">
        <f>VLOOKUP(A1274,'Sales Order'!A$2:B$1029,1,0)</f>
        <v>SO0434</v>
      </c>
      <c r="C1274" s="29" t="s">
        <v>25</v>
      </c>
      <c r="D1274" s="50" t="str">
        <f>VLOOKUP(C1274,Product!A$2:B$21,1,0)</f>
        <v>PD0002</v>
      </c>
      <c r="E1274" s="36">
        <v>126</v>
      </c>
      <c r="F1274" s="38">
        <v>1915200</v>
      </c>
      <c r="G1274" s="39" t="s">
        <v>3648</v>
      </c>
      <c r="H1274" s="12"/>
      <c r="L1274" s="12"/>
    </row>
    <row r="1275" spans="1:12" ht="15.75" customHeight="1" x14ac:dyDescent="0.3">
      <c r="A1275" s="29" t="s">
        <v>672</v>
      </c>
      <c r="B1275" s="50" t="str">
        <f>VLOOKUP(A1275,'Sales Order'!A$2:B$1029,1,0)</f>
        <v>SO0434</v>
      </c>
      <c r="C1275" s="29" t="s">
        <v>61</v>
      </c>
      <c r="D1275" s="50" t="str">
        <f>VLOOKUP(C1275,Product!A$2:B$21,1,0)</f>
        <v>PD0013</v>
      </c>
      <c r="E1275" s="36">
        <v>30</v>
      </c>
      <c r="F1275" s="38">
        <v>10921200</v>
      </c>
      <c r="G1275" s="39" t="s">
        <v>3649</v>
      </c>
      <c r="H1275" s="12"/>
      <c r="L1275" s="12"/>
    </row>
    <row r="1276" spans="1:12" ht="15.75" customHeight="1" x14ac:dyDescent="0.3">
      <c r="A1276" s="29" t="s">
        <v>672</v>
      </c>
      <c r="B1276" s="50" t="str">
        <f>VLOOKUP(A1276,'Sales Order'!A$2:B$1029,1,0)</f>
        <v>SO0434</v>
      </c>
      <c r="C1276" s="29" t="s">
        <v>75</v>
      </c>
      <c r="D1276" s="50" t="str">
        <f>VLOOKUP(C1276,Product!A$2:B$21,1,0)</f>
        <v>PD0017</v>
      </c>
      <c r="E1276" s="36">
        <v>150</v>
      </c>
      <c r="F1276" s="38">
        <v>321975000</v>
      </c>
      <c r="G1276" s="39" t="s">
        <v>3650</v>
      </c>
      <c r="H1276" s="12"/>
      <c r="L1276" s="12"/>
    </row>
    <row r="1277" spans="1:12" ht="15.75" customHeight="1" x14ac:dyDescent="0.3">
      <c r="A1277" s="29" t="s">
        <v>672</v>
      </c>
      <c r="B1277" s="50" t="str">
        <f>VLOOKUP(A1277,'Sales Order'!A$2:B$1029,1,0)</f>
        <v>SO0434</v>
      </c>
      <c r="C1277" s="29" t="s">
        <v>33</v>
      </c>
      <c r="D1277" s="50" t="str">
        <f>VLOOKUP(C1277,Product!A$2:B$21,1,0)</f>
        <v>PD0004</v>
      </c>
      <c r="E1277" s="36">
        <v>113</v>
      </c>
      <c r="F1277" s="38">
        <v>19639400</v>
      </c>
      <c r="G1277" s="39" t="s">
        <v>3651</v>
      </c>
      <c r="H1277" s="12"/>
      <c r="L1277" s="12"/>
    </row>
    <row r="1278" spans="1:12" ht="15.75" customHeight="1" x14ac:dyDescent="0.3">
      <c r="A1278" s="17" t="s">
        <v>673</v>
      </c>
      <c r="B1278" s="50" t="str">
        <f>VLOOKUP(A1278,'Sales Order'!A$2:B$1029,1,0)</f>
        <v>SO0435</v>
      </c>
      <c r="C1278" s="29" t="s">
        <v>58</v>
      </c>
      <c r="D1278" s="50" t="str">
        <f>VLOOKUP(C1278,Product!A$2:B$21,1,0)</f>
        <v>PD0012</v>
      </c>
      <c r="E1278" s="36">
        <v>115</v>
      </c>
      <c r="F1278" s="38">
        <v>603091050</v>
      </c>
      <c r="G1278" s="39" t="s">
        <v>3652</v>
      </c>
      <c r="H1278" s="12"/>
      <c r="L1278" s="12"/>
    </row>
    <row r="1279" spans="1:12" ht="15.75" customHeight="1" x14ac:dyDescent="0.3">
      <c r="A1279" s="29" t="s">
        <v>673</v>
      </c>
      <c r="B1279" s="50" t="str">
        <f>VLOOKUP(A1279,'Sales Order'!A$2:B$1029,1,0)</f>
        <v>SO0435</v>
      </c>
      <c r="C1279" s="29" t="s">
        <v>25</v>
      </c>
      <c r="D1279" s="50" t="str">
        <f>VLOOKUP(C1279,Product!A$2:B$21,1,0)</f>
        <v>PD0002</v>
      </c>
      <c r="E1279" s="36">
        <v>77</v>
      </c>
      <c r="F1279" s="38">
        <v>1247400</v>
      </c>
      <c r="G1279" s="39" t="s">
        <v>3653</v>
      </c>
      <c r="H1279" s="12"/>
      <c r="L1279" s="12"/>
    </row>
    <row r="1280" spans="1:12" ht="15.75" customHeight="1" x14ac:dyDescent="0.3">
      <c r="A1280" s="29" t="s">
        <v>673</v>
      </c>
      <c r="B1280" s="50" t="str">
        <f>VLOOKUP(A1280,'Sales Order'!A$2:B$1029,1,0)</f>
        <v>SO0435</v>
      </c>
      <c r="C1280" s="29" t="s">
        <v>35</v>
      </c>
      <c r="D1280" s="50" t="str">
        <f>VLOOKUP(C1280,Product!A$2:B$21,1,0)</f>
        <v>PD0005</v>
      </c>
      <c r="E1280" s="36">
        <v>91</v>
      </c>
      <c r="F1280" s="38">
        <v>149808750</v>
      </c>
      <c r="G1280" s="39" t="s">
        <v>3654</v>
      </c>
      <c r="H1280" s="12"/>
      <c r="L1280" s="12"/>
    </row>
    <row r="1281" spans="1:12" ht="15.75" customHeight="1" x14ac:dyDescent="0.3">
      <c r="A1281" s="17" t="s">
        <v>674</v>
      </c>
      <c r="B1281" s="50" t="str">
        <f>VLOOKUP(A1281,'Sales Order'!A$2:B$1029,1,0)</f>
        <v>SO0436</v>
      </c>
      <c r="C1281" s="29" t="s">
        <v>61</v>
      </c>
      <c r="D1281" s="50" t="str">
        <f>VLOOKUP(C1281,Product!A$2:B$21,1,0)</f>
        <v>PD0013</v>
      </c>
      <c r="E1281" s="36">
        <v>140</v>
      </c>
      <c r="F1281" s="38">
        <v>50295000</v>
      </c>
      <c r="G1281" s="39" t="s">
        <v>3655</v>
      </c>
      <c r="H1281" s="12"/>
      <c r="L1281" s="12"/>
    </row>
    <row r="1282" spans="1:12" ht="15.75" customHeight="1" x14ac:dyDescent="0.3">
      <c r="A1282" s="29" t="s">
        <v>674</v>
      </c>
      <c r="B1282" s="50" t="str">
        <f>VLOOKUP(A1282,'Sales Order'!A$2:B$1029,1,0)</f>
        <v>SO0436</v>
      </c>
      <c r="C1282" s="29" t="s">
        <v>58</v>
      </c>
      <c r="D1282" s="50" t="str">
        <f>VLOOKUP(C1282,Product!A$2:B$21,1,0)</f>
        <v>PD0012</v>
      </c>
      <c r="E1282" s="36">
        <v>30</v>
      </c>
      <c r="F1282" s="38">
        <v>160711500</v>
      </c>
      <c r="G1282" s="39" t="s">
        <v>3656</v>
      </c>
      <c r="H1282" s="12"/>
      <c r="L1282" s="12"/>
    </row>
    <row r="1283" spans="1:12" ht="15.75" customHeight="1" x14ac:dyDescent="0.3">
      <c r="A1283" s="17" t="s">
        <v>675</v>
      </c>
      <c r="B1283" s="50" t="str">
        <f>VLOOKUP(A1283,'Sales Order'!A$2:B$1029,1,0)</f>
        <v>SO0437</v>
      </c>
      <c r="C1283" s="29" t="s">
        <v>40</v>
      </c>
      <c r="D1283" s="50" t="str">
        <f>VLOOKUP(C1283,Product!A$2:B$21,1,0)</f>
        <v>PD0006</v>
      </c>
      <c r="E1283" s="36">
        <v>62</v>
      </c>
      <c r="F1283" s="38">
        <v>11403040</v>
      </c>
      <c r="G1283" s="39" t="s">
        <v>3657</v>
      </c>
      <c r="H1283" s="12"/>
      <c r="L1283" s="12"/>
    </row>
    <row r="1284" spans="1:12" ht="15.75" customHeight="1" x14ac:dyDescent="0.3">
      <c r="A1284" s="29" t="s">
        <v>675</v>
      </c>
      <c r="B1284" s="50" t="str">
        <f>VLOOKUP(A1284,'Sales Order'!A$2:B$1029,1,0)</f>
        <v>SO0437</v>
      </c>
      <c r="C1284" s="29" t="s">
        <v>43</v>
      </c>
      <c r="D1284" s="50" t="str">
        <f>VLOOKUP(C1284,Product!A$2:B$21,1,0)</f>
        <v>PD0007</v>
      </c>
      <c r="E1284" s="36">
        <v>113</v>
      </c>
      <c r="F1284" s="38">
        <v>300128000</v>
      </c>
      <c r="G1284" s="39" t="s">
        <v>3658</v>
      </c>
      <c r="H1284" s="12"/>
      <c r="L1284" s="12"/>
    </row>
    <row r="1285" spans="1:12" ht="15.75" customHeight="1" x14ac:dyDescent="0.3">
      <c r="A1285" s="29" t="s">
        <v>675</v>
      </c>
      <c r="B1285" s="50" t="str">
        <f>VLOOKUP(A1285,'Sales Order'!A$2:B$1029,1,0)</f>
        <v>SO0437</v>
      </c>
      <c r="C1285" s="29" t="s">
        <v>48</v>
      </c>
      <c r="D1285" s="50" t="str">
        <f>VLOOKUP(C1285,Product!A$2:B$21,1,0)</f>
        <v>PD0009</v>
      </c>
      <c r="E1285" s="36">
        <v>59</v>
      </c>
      <c r="F1285" s="38">
        <v>6849900</v>
      </c>
      <c r="G1285" s="39" t="s">
        <v>3659</v>
      </c>
      <c r="H1285" s="12"/>
      <c r="L1285" s="12"/>
    </row>
    <row r="1286" spans="1:12" ht="15.75" customHeight="1" x14ac:dyDescent="0.3">
      <c r="A1286" s="29" t="s">
        <v>675</v>
      </c>
      <c r="B1286" s="50" t="str">
        <f>VLOOKUP(A1286,'Sales Order'!A$2:B$1029,1,0)</f>
        <v>SO0437</v>
      </c>
      <c r="C1286" s="29" t="s">
        <v>19</v>
      </c>
      <c r="D1286" s="50" t="str">
        <f>VLOOKUP(C1286,Product!A$2:B$21,1,0)</f>
        <v>PD0001</v>
      </c>
      <c r="E1286" s="36">
        <v>37</v>
      </c>
      <c r="F1286" s="38">
        <v>8291700</v>
      </c>
      <c r="G1286" s="39" t="s">
        <v>3660</v>
      </c>
      <c r="H1286" s="12"/>
      <c r="L1286" s="12"/>
    </row>
    <row r="1287" spans="1:12" ht="15.75" customHeight="1" x14ac:dyDescent="0.3">
      <c r="A1287" s="29" t="s">
        <v>675</v>
      </c>
      <c r="B1287" s="50" t="str">
        <f>VLOOKUP(A1287,'Sales Order'!A$2:B$1029,1,0)</f>
        <v>SO0437</v>
      </c>
      <c r="C1287" s="29" t="s">
        <v>35</v>
      </c>
      <c r="D1287" s="50" t="str">
        <f>VLOOKUP(C1287,Product!A$2:B$21,1,0)</f>
        <v>PD0005</v>
      </c>
      <c r="E1287" s="36">
        <v>139</v>
      </c>
      <c r="F1287" s="38">
        <v>247135050.00000003</v>
      </c>
      <c r="G1287" s="39" t="s">
        <v>3661</v>
      </c>
      <c r="H1287" s="12"/>
      <c r="L1287" s="12"/>
    </row>
    <row r="1288" spans="1:12" ht="15.75" customHeight="1" x14ac:dyDescent="0.3">
      <c r="A1288" s="29" t="s">
        <v>676</v>
      </c>
      <c r="B1288" s="50" t="str">
        <f>VLOOKUP(A1288,'Sales Order'!A$2:B$1029,1,0)</f>
        <v>SO0438</v>
      </c>
      <c r="C1288" s="29" t="s">
        <v>33</v>
      </c>
      <c r="D1288" s="50" t="str">
        <f>VLOOKUP(C1288,Product!A$2:B$21,1,0)</f>
        <v>PD0004</v>
      </c>
      <c r="E1288" s="36">
        <v>38</v>
      </c>
      <c r="F1288" s="38">
        <v>7106000</v>
      </c>
      <c r="G1288" s="39" t="s">
        <v>3662</v>
      </c>
      <c r="H1288" s="12"/>
      <c r="L1288" s="12"/>
    </row>
    <row r="1289" spans="1:12" ht="15.75" customHeight="1" x14ac:dyDescent="0.3">
      <c r="A1289" s="17" t="s">
        <v>677</v>
      </c>
      <c r="B1289" s="50" t="str">
        <f>VLOOKUP(A1289,'Sales Order'!A$2:B$1029,1,0)</f>
        <v>SO0439</v>
      </c>
      <c r="C1289" s="29" t="s">
        <v>61</v>
      </c>
      <c r="D1289" s="50" t="str">
        <f>VLOOKUP(C1289,Product!A$2:B$21,1,0)</f>
        <v>PD0013</v>
      </c>
      <c r="E1289" s="36">
        <v>105</v>
      </c>
      <c r="F1289" s="38">
        <v>38224200</v>
      </c>
      <c r="G1289" s="39" t="s">
        <v>3663</v>
      </c>
      <c r="H1289" s="12"/>
      <c r="L1289" s="12"/>
    </row>
    <row r="1290" spans="1:12" ht="15.75" customHeight="1" x14ac:dyDescent="0.3">
      <c r="A1290" s="29" t="s">
        <v>677</v>
      </c>
      <c r="B1290" s="50" t="str">
        <f>VLOOKUP(A1290,'Sales Order'!A$2:B$1029,1,0)</f>
        <v>SO0439</v>
      </c>
      <c r="C1290" s="29" t="s">
        <v>52</v>
      </c>
      <c r="D1290" s="50" t="str">
        <f>VLOOKUP(C1290,Product!A$2:B$21,1,0)</f>
        <v>PD0010</v>
      </c>
      <c r="E1290" s="36">
        <v>119</v>
      </c>
      <c r="F1290" s="38">
        <v>29779750</v>
      </c>
      <c r="G1290" s="39" t="s">
        <v>3664</v>
      </c>
      <c r="H1290" s="12"/>
      <c r="L1290" s="12"/>
    </row>
    <row r="1291" spans="1:12" ht="15.75" customHeight="1" x14ac:dyDescent="0.3">
      <c r="A1291" s="29" t="s">
        <v>678</v>
      </c>
      <c r="B1291" s="50" t="str">
        <f>VLOOKUP(A1291,'Sales Order'!A$2:B$1029,1,0)</f>
        <v>SO0440</v>
      </c>
      <c r="C1291" s="29" t="s">
        <v>25</v>
      </c>
      <c r="D1291" s="50" t="str">
        <f>VLOOKUP(C1291,Product!A$2:B$21,1,0)</f>
        <v>PD0002</v>
      </c>
      <c r="E1291" s="36">
        <v>83</v>
      </c>
      <c r="F1291" s="38">
        <v>1344600</v>
      </c>
      <c r="G1291" s="39" t="s">
        <v>3665</v>
      </c>
      <c r="H1291" s="12"/>
      <c r="L1291" s="12"/>
    </row>
    <row r="1292" spans="1:12" ht="15.75" customHeight="1" x14ac:dyDescent="0.3">
      <c r="A1292" s="17" t="s">
        <v>679</v>
      </c>
      <c r="B1292" s="50" t="str">
        <f>VLOOKUP(A1292,'Sales Order'!A$2:B$1029,1,0)</f>
        <v>SO0441</v>
      </c>
      <c r="C1292" s="29" t="s">
        <v>65</v>
      </c>
      <c r="D1292" s="50" t="str">
        <f>VLOOKUP(C1292,Product!A$2:B$21,1,0)</f>
        <v>PD0014</v>
      </c>
      <c r="E1292" s="36">
        <v>133</v>
      </c>
      <c r="F1292" s="38">
        <v>27343470</v>
      </c>
      <c r="G1292" s="39" t="s">
        <v>3666</v>
      </c>
      <c r="H1292" s="12"/>
      <c r="L1292" s="12"/>
    </row>
    <row r="1293" spans="1:12" ht="15.75" customHeight="1" x14ac:dyDescent="0.3">
      <c r="A1293" s="29" t="s">
        <v>679</v>
      </c>
      <c r="B1293" s="50" t="str">
        <f>VLOOKUP(A1293,'Sales Order'!A$2:B$1029,1,0)</f>
        <v>SO0441</v>
      </c>
      <c r="C1293" s="29" t="s">
        <v>35</v>
      </c>
      <c r="D1293" s="50" t="str">
        <f>VLOOKUP(C1293,Product!A$2:B$21,1,0)</f>
        <v>PD0005</v>
      </c>
      <c r="E1293" s="36">
        <v>80</v>
      </c>
      <c r="F1293" s="38">
        <v>151016000</v>
      </c>
      <c r="G1293" s="39" t="s">
        <v>3667</v>
      </c>
      <c r="H1293" s="12"/>
      <c r="L1293" s="12"/>
    </row>
    <row r="1294" spans="1:12" ht="15.75" customHeight="1" x14ac:dyDescent="0.3">
      <c r="A1294" s="29" t="s">
        <v>679</v>
      </c>
      <c r="B1294" s="50" t="str">
        <f>VLOOKUP(A1294,'Sales Order'!A$2:B$1029,1,0)</f>
        <v>SO0441</v>
      </c>
      <c r="C1294" s="29" t="s">
        <v>19</v>
      </c>
      <c r="D1294" s="50" t="str">
        <f>VLOOKUP(C1294,Product!A$2:B$21,1,0)</f>
        <v>PD0001</v>
      </c>
      <c r="E1294" s="36">
        <v>54</v>
      </c>
      <c r="F1294" s="38">
        <v>10353420</v>
      </c>
      <c r="G1294" s="39" t="s">
        <v>3668</v>
      </c>
      <c r="H1294" s="12"/>
      <c r="L1294" s="12"/>
    </row>
    <row r="1295" spans="1:12" ht="15.75" customHeight="1" x14ac:dyDescent="0.3">
      <c r="A1295" s="29" t="s">
        <v>679</v>
      </c>
      <c r="B1295" s="50" t="str">
        <f>VLOOKUP(A1295,'Sales Order'!A$2:B$1029,1,0)</f>
        <v>SO0441</v>
      </c>
      <c r="C1295" s="29" t="s">
        <v>28</v>
      </c>
      <c r="D1295" s="50" t="str">
        <f>VLOOKUP(C1295,Product!A$2:B$21,1,0)</f>
        <v>PD0003</v>
      </c>
      <c r="E1295" s="36">
        <v>122</v>
      </c>
      <c r="F1295" s="38">
        <v>104495440</v>
      </c>
      <c r="G1295" s="39" t="s">
        <v>3669</v>
      </c>
      <c r="H1295" s="12"/>
      <c r="L1295" s="12"/>
    </row>
    <row r="1296" spans="1:12" ht="15.75" customHeight="1" x14ac:dyDescent="0.3">
      <c r="A1296" s="17" t="s">
        <v>680</v>
      </c>
      <c r="B1296" s="50" t="str">
        <f>VLOOKUP(A1296,'Sales Order'!A$2:B$1029,1,0)</f>
        <v>SO0442</v>
      </c>
      <c r="C1296" s="29" t="s">
        <v>65</v>
      </c>
      <c r="D1296" s="50" t="str">
        <f>VLOOKUP(C1296,Product!A$2:B$21,1,0)</f>
        <v>PD0014</v>
      </c>
      <c r="E1296" s="36">
        <v>106</v>
      </c>
      <c r="F1296" s="38">
        <v>26320860</v>
      </c>
      <c r="G1296" s="39" t="s">
        <v>3670</v>
      </c>
      <c r="H1296" s="12"/>
      <c r="L1296" s="12"/>
    </row>
    <row r="1297" spans="1:12" ht="15.75" customHeight="1" x14ac:dyDescent="0.3">
      <c r="A1297" s="29" t="s">
        <v>680</v>
      </c>
      <c r="B1297" s="50" t="str">
        <f>VLOOKUP(A1297,'Sales Order'!A$2:B$1029,1,0)</f>
        <v>SO0442</v>
      </c>
      <c r="C1297" s="29" t="s">
        <v>61</v>
      </c>
      <c r="D1297" s="50" t="str">
        <f>VLOOKUP(C1297,Product!A$2:B$21,1,0)</f>
        <v>PD0013</v>
      </c>
      <c r="E1297" s="36">
        <v>126</v>
      </c>
      <c r="F1297" s="38">
        <v>45265500</v>
      </c>
      <c r="G1297" s="39" t="s">
        <v>3671</v>
      </c>
      <c r="H1297" s="12"/>
      <c r="L1297" s="12"/>
    </row>
    <row r="1298" spans="1:12" ht="15.75" customHeight="1" x14ac:dyDescent="0.3">
      <c r="A1298" s="29" t="s">
        <v>680</v>
      </c>
      <c r="B1298" s="50" t="str">
        <f>VLOOKUP(A1298,'Sales Order'!A$2:B$1029,1,0)</f>
        <v>SO0442</v>
      </c>
      <c r="C1298" s="29" t="s">
        <v>35</v>
      </c>
      <c r="D1298" s="50" t="str">
        <f>VLOOKUP(C1298,Product!A$2:B$21,1,0)</f>
        <v>PD0005</v>
      </c>
      <c r="E1298" s="36">
        <v>136</v>
      </c>
      <c r="F1298" s="38">
        <v>259712400</v>
      </c>
      <c r="G1298" s="39" t="s">
        <v>3672</v>
      </c>
      <c r="H1298" s="12"/>
      <c r="L1298" s="12"/>
    </row>
    <row r="1299" spans="1:12" ht="15.75" customHeight="1" x14ac:dyDescent="0.3">
      <c r="A1299" s="29" t="s">
        <v>680</v>
      </c>
      <c r="B1299" s="50" t="str">
        <f>VLOOKUP(A1299,'Sales Order'!A$2:B$1029,1,0)</f>
        <v>SO0442</v>
      </c>
      <c r="C1299" s="29" t="s">
        <v>78</v>
      </c>
      <c r="D1299" s="50" t="str">
        <f>VLOOKUP(C1299,Product!A$2:B$21,1,0)</f>
        <v>PD0018</v>
      </c>
      <c r="E1299" s="36">
        <v>32</v>
      </c>
      <c r="F1299" s="38">
        <v>14810880</v>
      </c>
      <c r="G1299" s="39" t="s">
        <v>3673</v>
      </c>
      <c r="H1299" s="12"/>
      <c r="L1299" s="12"/>
    </row>
    <row r="1300" spans="1:12" ht="15.75" customHeight="1" x14ac:dyDescent="0.3">
      <c r="A1300" s="29" t="s">
        <v>680</v>
      </c>
      <c r="B1300" s="50" t="str">
        <f>VLOOKUP(A1300,'Sales Order'!A$2:B$1029,1,0)</f>
        <v>SO0442</v>
      </c>
      <c r="C1300" s="29" t="s">
        <v>25</v>
      </c>
      <c r="D1300" s="50" t="str">
        <f>VLOOKUP(C1300,Product!A$2:B$21,1,0)</f>
        <v>PD0002</v>
      </c>
      <c r="E1300" s="36">
        <v>141</v>
      </c>
      <c r="F1300" s="38">
        <v>2256000</v>
      </c>
      <c r="G1300" s="39" t="s">
        <v>3674</v>
      </c>
      <c r="H1300" s="12"/>
      <c r="L1300" s="12"/>
    </row>
    <row r="1301" spans="1:12" ht="15.75" customHeight="1" x14ac:dyDescent="0.3">
      <c r="A1301" s="17" t="s">
        <v>681</v>
      </c>
      <c r="B1301" s="50" t="str">
        <f>VLOOKUP(A1301,'Sales Order'!A$2:B$1029,1,0)</f>
        <v>SO0443</v>
      </c>
      <c r="C1301" s="29" t="s">
        <v>83</v>
      </c>
      <c r="D1301" s="50" t="str">
        <f>VLOOKUP(C1301,Product!A$2:B$21,1,0)</f>
        <v>PD0020</v>
      </c>
      <c r="E1301" s="36">
        <v>146</v>
      </c>
      <c r="F1301" s="38">
        <v>37024140</v>
      </c>
      <c r="G1301" s="39" t="s">
        <v>3675</v>
      </c>
      <c r="H1301" s="12"/>
      <c r="L1301" s="12"/>
    </row>
    <row r="1302" spans="1:12" ht="15.75" customHeight="1" x14ac:dyDescent="0.3">
      <c r="A1302" s="29" t="s">
        <v>681</v>
      </c>
      <c r="B1302" s="50" t="str">
        <f>VLOOKUP(A1302,'Sales Order'!A$2:B$1029,1,0)</f>
        <v>SO0443</v>
      </c>
      <c r="C1302" s="29" t="s">
        <v>33</v>
      </c>
      <c r="D1302" s="50" t="str">
        <f>VLOOKUP(C1302,Product!A$2:B$21,1,0)</f>
        <v>PD0004</v>
      </c>
      <c r="E1302" s="36">
        <v>71</v>
      </c>
      <c r="F1302" s="38">
        <v>14058000</v>
      </c>
      <c r="G1302" s="39" t="s">
        <v>3676</v>
      </c>
      <c r="H1302" s="12"/>
      <c r="L1302" s="12"/>
    </row>
    <row r="1303" spans="1:12" ht="15.75" customHeight="1" x14ac:dyDescent="0.3">
      <c r="A1303" s="29" t="s">
        <v>681</v>
      </c>
      <c r="B1303" s="50" t="str">
        <f>VLOOKUP(A1303,'Sales Order'!A$2:B$1029,1,0)</f>
        <v>SO0443</v>
      </c>
      <c r="C1303" s="29" t="s">
        <v>48</v>
      </c>
      <c r="D1303" s="50" t="str">
        <f>VLOOKUP(C1303,Product!A$2:B$21,1,0)</f>
        <v>PD0009</v>
      </c>
      <c r="E1303" s="36">
        <v>44</v>
      </c>
      <c r="F1303" s="38">
        <v>4938120</v>
      </c>
      <c r="G1303" s="39" t="s">
        <v>3677</v>
      </c>
      <c r="H1303" s="12"/>
      <c r="L1303" s="12"/>
    </row>
    <row r="1304" spans="1:12" ht="15.75" customHeight="1" x14ac:dyDescent="0.3">
      <c r="A1304" s="29" t="s">
        <v>681</v>
      </c>
      <c r="B1304" s="50" t="str">
        <f>VLOOKUP(A1304,'Sales Order'!A$2:B$1029,1,0)</f>
        <v>SO0443</v>
      </c>
      <c r="C1304" s="29" t="s">
        <v>58</v>
      </c>
      <c r="D1304" s="50" t="str">
        <f>VLOOKUP(C1304,Product!A$2:B$21,1,0)</f>
        <v>PD0012</v>
      </c>
      <c r="E1304" s="36">
        <v>60</v>
      </c>
      <c r="F1304" s="38">
        <v>290972400</v>
      </c>
      <c r="G1304" s="39" t="s">
        <v>3678</v>
      </c>
      <c r="H1304" s="12"/>
      <c r="L1304" s="12"/>
    </row>
    <row r="1305" spans="1:12" ht="15.75" customHeight="1" x14ac:dyDescent="0.3">
      <c r="A1305" s="17" t="s">
        <v>682</v>
      </c>
      <c r="B1305" s="50" t="str">
        <f>VLOOKUP(A1305,'Sales Order'!A$2:B$1029,1,0)</f>
        <v>SO0444</v>
      </c>
      <c r="C1305" s="29" t="s">
        <v>52</v>
      </c>
      <c r="D1305" s="50" t="str">
        <f>VLOOKUP(C1305,Product!A$2:B$21,1,0)</f>
        <v>PD0010</v>
      </c>
      <c r="E1305" s="36">
        <v>81</v>
      </c>
      <c r="F1305" s="38">
        <v>23692500</v>
      </c>
      <c r="G1305" s="39" t="s">
        <v>3679</v>
      </c>
      <c r="H1305" s="12"/>
      <c r="L1305" s="12"/>
    </row>
    <row r="1306" spans="1:12" ht="15.75" customHeight="1" x14ac:dyDescent="0.3">
      <c r="A1306" s="29" t="s">
        <v>682</v>
      </c>
      <c r="B1306" s="50" t="str">
        <f>VLOOKUP(A1306,'Sales Order'!A$2:B$1029,1,0)</f>
        <v>SO0444</v>
      </c>
      <c r="C1306" s="29" t="s">
        <v>81</v>
      </c>
      <c r="D1306" s="50" t="str">
        <f>VLOOKUP(C1306,Product!A$2:B$21,1,0)</f>
        <v>PD0019</v>
      </c>
      <c r="E1306" s="36">
        <v>81</v>
      </c>
      <c r="F1306" s="38">
        <v>158981130</v>
      </c>
      <c r="G1306" s="39" t="s">
        <v>3680</v>
      </c>
      <c r="H1306" s="12"/>
      <c r="L1306" s="12"/>
    </row>
    <row r="1307" spans="1:12" ht="15.75" customHeight="1" x14ac:dyDescent="0.3">
      <c r="A1307" s="29" t="s">
        <v>682</v>
      </c>
      <c r="B1307" s="50" t="str">
        <f>VLOOKUP(A1307,'Sales Order'!A$2:B$1029,1,0)</f>
        <v>SO0444</v>
      </c>
      <c r="C1307" s="29" t="s">
        <v>78</v>
      </c>
      <c r="D1307" s="50" t="str">
        <f>VLOOKUP(C1307,Product!A$2:B$21,1,0)</f>
        <v>PD0018</v>
      </c>
      <c r="E1307" s="36">
        <v>56</v>
      </c>
      <c r="F1307" s="38">
        <v>24131520</v>
      </c>
      <c r="G1307" s="39" t="s">
        <v>3681</v>
      </c>
      <c r="H1307" s="12"/>
      <c r="L1307" s="12"/>
    </row>
    <row r="1308" spans="1:12" ht="15.75" customHeight="1" x14ac:dyDescent="0.3">
      <c r="A1308" s="29" t="s">
        <v>682</v>
      </c>
      <c r="B1308" s="50" t="str">
        <f>VLOOKUP(A1308,'Sales Order'!A$2:B$1029,1,0)</f>
        <v>SO0444</v>
      </c>
      <c r="C1308" s="29" t="s">
        <v>65</v>
      </c>
      <c r="D1308" s="50" t="str">
        <f>VLOOKUP(C1308,Product!A$2:B$21,1,0)</f>
        <v>PD0014</v>
      </c>
      <c r="E1308" s="36">
        <v>78</v>
      </c>
      <c r="F1308" s="38">
        <v>16452540</v>
      </c>
      <c r="G1308" s="39" t="s">
        <v>3682</v>
      </c>
      <c r="H1308" s="12"/>
      <c r="L1308" s="12"/>
    </row>
    <row r="1309" spans="1:12" ht="15.75" customHeight="1" x14ac:dyDescent="0.3">
      <c r="A1309" s="17" t="s">
        <v>683</v>
      </c>
      <c r="B1309" s="50" t="str">
        <f>VLOOKUP(A1309,'Sales Order'!A$2:B$1029,1,0)</f>
        <v>SO0445</v>
      </c>
      <c r="C1309" s="29" t="s">
        <v>25</v>
      </c>
      <c r="D1309" s="50" t="str">
        <f>VLOOKUP(C1309,Product!A$2:B$21,1,0)</f>
        <v>PD0002</v>
      </c>
      <c r="E1309" s="36">
        <v>61</v>
      </c>
      <c r="F1309" s="38">
        <v>963800</v>
      </c>
      <c r="G1309" s="39" t="s">
        <v>3683</v>
      </c>
      <c r="H1309" s="12"/>
      <c r="L1309" s="12"/>
    </row>
    <row r="1310" spans="1:12" ht="15.75" customHeight="1" x14ac:dyDescent="0.3">
      <c r="A1310" s="29" t="s">
        <v>683</v>
      </c>
      <c r="B1310" s="50" t="str">
        <f>VLOOKUP(A1310,'Sales Order'!A$2:B$1029,1,0)</f>
        <v>SO0445</v>
      </c>
      <c r="C1310" s="29" t="s">
        <v>33</v>
      </c>
      <c r="D1310" s="50" t="str">
        <f>VLOOKUP(C1310,Product!A$2:B$21,1,0)</f>
        <v>PD0004</v>
      </c>
      <c r="E1310" s="36">
        <v>125</v>
      </c>
      <c r="F1310" s="38">
        <v>24200000</v>
      </c>
      <c r="G1310" s="39" t="s">
        <v>3684</v>
      </c>
      <c r="H1310" s="12"/>
      <c r="L1310" s="12"/>
    </row>
    <row r="1311" spans="1:12" ht="15.75" customHeight="1" x14ac:dyDescent="0.3">
      <c r="A1311" s="29" t="s">
        <v>683</v>
      </c>
      <c r="B1311" s="50" t="str">
        <f>VLOOKUP(A1311,'Sales Order'!A$2:B$1029,1,0)</f>
        <v>SO0445</v>
      </c>
      <c r="C1311" s="29" t="s">
        <v>35</v>
      </c>
      <c r="D1311" s="50" t="str">
        <f>VLOOKUP(C1311,Product!A$2:B$21,1,0)</f>
        <v>PD0005</v>
      </c>
      <c r="E1311" s="36">
        <v>71</v>
      </c>
      <c r="F1311" s="38">
        <v>143377400</v>
      </c>
      <c r="G1311" s="39" t="s">
        <v>3685</v>
      </c>
      <c r="H1311" s="12"/>
      <c r="L1311" s="12"/>
    </row>
    <row r="1312" spans="1:12" ht="15.75" customHeight="1" x14ac:dyDescent="0.3">
      <c r="A1312" s="17" t="s">
        <v>684</v>
      </c>
      <c r="B1312" s="50" t="str">
        <f>VLOOKUP(A1312,'Sales Order'!A$2:B$1029,1,0)</f>
        <v>SO0446</v>
      </c>
      <c r="C1312" s="29" t="s">
        <v>25</v>
      </c>
      <c r="D1312" s="50" t="str">
        <f>VLOOKUP(C1312,Product!A$2:B$21,1,0)</f>
        <v>PD0002</v>
      </c>
      <c r="E1312" s="36">
        <v>126</v>
      </c>
      <c r="F1312" s="38">
        <v>2142000</v>
      </c>
      <c r="G1312" s="39" t="s">
        <v>3686</v>
      </c>
      <c r="H1312" s="12"/>
      <c r="L1312" s="12"/>
    </row>
    <row r="1313" spans="1:12" ht="15.75" customHeight="1" x14ac:dyDescent="0.3">
      <c r="A1313" s="29" t="s">
        <v>684</v>
      </c>
      <c r="B1313" s="50" t="str">
        <f>VLOOKUP(A1313,'Sales Order'!A$2:B$1029,1,0)</f>
        <v>SO0446</v>
      </c>
      <c r="C1313" s="29" t="s">
        <v>55</v>
      </c>
      <c r="D1313" s="50" t="str">
        <f>VLOOKUP(C1313,Product!A$2:B$21,1,0)</f>
        <v>PD0011</v>
      </c>
      <c r="E1313" s="36">
        <v>129</v>
      </c>
      <c r="F1313" s="38">
        <v>267793680</v>
      </c>
      <c r="G1313" s="39" t="s">
        <v>3687</v>
      </c>
      <c r="H1313" s="12"/>
      <c r="L1313" s="12"/>
    </row>
    <row r="1314" spans="1:12" ht="15.75" customHeight="1" x14ac:dyDescent="0.3">
      <c r="A1314" s="29" t="s">
        <v>684</v>
      </c>
      <c r="B1314" s="50" t="str">
        <f>VLOOKUP(A1314,'Sales Order'!A$2:B$1029,1,0)</f>
        <v>SO0446</v>
      </c>
      <c r="C1314" s="29" t="s">
        <v>78</v>
      </c>
      <c r="D1314" s="50" t="str">
        <f>VLOOKUP(C1314,Product!A$2:B$21,1,0)</f>
        <v>PD0018</v>
      </c>
      <c r="E1314" s="36">
        <v>117</v>
      </c>
      <c r="F1314" s="38">
        <v>57264480</v>
      </c>
      <c r="G1314" s="39" t="s">
        <v>3688</v>
      </c>
      <c r="H1314" s="12"/>
      <c r="L1314" s="12"/>
    </row>
    <row r="1315" spans="1:12" ht="15.75" customHeight="1" x14ac:dyDescent="0.3">
      <c r="A1315" s="17" t="s">
        <v>685</v>
      </c>
      <c r="B1315" s="50" t="str">
        <f>VLOOKUP(A1315,'Sales Order'!A$2:B$1029,1,0)</f>
        <v>SO0447</v>
      </c>
      <c r="C1315" s="29" t="s">
        <v>33</v>
      </c>
      <c r="D1315" s="50" t="str">
        <f>VLOOKUP(C1315,Product!A$2:B$21,1,0)</f>
        <v>PD0004</v>
      </c>
      <c r="E1315" s="36">
        <v>81</v>
      </c>
      <c r="F1315" s="38">
        <v>14790600</v>
      </c>
      <c r="G1315" s="39" t="s">
        <v>3689</v>
      </c>
      <c r="H1315" s="12"/>
      <c r="L1315" s="12"/>
    </row>
    <row r="1316" spans="1:12" ht="15.75" customHeight="1" x14ac:dyDescent="0.3">
      <c r="A1316" s="17" t="s">
        <v>686</v>
      </c>
      <c r="B1316" s="50" t="str">
        <f>VLOOKUP(A1316,'Sales Order'!A$2:B$1029,1,0)</f>
        <v>SO0448</v>
      </c>
      <c r="C1316" s="29" t="s">
        <v>81</v>
      </c>
      <c r="D1316" s="50" t="str">
        <f>VLOOKUP(C1316,Product!A$2:B$21,1,0)</f>
        <v>PD0019</v>
      </c>
      <c r="E1316" s="36">
        <v>60</v>
      </c>
      <c r="F1316" s="38">
        <v>145293000</v>
      </c>
      <c r="G1316" s="39" t="s">
        <v>3690</v>
      </c>
      <c r="H1316" s="12"/>
      <c r="L1316" s="12"/>
    </row>
    <row r="1317" spans="1:12" ht="15.75" customHeight="1" x14ac:dyDescent="0.3">
      <c r="A1317" s="29" t="s">
        <v>686</v>
      </c>
      <c r="B1317" s="50" t="str">
        <f>VLOOKUP(A1317,'Sales Order'!A$2:B$1029,1,0)</f>
        <v>SO0448</v>
      </c>
      <c r="C1317" s="29" t="s">
        <v>33</v>
      </c>
      <c r="D1317" s="50" t="str">
        <f>VLOOKUP(C1317,Product!A$2:B$21,1,0)</f>
        <v>PD0004</v>
      </c>
      <c r="E1317" s="36">
        <v>60</v>
      </c>
      <c r="F1317" s="38">
        <v>11880000</v>
      </c>
      <c r="G1317" s="39" t="s">
        <v>3691</v>
      </c>
      <c r="H1317" s="12"/>
      <c r="L1317" s="12"/>
    </row>
    <row r="1318" spans="1:12" ht="15.75" customHeight="1" x14ac:dyDescent="0.3">
      <c r="A1318" s="29" t="s">
        <v>686</v>
      </c>
      <c r="B1318" s="50" t="str">
        <f>VLOOKUP(A1318,'Sales Order'!A$2:B$1029,1,0)</f>
        <v>SO0448</v>
      </c>
      <c r="C1318" s="29" t="s">
        <v>75</v>
      </c>
      <c r="D1318" s="50" t="str">
        <f>VLOOKUP(C1318,Product!A$2:B$21,1,0)</f>
        <v>PD0017</v>
      </c>
      <c r="E1318" s="36">
        <v>113</v>
      </c>
      <c r="F1318" s="38">
        <v>248543500</v>
      </c>
      <c r="G1318" s="39" t="s">
        <v>3692</v>
      </c>
      <c r="H1318" s="12"/>
      <c r="L1318" s="12"/>
    </row>
    <row r="1319" spans="1:12" ht="15.75" customHeight="1" x14ac:dyDescent="0.3">
      <c r="A1319" s="17" t="s">
        <v>687</v>
      </c>
      <c r="B1319" s="50" t="str">
        <f>VLOOKUP(A1319,'Sales Order'!A$2:B$1029,1,0)</f>
        <v>SO0449</v>
      </c>
      <c r="C1319" s="29" t="s">
        <v>69</v>
      </c>
      <c r="D1319" s="50" t="str">
        <f>VLOOKUP(C1319,Product!A$2:B$21,1,0)</f>
        <v>PD0015</v>
      </c>
      <c r="E1319" s="36">
        <v>52</v>
      </c>
      <c r="F1319" s="38">
        <v>5582772</v>
      </c>
      <c r="G1319" s="39" t="s">
        <v>3693</v>
      </c>
      <c r="H1319" s="12"/>
      <c r="L1319" s="12"/>
    </row>
    <row r="1320" spans="1:12" ht="15.75" customHeight="1" x14ac:dyDescent="0.3">
      <c r="A1320" s="17" t="s">
        <v>688</v>
      </c>
      <c r="B1320" s="50" t="str">
        <f>VLOOKUP(A1320,'Sales Order'!A$2:B$1029,1,0)</f>
        <v>SO0450</v>
      </c>
      <c r="C1320" s="29" t="s">
        <v>69</v>
      </c>
      <c r="D1320" s="50" t="str">
        <f>VLOOKUP(C1320,Product!A$2:B$21,1,0)</f>
        <v>PD0015</v>
      </c>
      <c r="E1320" s="36">
        <v>100</v>
      </c>
      <c r="F1320" s="38">
        <v>11823300</v>
      </c>
      <c r="G1320" s="39" t="s">
        <v>3694</v>
      </c>
      <c r="H1320" s="12"/>
      <c r="L1320" s="12"/>
    </row>
    <row r="1321" spans="1:12" ht="15.75" customHeight="1" x14ac:dyDescent="0.3">
      <c r="A1321" s="29" t="s">
        <v>688</v>
      </c>
      <c r="B1321" s="50" t="str">
        <f>VLOOKUP(A1321,'Sales Order'!A$2:B$1029,1,0)</f>
        <v>SO0450</v>
      </c>
      <c r="C1321" s="29" t="s">
        <v>43</v>
      </c>
      <c r="D1321" s="50" t="str">
        <f>VLOOKUP(C1321,Product!A$2:B$21,1,0)</f>
        <v>PD0007</v>
      </c>
      <c r="E1321" s="36">
        <v>118</v>
      </c>
      <c r="F1321" s="38">
        <v>298304000</v>
      </c>
      <c r="G1321" s="39" t="s">
        <v>3695</v>
      </c>
      <c r="H1321" s="12"/>
      <c r="L1321" s="12"/>
    </row>
    <row r="1322" spans="1:12" ht="15.75" customHeight="1" x14ac:dyDescent="0.3">
      <c r="A1322" s="29" t="s">
        <v>688</v>
      </c>
      <c r="B1322" s="50" t="str">
        <f>VLOOKUP(A1322,'Sales Order'!A$2:B$1029,1,0)</f>
        <v>SO0450</v>
      </c>
      <c r="C1322" s="29" t="s">
        <v>40</v>
      </c>
      <c r="D1322" s="50" t="str">
        <f>VLOOKUP(C1322,Product!A$2:B$21,1,0)</f>
        <v>PD0006</v>
      </c>
      <c r="E1322" s="36">
        <v>112</v>
      </c>
      <c r="F1322" s="38">
        <v>21067200</v>
      </c>
      <c r="G1322" s="39" t="s">
        <v>3696</v>
      </c>
      <c r="H1322" s="12"/>
      <c r="L1322" s="12"/>
    </row>
    <row r="1323" spans="1:12" ht="15.75" customHeight="1" x14ac:dyDescent="0.3">
      <c r="A1323" s="29" t="s">
        <v>688</v>
      </c>
      <c r="B1323" s="50" t="str">
        <f>VLOOKUP(A1323,'Sales Order'!A$2:B$1029,1,0)</f>
        <v>SO0450</v>
      </c>
      <c r="C1323" s="29" t="s">
        <v>72</v>
      </c>
      <c r="D1323" s="50" t="str">
        <f>VLOOKUP(C1323,Product!A$2:B$21,1,0)</f>
        <v>PD0016</v>
      </c>
      <c r="E1323" s="36">
        <v>68</v>
      </c>
      <c r="F1323" s="38">
        <v>16340400</v>
      </c>
      <c r="G1323" s="39" t="s">
        <v>3697</v>
      </c>
      <c r="H1323" s="12"/>
      <c r="L1323" s="12"/>
    </row>
    <row r="1324" spans="1:12" ht="15.75" customHeight="1" x14ac:dyDescent="0.3">
      <c r="A1324" s="17" t="s">
        <v>689</v>
      </c>
      <c r="B1324" s="50" t="str">
        <f>VLOOKUP(A1324,'Sales Order'!A$2:B$1029,1,0)</f>
        <v>SO0451</v>
      </c>
      <c r="C1324" s="29" t="s">
        <v>48</v>
      </c>
      <c r="D1324" s="50" t="str">
        <f>VLOOKUP(C1324,Product!A$2:B$21,1,0)</f>
        <v>PD0009</v>
      </c>
      <c r="E1324" s="36">
        <v>101</v>
      </c>
      <c r="F1324" s="38">
        <v>10944360</v>
      </c>
      <c r="G1324" s="39" t="s">
        <v>3698</v>
      </c>
      <c r="H1324" s="12"/>
      <c r="L1324" s="12"/>
    </row>
    <row r="1325" spans="1:12" ht="15.75" customHeight="1" x14ac:dyDescent="0.3">
      <c r="A1325" s="29" t="s">
        <v>689</v>
      </c>
      <c r="B1325" s="50" t="str">
        <f>VLOOKUP(A1325,'Sales Order'!A$2:B$1029,1,0)</f>
        <v>SO0451</v>
      </c>
      <c r="C1325" s="29" t="s">
        <v>43</v>
      </c>
      <c r="D1325" s="50" t="str">
        <f>VLOOKUP(C1325,Product!A$2:B$21,1,0)</f>
        <v>PD0007</v>
      </c>
      <c r="E1325" s="36">
        <v>36</v>
      </c>
      <c r="F1325" s="38">
        <v>103680000</v>
      </c>
      <c r="G1325" s="39" t="s">
        <v>3699</v>
      </c>
      <c r="H1325" s="12"/>
      <c r="L1325" s="12"/>
    </row>
    <row r="1326" spans="1:12" ht="15.75" customHeight="1" x14ac:dyDescent="0.3">
      <c r="A1326" s="29" t="s">
        <v>690</v>
      </c>
      <c r="B1326" s="50" t="str">
        <f>VLOOKUP(A1326,'Sales Order'!A$2:B$1029,1,0)</f>
        <v>SO0452</v>
      </c>
      <c r="C1326" s="29" t="s">
        <v>65</v>
      </c>
      <c r="D1326" s="50" t="str">
        <f>VLOOKUP(C1326,Product!A$2:B$21,1,0)</f>
        <v>PD0014</v>
      </c>
      <c r="E1326" s="36">
        <v>117</v>
      </c>
      <c r="F1326" s="38">
        <v>29364660</v>
      </c>
      <c r="G1326" s="39" t="s">
        <v>3700</v>
      </c>
      <c r="H1326" s="12"/>
      <c r="L1326" s="12"/>
    </row>
    <row r="1327" spans="1:12" ht="15.75" customHeight="1" x14ac:dyDescent="0.3">
      <c r="A1327" s="29" t="s">
        <v>690</v>
      </c>
      <c r="B1327" s="50" t="str">
        <f>VLOOKUP(A1327,'Sales Order'!A$2:B$1029,1,0)</f>
        <v>SO0452</v>
      </c>
      <c r="C1327" s="29" t="s">
        <v>81</v>
      </c>
      <c r="D1327" s="50" t="str">
        <f>VLOOKUP(C1327,Product!A$2:B$21,1,0)</f>
        <v>PD0019</v>
      </c>
      <c r="E1327" s="36">
        <v>92</v>
      </c>
      <c r="F1327" s="38">
        <v>182916240</v>
      </c>
      <c r="G1327" s="39" t="s">
        <v>3701</v>
      </c>
      <c r="H1327" s="12"/>
      <c r="L1327" s="12"/>
    </row>
    <row r="1328" spans="1:12" ht="15.75" customHeight="1" x14ac:dyDescent="0.3">
      <c r="A1328" s="29" t="s">
        <v>690</v>
      </c>
      <c r="B1328" s="50" t="str">
        <f>VLOOKUP(A1328,'Sales Order'!A$2:B$1029,1,0)</f>
        <v>SO0452</v>
      </c>
      <c r="C1328" s="29" t="s">
        <v>48</v>
      </c>
      <c r="D1328" s="50" t="str">
        <f>VLOOKUP(C1328,Product!A$2:B$21,1,0)</f>
        <v>PD0009</v>
      </c>
      <c r="E1328" s="36">
        <v>106</v>
      </c>
      <c r="F1328" s="38">
        <v>11486160</v>
      </c>
      <c r="G1328" s="39" t="s">
        <v>3702</v>
      </c>
      <c r="H1328" s="12"/>
      <c r="L1328" s="12"/>
    </row>
    <row r="1329" spans="1:12" ht="15.75" customHeight="1" x14ac:dyDescent="0.3">
      <c r="A1329" s="17" t="s">
        <v>691</v>
      </c>
      <c r="B1329" s="50" t="str">
        <f>VLOOKUP(A1329,'Sales Order'!A$2:B$1029,1,0)</f>
        <v>SO0453</v>
      </c>
      <c r="C1329" s="29" t="s">
        <v>55</v>
      </c>
      <c r="D1329" s="50" t="str">
        <f>VLOOKUP(C1329,Product!A$2:B$21,1,0)</f>
        <v>PD0011</v>
      </c>
      <c r="E1329" s="36">
        <v>79</v>
      </c>
      <c r="F1329" s="38">
        <v>141634360</v>
      </c>
      <c r="G1329" s="39" t="s">
        <v>3703</v>
      </c>
      <c r="H1329" s="12"/>
      <c r="L1329" s="12"/>
    </row>
    <row r="1330" spans="1:12" ht="15.75" customHeight="1" x14ac:dyDescent="0.3">
      <c r="A1330" s="17" t="s">
        <v>692</v>
      </c>
      <c r="B1330" s="50" t="str">
        <f>VLOOKUP(A1330,'Sales Order'!A$2:B$1029,1,0)</f>
        <v>SO0454</v>
      </c>
      <c r="C1330" s="29" t="s">
        <v>19</v>
      </c>
      <c r="D1330" s="50" t="str">
        <f>VLOOKUP(C1330,Product!A$2:B$21,1,0)</f>
        <v>PD0001</v>
      </c>
      <c r="E1330" s="36">
        <v>62</v>
      </c>
      <c r="F1330" s="38">
        <v>14357339.999999998</v>
      </c>
      <c r="G1330" s="39" t="s">
        <v>3704</v>
      </c>
      <c r="H1330" s="12"/>
      <c r="L1330" s="12"/>
    </row>
    <row r="1331" spans="1:12" ht="15.75" customHeight="1" x14ac:dyDescent="0.3">
      <c r="A1331" s="29" t="s">
        <v>692</v>
      </c>
      <c r="B1331" s="50" t="str">
        <f>VLOOKUP(A1331,'Sales Order'!A$2:B$1029,1,0)</f>
        <v>SO0454</v>
      </c>
      <c r="C1331" s="29" t="s">
        <v>33</v>
      </c>
      <c r="D1331" s="50" t="str">
        <f>VLOOKUP(C1331,Product!A$2:B$21,1,0)</f>
        <v>PD0004</v>
      </c>
      <c r="E1331" s="36">
        <v>42</v>
      </c>
      <c r="F1331" s="38">
        <v>7854000</v>
      </c>
      <c r="G1331" s="39" t="s">
        <v>3705</v>
      </c>
      <c r="H1331" s="12"/>
      <c r="L1331" s="12"/>
    </row>
    <row r="1332" spans="1:12" ht="15.75" customHeight="1" x14ac:dyDescent="0.3">
      <c r="A1332" s="29" t="s">
        <v>692</v>
      </c>
      <c r="B1332" s="50" t="str">
        <f>VLOOKUP(A1332,'Sales Order'!A$2:B$1029,1,0)</f>
        <v>SO0454</v>
      </c>
      <c r="C1332" s="29" t="s">
        <v>40</v>
      </c>
      <c r="D1332" s="50" t="str">
        <f>VLOOKUP(C1332,Product!A$2:B$21,1,0)</f>
        <v>PD0006</v>
      </c>
      <c r="E1332" s="36">
        <v>63</v>
      </c>
      <c r="F1332" s="38">
        <v>11455290</v>
      </c>
      <c r="G1332" s="39" t="s">
        <v>3706</v>
      </c>
      <c r="H1332" s="12"/>
      <c r="L1332" s="12"/>
    </row>
    <row r="1333" spans="1:12" ht="15.75" customHeight="1" x14ac:dyDescent="0.3">
      <c r="A1333" s="17" t="s">
        <v>693</v>
      </c>
      <c r="B1333" s="50" t="str">
        <f>VLOOKUP(A1333,'Sales Order'!A$2:B$1029,1,0)</f>
        <v>SO0455</v>
      </c>
      <c r="C1333" s="29" t="s">
        <v>61</v>
      </c>
      <c r="D1333" s="50" t="str">
        <f>VLOOKUP(C1333,Product!A$2:B$21,1,0)</f>
        <v>PD0013</v>
      </c>
      <c r="E1333" s="36">
        <v>79</v>
      </c>
      <c r="F1333" s="38">
        <v>32164850</v>
      </c>
      <c r="G1333" s="39" t="s">
        <v>3707</v>
      </c>
      <c r="H1333" s="12"/>
      <c r="L1333" s="12"/>
    </row>
    <row r="1334" spans="1:12" ht="15.75" customHeight="1" x14ac:dyDescent="0.3">
      <c r="A1334" s="29" t="s">
        <v>693</v>
      </c>
      <c r="B1334" s="50" t="str">
        <f>VLOOKUP(A1334,'Sales Order'!A$2:B$1029,1,0)</f>
        <v>SO0455</v>
      </c>
      <c r="C1334" s="29" t="s">
        <v>69</v>
      </c>
      <c r="D1334" s="50" t="str">
        <f>VLOOKUP(C1334,Product!A$2:B$21,1,0)</f>
        <v>PD0015</v>
      </c>
      <c r="E1334" s="36">
        <v>46</v>
      </c>
      <c r="F1334" s="38">
        <v>5938830</v>
      </c>
      <c r="G1334" s="39" t="s">
        <v>3708</v>
      </c>
      <c r="H1334" s="12"/>
      <c r="L1334" s="12"/>
    </row>
    <row r="1335" spans="1:12" ht="15.75" customHeight="1" x14ac:dyDescent="0.3">
      <c r="A1335" s="29" t="s">
        <v>693</v>
      </c>
      <c r="B1335" s="50" t="str">
        <f>VLOOKUP(A1335,'Sales Order'!A$2:B$1029,1,0)</f>
        <v>SO0455</v>
      </c>
      <c r="C1335" s="29" t="s">
        <v>52</v>
      </c>
      <c r="D1335" s="50" t="str">
        <f>VLOOKUP(C1335,Product!A$2:B$21,1,0)</f>
        <v>PD0010</v>
      </c>
      <c r="E1335" s="36">
        <v>75</v>
      </c>
      <c r="F1335" s="38">
        <v>20962500</v>
      </c>
      <c r="G1335" s="39" t="s">
        <v>3709</v>
      </c>
      <c r="H1335" s="12"/>
      <c r="L1335" s="12"/>
    </row>
    <row r="1336" spans="1:12" ht="15.75" customHeight="1" x14ac:dyDescent="0.3">
      <c r="A1336" s="29" t="s">
        <v>693</v>
      </c>
      <c r="B1336" s="50" t="str">
        <f>VLOOKUP(A1336,'Sales Order'!A$2:B$1029,1,0)</f>
        <v>SO0455</v>
      </c>
      <c r="C1336" s="29" t="s">
        <v>55</v>
      </c>
      <c r="D1336" s="50" t="str">
        <f>VLOOKUP(C1336,Product!A$2:B$21,1,0)</f>
        <v>PD0011</v>
      </c>
      <c r="E1336" s="36">
        <v>36</v>
      </c>
      <c r="F1336" s="38">
        <v>76431600</v>
      </c>
      <c r="G1336" s="39" t="s">
        <v>3710</v>
      </c>
      <c r="H1336" s="12"/>
      <c r="L1336" s="12"/>
    </row>
    <row r="1337" spans="1:12" ht="15.75" customHeight="1" x14ac:dyDescent="0.3">
      <c r="A1337" s="29" t="s">
        <v>693</v>
      </c>
      <c r="B1337" s="50" t="str">
        <f>VLOOKUP(A1337,'Sales Order'!A$2:B$1029,1,0)</f>
        <v>SO0455</v>
      </c>
      <c r="C1337" s="29" t="s">
        <v>19</v>
      </c>
      <c r="D1337" s="50" t="str">
        <f>VLOOKUP(C1337,Product!A$2:B$21,1,0)</f>
        <v>PD0001</v>
      </c>
      <c r="E1337" s="36">
        <v>60</v>
      </c>
      <c r="F1337" s="38">
        <v>13595400</v>
      </c>
      <c r="G1337" s="39" t="s">
        <v>3711</v>
      </c>
      <c r="H1337" s="12"/>
      <c r="L1337" s="12"/>
    </row>
    <row r="1338" spans="1:12" ht="15.75" customHeight="1" x14ac:dyDescent="0.3">
      <c r="A1338" s="17" t="s">
        <v>694</v>
      </c>
      <c r="B1338" s="50" t="str">
        <f>VLOOKUP(A1338,'Sales Order'!A$2:B$1029,1,0)</f>
        <v>SO0456</v>
      </c>
      <c r="C1338" s="29" t="s">
        <v>61</v>
      </c>
      <c r="D1338" s="50" t="str">
        <f>VLOOKUP(C1338,Product!A$2:B$21,1,0)</f>
        <v>PD0013</v>
      </c>
      <c r="E1338" s="36">
        <v>131</v>
      </c>
      <c r="F1338" s="38">
        <v>51454180.000000007</v>
      </c>
      <c r="G1338" s="39" t="s">
        <v>3712</v>
      </c>
      <c r="H1338" s="12"/>
      <c r="L1338" s="12"/>
    </row>
    <row r="1339" spans="1:12" ht="15.75" customHeight="1" x14ac:dyDescent="0.3">
      <c r="A1339" s="29" t="s">
        <v>694</v>
      </c>
      <c r="B1339" s="50" t="str">
        <f>VLOOKUP(A1339,'Sales Order'!A$2:B$1029,1,0)</f>
        <v>SO0456</v>
      </c>
      <c r="C1339" s="29" t="s">
        <v>52</v>
      </c>
      <c r="D1339" s="50" t="str">
        <f>VLOOKUP(C1339,Product!A$2:B$21,1,0)</f>
        <v>PD0010</v>
      </c>
      <c r="E1339" s="36">
        <v>83</v>
      </c>
      <c r="F1339" s="38">
        <v>20770750</v>
      </c>
      <c r="G1339" s="39" t="s">
        <v>3713</v>
      </c>
      <c r="H1339" s="12"/>
      <c r="L1339" s="12"/>
    </row>
    <row r="1340" spans="1:12" ht="15.75" customHeight="1" x14ac:dyDescent="0.3">
      <c r="A1340" s="29" t="s">
        <v>694</v>
      </c>
      <c r="B1340" s="50" t="str">
        <f>VLOOKUP(A1340,'Sales Order'!A$2:B$1029,1,0)</f>
        <v>SO0456</v>
      </c>
      <c r="C1340" s="29" t="s">
        <v>43</v>
      </c>
      <c r="D1340" s="50" t="str">
        <f>VLOOKUP(C1340,Product!A$2:B$21,1,0)</f>
        <v>PD0007</v>
      </c>
      <c r="E1340" s="36">
        <v>143</v>
      </c>
      <c r="F1340" s="38">
        <v>407264000</v>
      </c>
      <c r="G1340" s="39" t="s">
        <v>3714</v>
      </c>
      <c r="H1340" s="12"/>
      <c r="L1340" s="12"/>
    </row>
    <row r="1341" spans="1:12" ht="15.75" customHeight="1" x14ac:dyDescent="0.3">
      <c r="A1341" s="29" t="s">
        <v>694</v>
      </c>
      <c r="B1341" s="50" t="str">
        <f>VLOOKUP(A1341,'Sales Order'!A$2:B$1029,1,0)</f>
        <v>SO0456</v>
      </c>
      <c r="C1341" s="29" t="s">
        <v>75</v>
      </c>
      <c r="D1341" s="50" t="str">
        <f>VLOOKUP(C1341,Product!A$2:B$21,1,0)</f>
        <v>PD0017</v>
      </c>
      <c r="E1341" s="36">
        <v>146</v>
      </c>
      <c r="F1341" s="38">
        <v>367555000</v>
      </c>
      <c r="G1341" s="39" t="s">
        <v>3715</v>
      </c>
      <c r="H1341" s="12"/>
      <c r="L1341" s="12"/>
    </row>
    <row r="1342" spans="1:12" ht="15.75" customHeight="1" x14ac:dyDescent="0.3">
      <c r="A1342" s="17" t="s">
        <v>695</v>
      </c>
      <c r="B1342" s="50" t="str">
        <f>VLOOKUP(A1342,'Sales Order'!A$2:B$1029,1,0)</f>
        <v>SO0457</v>
      </c>
      <c r="C1342" s="29" t="s">
        <v>58</v>
      </c>
      <c r="D1342" s="50" t="str">
        <f>VLOOKUP(C1342,Product!A$2:B$21,1,0)</f>
        <v>PD0012</v>
      </c>
      <c r="E1342" s="36">
        <v>28</v>
      </c>
      <c r="F1342" s="38">
        <v>143681720</v>
      </c>
      <c r="G1342" s="39" t="s">
        <v>3716</v>
      </c>
      <c r="H1342" s="12"/>
      <c r="L1342" s="12"/>
    </row>
    <row r="1343" spans="1:12" ht="15.75" customHeight="1" x14ac:dyDescent="0.3">
      <c r="A1343" s="29" t="s">
        <v>695</v>
      </c>
      <c r="B1343" s="50" t="str">
        <f>VLOOKUP(A1343,'Sales Order'!A$2:B$1029,1,0)</f>
        <v>SO0457</v>
      </c>
      <c r="C1343" s="29" t="s">
        <v>81</v>
      </c>
      <c r="D1343" s="50" t="str">
        <f>VLOOKUP(C1343,Product!A$2:B$21,1,0)</f>
        <v>PD0019</v>
      </c>
      <c r="E1343" s="36">
        <v>82</v>
      </c>
      <c r="F1343" s="38">
        <v>173484940</v>
      </c>
      <c r="G1343" s="39" t="s">
        <v>3717</v>
      </c>
      <c r="H1343" s="12"/>
      <c r="L1343" s="12"/>
    </row>
    <row r="1344" spans="1:12" ht="15.75" customHeight="1" x14ac:dyDescent="0.3">
      <c r="A1344" s="29" t="s">
        <v>695</v>
      </c>
      <c r="B1344" s="50" t="str">
        <f>VLOOKUP(A1344,'Sales Order'!A$2:B$1029,1,0)</f>
        <v>SO0457</v>
      </c>
      <c r="C1344" s="29" t="s">
        <v>48</v>
      </c>
      <c r="D1344" s="50" t="str">
        <f>VLOOKUP(C1344,Product!A$2:B$21,1,0)</f>
        <v>PD0009</v>
      </c>
      <c r="E1344" s="36">
        <v>55</v>
      </c>
      <c r="F1344" s="38">
        <v>5463150</v>
      </c>
      <c r="G1344" s="39" t="s">
        <v>3718</v>
      </c>
      <c r="H1344" s="12"/>
      <c r="L1344" s="12"/>
    </row>
    <row r="1345" spans="1:12" ht="15.75" customHeight="1" x14ac:dyDescent="0.3">
      <c r="A1345" s="29" t="s">
        <v>695</v>
      </c>
      <c r="B1345" s="50" t="str">
        <f>VLOOKUP(A1345,'Sales Order'!A$2:B$1029,1,0)</f>
        <v>SO0457</v>
      </c>
      <c r="C1345" s="29" t="s">
        <v>55</v>
      </c>
      <c r="D1345" s="50" t="str">
        <f>VLOOKUP(C1345,Product!A$2:B$21,1,0)</f>
        <v>PD0011</v>
      </c>
      <c r="E1345" s="36">
        <v>45</v>
      </c>
      <c r="F1345" s="38">
        <v>98724150</v>
      </c>
      <c r="G1345" s="39" t="s">
        <v>3719</v>
      </c>
      <c r="H1345" s="12"/>
      <c r="L1345" s="12"/>
    </row>
    <row r="1346" spans="1:12" ht="15.75" customHeight="1" x14ac:dyDescent="0.3">
      <c r="A1346" s="29" t="s">
        <v>695</v>
      </c>
      <c r="B1346" s="50" t="str">
        <f>VLOOKUP(A1346,'Sales Order'!A$2:B$1029,1,0)</f>
        <v>SO0457</v>
      </c>
      <c r="C1346" s="29" t="s">
        <v>61</v>
      </c>
      <c r="D1346" s="50" t="str">
        <f>VLOOKUP(C1346,Product!A$2:B$21,1,0)</f>
        <v>PD0013</v>
      </c>
      <c r="E1346" s="36">
        <v>57</v>
      </c>
      <c r="F1346" s="38">
        <v>24299670</v>
      </c>
      <c r="G1346" s="39" t="s">
        <v>3720</v>
      </c>
      <c r="H1346" s="12"/>
      <c r="L1346" s="12"/>
    </row>
    <row r="1347" spans="1:12" ht="15.75" customHeight="1" x14ac:dyDescent="0.3">
      <c r="A1347" s="29" t="s">
        <v>695</v>
      </c>
      <c r="B1347" s="50" t="str">
        <f>VLOOKUP(A1347,'Sales Order'!A$2:B$1029,1,0)</f>
        <v>SO0457</v>
      </c>
      <c r="C1347" s="29" t="s">
        <v>33</v>
      </c>
      <c r="D1347" s="50" t="str">
        <f>VLOOKUP(C1347,Product!A$2:B$21,1,0)</f>
        <v>PD0004</v>
      </c>
      <c r="E1347" s="36">
        <v>60</v>
      </c>
      <c r="F1347" s="38">
        <v>11484000</v>
      </c>
      <c r="G1347" s="39" t="s">
        <v>3721</v>
      </c>
      <c r="H1347" s="12"/>
      <c r="L1347" s="12"/>
    </row>
    <row r="1348" spans="1:12" ht="15.75" customHeight="1" x14ac:dyDescent="0.3">
      <c r="A1348" s="17" t="s">
        <v>696</v>
      </c>
      <c r="B1348" s="50" t="str">
        <f>VLOOKUP(A1348,'Sales Order'!A$2:B$1029,1,0)</f>
        <v>SO0458</v>
      </c>
      <c r="C1348" s="29" t="s">
        <v>65</v>
      </c>
      <c r="D1348" s="50" t="str">
        <f>VLOOKUP(C1348,Product!A$2:B$21,1,0)</f>
        <v>PD0014</v>
      </c>
      <c r="E1348" s="36">
        <v>84</v>
      </c>
      <c r="F1348" s="38">
        <v>19512360</v>
      </c>
      <c r="G1348" s="39" t="s">
        <v>3722</v>
      </c>
      <c r="H1348" s="12"/>
      <c r="L1348" s="12"/>
    </row>
    <row r="1349" spans="1:12" ht="15.75" customHeight="1" x14ac:dyDescent="0.3">
      <c r="A1349" s="29" t="s">
        <v>696</v>
      </c>
      <c r="B1349" s="50" t="str">
        <f>VLOOKUP(A1349,'Sales Order'!A$2:B$1029,1,0)</f>
        <v>SO0458</v>
      </c>
      <c r="C1349" s="29" t="s">
        <v>48</v>
      </c>
      <c r="D1349" s="50" t="str">
        <f>VLOOKUP(C1349,Product!A$2:B$21,1,0)</f>
        <v>PD0009</v>
      </c>
      <c r="E1349" s="36">
        <v>101</v>
      </c>
      <c r="F1349" s="38">
        <v>11726100</v>
      </c>
      <c r="G1349" s="39" t="s">
        <v>3723</v>
      </c>
      <c r="H1349" s="12"/>
      <c r="L1349" s="12"/>
    </row>
    <row r="1350" spans="1:12" ht="15.75" customHeight="1" x14ac:dyDescent="0.3">
      <c r="A1350" s="17" t="s">
        <v>697</v>
      </c>
      <c r="B1350" s="50" t="str">
        <f>VLOOKUP(A1350,'Sales Order'!A$2:B$1029,1,0)</f>
        <v>SO0459</v>
      </c>
      <c r="C1350" s="29" t="s">
        <v>55</v>
      </c>
      <c r="D1350" s="50" t="str">
        <f>VLOOKUP(C1350,Product!A$2:B$21,1,0)</f>
        <v>PD0011</v>
      </c>
      <c r="E1350" s="36">
        <v>38</v>
      </c>
      <c r="F1350" s="38">
        <v>79781380</v>
      </c>
      <c r="G1350" s="39" t="s">
        <v>3724</v>
      </c>
      <c r="H1350" s="12"/>
      <c r="L1350" s="12"/>
    </row>
    <row r="1351" spans="1:12" ht="15.75" customHeight="1" x14ac:dyDescent="0.3">
      <c r="A1351" s="29" t="s">
        <v>697</v>
      </c>
      <c r="B1351" s="50" t="str">
        <f>VLOOKUP(A1351,'Sales Order'!A$2:B$1029,1,0)</f>
        <v>SO0459</v>
      </c>
      <c r="C1351" s="29" t="s">
        <v>72</v>
      </c>
      <c r="D1351" s="50" t="str">
        <f>VLOOKUP(C1351,Product!A$2:B$21,1,0)</f>
        <v>PD0016</v>
      </c>
      <c r="E1351" s="36">
        <v>70</v>
      </c>
      <c r="F1351" s="38">
        <v>14952000</v>
      </c>
      <c r="G1351" s="39" t="s">
        <v>3725</v>
      </c>
      <c r="H1351" s="12"/>
      <c r="L1351" s="12"/>
    </row>
    <row r="1352" spans="1:12" ht="15.75" customHeight="1" x14ac:dyDescent="0.3">
      <c r="A1352" s="17" t="s">
        <v>698</v>
      </c>
      <c r="B1352" s="50" t="str">
        <f>VLOOKUP(A1352,'Sales Order'!A$2:B$1029,1,0)</f>
        <v>SO0460</v>
      </c>
      <c r="C1352" s="29" t="s">
        <v>81</v>
      </c>
      <c r="D1352" s="50" t="str">
        <f>VLOOKUP(C1352,Product!A$2:B$21,1,0)</f>
        <v>PD0019</v>
      </c>
      <c r="E1352" s="36">
        <v>129</v>
      </c>
      <c r="F1352" s="38">
        <v>276209640</v>
      </c>
      <c r="G1352" s="39" t="s">
        <v>3726</v>
      </c>
      <c r="H1352" s="12"/>
      <c r="L1352" s="12"/>
    </row>
    <row r="1353" spans="1:12" ht="15.75" customHeight="1" x14ac:dyDescent="0.3">
      <c r="A1353" s="29" t="s">
        <v>698</v>
      </c>
      <c r="B1353" s="50" t="str">
        <f>VLOOKUP(A1353,'Sales Order'!A$2:B$1029,1,0)</f>
        <v>SO0460</v>
      </c>
      <c r="C1353" s="29" t="s">
        <v>58</v>
      </c>
      <c r="D1353" s="50" t="str">
        <f>VLOOKUP(C1353,Product!A$2:B$21,1,0)</f>
        <v>PD0012</v>
      </c>
      <c r="E1353" s="36">
        <v>113</v>
      </c>
      <c r="F1353" s="38">
        <v>497021460</v>
      </c>
      <c r="G1353" s="39" t="s">
        <v>3727</v>
      </c>
      <c r="H1353" s="12"/>
      <c r="L1353" s="12"/>
    </row>
    <row r="1354" spans="1:12" ht="15.75" customHeight="1" x14ac:dyDescent="0.3">
      <c r="A1354" s="29" t="s">
        <v>698</v>
      </c>
      <c r="B1354" s="50" t="str">
        <f>VLOOKUP(A1354,'Sales Order'!A$2:B$1029,1,0)</f>
        <v>SO0460</v>
      </c>
      <c r="C1354" s="29" t="s">
        <v>40</v>
      </c>
      <c r="D1354" s="50" t="str">
        <f>VLOOKUP(C1354,Product!A$2:B$21,1,0)</f>
        <v>PD0006</v>
      </c>
      <c r="E1354" s="36">
        <v>86</v>
      </c>
      <c r="F1354" s="38">
        <v>13480500</v>
      </c>
      <c r="G1354" s="39" t="s">
        <v>3728</v>
      </c>
      <c r="H1354" s="12"/>
      <c r="L1354" s="12"/>
    </row>
    <row r="1355" spans="1:12" ht="15.75" customHeight="1" x14ac:dyDescent="0.3">
      <c r="A1355" s="29" t="s">
        <v>698</v>
      </c>
      <c r="B1355" s="50" t="str">
        <f>VLOOKUP(A1355,'Sales Order'!A$2:B$1029,1,0)</f>
        <v>SO0460</v>
      </c>
      <c r="C1355" s="29" t="s">
        <v>48</v>
      </c>
      <c r="D1355" s="50" t="str">
        <f>VLOOKUP(C1355,Product!A$2:B$21,1,0)</f>
        <v>PD0009</v>
      </c>
      <c r="E1355" s="36">
        <v>63</v>
      </c>
      <c r="F1355" s="38">
        <v>7151760</v>
      </c>
      <c r="G1355" s="39" t="s">
        <v>3729</v>
      </c>
      <c r="H1355" s="12"/>
      <c r="L1355" s="12"/>
    </row>
    <row r="1356" spans="1:12" ht="15.75" customHeight="1" x14ac:dyDescent="0.3">
      <c r="A1356" s="17" t="s">
        <v>699</v>
      </c>
      <c r="B1356" s="50" t="str">
        <f>VLOOKUP(A1356,'Sales Order'!A$2:B$1029,1,0)</f>
        <v>SO0461</v>
      </c>
      <c r="C1356" s="29" t="s">
        <v>81</v>
      </c>
      <c r="D1356" s="50" t="str">
        <f>VLOOKUP(C1356,Product!A$2:B$21,1,0)</f>
        <v>PD0019</v>
      </c>
      <c r="E1356" s="36">
        <v>144</v>
      </c>
      <c r="F1356" s="38">
        <v>308327040</v>
      </c>
      <c r="G1356" s="39" t="s">
        <v>3730</v>
      </c>
      <c r="H1356" s="12"/>
      <c r="L1356" s="12"/>
    </row>
    <row r="1357" spans="1:12" ht="15.75" customHeight="1" x14ac:dyDescent="0.3">
      <c r="A1357" s="29" t="s">
        <v>699</v>
      </c>
      <c r="B1357" s="50" t="str">
        <f>VLOOKUP(A1357,'Sales Order'!A$2:B$1029,1,0)</f>
        <v>SO0461</v>
      </c>
      <c r="C1357" s="29" t="s">
        <v>78</v>
      </c>
      <c r="D1357" s="50" t="str">
        <f>VLOOKUP(C1357,Product!A$2:B$21,1,0)</f>
        <v>PD0018</v>
      </c>
      <c r="E1357" s="36">
        <v>30</v>
      </c>
      <c r="F1357" s="38">
        <v>13566000</v>
      </c>
      <c r="G1357" s="39" t="s">
        <v>3731</v>
      </c>
      <c r="H1357" s="12"/>
      <c r="L1357" s="12"/>
    </row>
    <row r="1358" spans="1:12" ht="15.75" customHeight="1" x14ac:dyDescent="0.3">
      <c r="A1358" s="17" t="s">
        <v>700</v>
      </c>
      <c r="B1358" s="50" t="str">
        <f>VLOOKUP(A1358,'Sales Order'!A$2:B$1029,1,0)</f>
        <v>SO0462</v>
      </c>
      <c r="C1358" s="29" t="s">
        <v>35</v>
      </c>
      <c r="D1358" s="50" t="str">
        <f>VLOOKUP(C1358,Product!A$2:B$21,1,0)</f>
        <v>PD0005</v>
      </c>
      <c r="E1358" s="36">
        <v>59</v>
      </c>
      <c r="F1358" s="38">
        <v>119144600</v>
      </c>
      <c r="G1358" s="39" t="s">
        <v>3732</v>
      </c>
      <c r="H1358" s="12"/>
      <c r="L1358" s="12"/>
    </row>
    <row r="1359" spans="1:12" ht="15.75" customHeight="1" x14ac:dyDescent="0.3">
      <c r="A1359" s="29" t="s">
        <v>700</v>
      </c>
      <c r="B1359" s="50" t="str">
        <f>VLOOKUP(A1359,'Sales Order'!A$2:B$1029,1,0)</f>
        <v>SO0462</v>
      </c>
      <c r="C1359" s="29" t="s">
        <v>55</v>
      </c>
      <c r="D1359" s="50" t="str">
        <f>VLOOKUP(C1359,Product!A$2:B$21,1,0)</f>
        <v>PD0011</v>
      </c>
      <c r="E1359" s="36">
        <v>146</v>
      </c>
      <c r="F1359" s="38">
        <v>268642920</v>
      </c>
      <c r="G1359" s="39" t="s">
        <v>3733</v>
      </c>
      <c r="H1359" s="12"/>
      <c r="L1359" s="12"/>
    </row>
    <row r="1360" spans="1:12" ht="15.75" customHeight="1" x14ac:dyDescent="0.3">
      <c r="A1360" s="29" t="s">
        <v>700</v>
      </c>
      <c r="B1360" s="50" t="str">
        <f>VLOOKUP(A1360,'Sales Order'!A$2:B$1029,1,0)</f>
        <v>SO0462</v>
      </c>
      <c r="C1360" s="29" t="s">
        <v>48</v>
      </c>
      <c r="D1360" s="50" t="str">
        <f>VLOOKUP(C1360,Product!A$2:B$21,1,0)</f>
        <v>PD0009</v>
      </c>
      <c r="E1360" s="36">
        <v>77</v>
      </c>
      <c r="F1360" s="38">
        <v>7847070</v>
      </c>
      <c r="G1360" s="39" t="s">
        <v>3734</v>
      </c>
      <c r="H1360" s="12"/>
      <c r="L1360" s="12"/>
    </row>
    <row r="1361" spans="1:12" ht="15.75" customHeight="1" x14ac:dyDescent="0.3">
      <c r="A1361" s="29" t="s">
        <v>700</v>
      </c>
      <c r="B1361" s="50" t="str">
        <f>VLOOKUP(A1361,'Sales Order'!A$2:B$1029,1,0)</f>
        <v>SO0462</v>
      </c>
      <c r="C1361" s="29" t="s">
        <v>69</v>
      </c>
      <c r="D1361" s="50" t="str">
        <f>VLOOKUP(C1361,Product!A$2:B$21,1,0)</f>
        <v>PD0015</v>
      </c>
      <c r="E1361" s="36">
        <v>43</v>
      </c>
      <c r="F1361" s="38">
        <v>5200893</v>
      </c>
      <c r="G1361" s="39" t="s">
        <v>3735</v>
      </c>
      <c r="H1361" s="12"/>
      <c r="L1361" s="12"/>
    </row>
    <row r="1362" spans="1:12" ht="15.75" customHeight="1" x14ac:dyDescent="0.3">
      <c r="A1362" s="29" t="s">
        <v>700</v>
      </c>
      <c r="B1362" s="50" t="str">
        <f>VLOOKUP(A1362,'Sales Order'!A$2:B$1029,1,0)</f>
        <v>SO0462</v>
      </c>
      <c r="C1362" s="29" t="s">
        <v>78</v>
      </c>
      <c r="D1362" s="50" t="str">
        <f>VLOOKUP(C1362,Product!A$2:B$21,1,0)</f>
        <v>PD0018</v>
      </c>
      <c r="E1362" s="36">
        <v>108</v>
      </c>
      <c r="F1362" s="38">
        <v>52284960</v>
      </c>
      <c r="G1362" s="39" t="s">
        <v>3736</v>
      </c>
      <c r="H1362" s="12"/>
      <c r="L1362" s="12"/>
    </row>
    <row r="1363" spans="1:12" ht="15.75" customHeight="1" x14ac:dyDescent="0.3">
      <c r="A1363" s="17" t="s">
        <v>701</v>
      </c>
      <c r="B1363" s="50" t="str">
        <f>VLOOKUP(A1363,'Sales Order'!A$2:B$1029,1,0)</f>
        <v>SO0463</v>
      </c>
      <c r="C1363" s="29" t="s">
        <v>65</v>
      </c>
      <c r="D1363" s="50" t="str">
        <f>VLOOKUP(C1363,Product!A$2:B$21,1,0)</f>
        <v>PD0014</v>
      </c>
      <c r="E1363" s="36">
        <v>120</v>
      </c>
      <c r="F1363" s="38">
        <v>27874800</v>
      </c>
      <c r="G1363" s="39" t="s">
        <v>3737</v>
      </c>
      <c r="H1363" s="12"/>
      <c r="L1363" s="12"/>
    </row>
    <row r="1364" spans="1:12" ht="15.75" customHeight="1" x14ac:dyDescent="0.3">
      <c r="A1364" s="29" t="s">
        <v>701</v>
      </c>
      <c r="B1364" s="50" t="str">
        <f>VLOOKUP(A1364,'Sales Order'!A$2:B$1029,1,0)</f>
        <v>SO0463</v>
      </c>
      <c r="C1364" s="29" t="s">
        <v>72</v>
      </c>
      <c r="D1364" s="50" t="str">
        <f>VLOOKUP(C1364,Product!A$2:B$21,1,0)</f>
        <v>PD0016</v>
      </c>
      <c r="E1364" s="36">
        <v>108</v>
      </c>
      <c r="F1364" s="38">
        <v>21627000</v>
      </c>
      <c r="G1364" s="39" t="s">
        <v>3738</v>
      </c>
      <c r="H1364" s="12"/>
      <c r="L1364" s="12"/>
    </row>
    <row r="1365" spans="1:12" ht="15.75" customHeight="1" x14ac:dyDescent="0.3">
      <c r="A1365" s="17" t="s">
        <v>702</v>
      </c>
      <c r="B1365" s="50" t="str">
        <f>VLOOKUP(A1365,'Sales Order'!A$2:B$1029,1,0)</f>
        <v>SO0464</v>
      </c>
      <c r="C1365" s="29" t="s">
        <v>35</v>
      </c>
      <c r="D1365" s="50" t="str">
        <f>VLOOKUP(C1365,Product!A$2:B$21,1,0)</f>
        <v>PD0005</v>
      </c>
      <c r="E1365" s="36">
        <v>45</v>
      </c>
      <c r="F1365" s="38">
        <v>80007750</v>
      </c>
      <c r="G1365" s="39" t="s">
        <v>3739</v>
      </c>
      <c r="H1365" s="12"/>
      <c r="L1365" s="12"/>
    </row>
    <row r="1366" spans="1:12" ht="15.75" customHeight="1" x14ac:dyDescent="0.3">
      <c r="A1366" s="29" t="s">
        <v>702</v>
      </c>
      <c r="B1366" s="50" t="str">
        <f>VLOOKUP(A1366,'Sales Order'!A$2:B$1029,1,0)</f>
        <v>SO0464</v>
      </c>
      <c r="C1366" s="29" t="s">
        <v>19</v>
      </c>
      <c r="D1366" s="50" t="str">
        <f>VLOOKUP(C1366,Product!A$2:B$21,1,0)</f>
        <v>PD0001</v>
      </c>
      <c r="E1366" s="36">
        <v>79</v>
      </c>
      <c r="F1366" s="38">
        <v>18294030</v>
      </c>
      <c r="G1366" s="39" t="s">
        <v>3740</v>
      </c>
      <c r="H1366" s="12"/>
      <c r="L1366" s="12"/>
    </row>
    <row r="1367" spans="1:12" ht="15.75" customHeight="1" x14ac:dyDescent="0.3">
      <c r="A1367" s="29" t="s">
        <v>702</v>
      </c>
      <c r="B1367" s="50" t="str">
        <f>VLOOKUP(A1367,'Sales Order'!A$2:B$1029,1,0)</f>
        <v>SO0464</v>
      </c>
      <c r="C1367" s="29" t="s">
        <v>81</v>
      </c>
      <c r="D1367" s="50" t="str">
        <f>VLOOKUP(C1367,Product!A$2:B$21,1,0)</f>
        <v>PD0019</v>
      </c>
      <c r="E1367" s="36">
        <v>92</v>
      </c>
      <c r="F1367" s="38">
        <v>206367040</v>
      </c>
      <c r="G1367" s="39" t="s">
        <v>3741</v>
      </c>
      <c r="H1367" s="12"/>
      <c r="L1367" s="12"/>
    </row>
    <row r="1368" spans="1:12" ht="15.75" customHeight="1" x14ac:dyDescent="0.3">
      <c r="A1368" s="29" t="s">
        <v>702</v>
      </c>
      <c r="B1368" s="50" t="str">
        <f>VLOOKUP(A1368,'Sales Order'!A$2:B$1029,1,0)</f>
        <v>SO0464</v>
      </c>
      <c r="C1368" s="29" t="s">
        <v>52</v>
      </c>
      <c r="D1368" s="50" t="str">
        <f>VLOOKUP(C1368,Product!A$2:B$21,1,0)</f>
        <v>PD0010</v>
      </c>
      <c r="E1368" s="36">
        <v>81</v>
      </c>
      <c r="F1368" s="38">
        <v>24482250</v>
      </c>
      <c r="G1368" s="39" t="s">
        <v>3742</v>
      </c>
      <c r="H1368" s="12"/>
      <c r="L1368" s="12"/>
    </row>
    <row r="1369" spans="1:12" ht="15.75" customHeight="1" x14ac:dyDescent="0.3">
      <c r="A1369" s="29" t="s">
        <v>703</v>
      </c>
      <c r="B1369" s="50" t="str">
        <f>VLOOKUP(A1369,'Sales Order'!A$2:B$1029,1,0)</f>
        <v>SO0465</v>
      </c>
      <c r="C1369" s="29" t="s">
        <v>19</v>
      </c>
      <c r="D1369" s="50" t="str">
        <f>VLOOKUP(C1369,Product!A$2:B$21,1,0)</f>
        <v>PD0001</v>
      </c>
      <c r="E1369" s="36">
        <v>120</v>
      </c>
      <c r="F1369" s="38">
        <v>23605200</v>
      </c>
      <c r="G1369" s="39" t="s">
        <v>3743</v>
      </c>
      <c r="H1369" s="12"/>
      <c r="L1369" s="12"/>
    </row>
    <row r="1370" spans="1:12" ht="15.75" customHeight="1" x14ac:dyDescent="0.3">
      <c r="A1370" s="17" t="s">
        <v>704</v>
      </c>
      <c r="B1370" s="50" t="str">
        <f>VLOOKUP(A1370,'Sales Order'!A$2:B$1029,1,0)</f>
        <v>SO0466</v>
      </c>
      <c r="C1370" s="29" t="s">
        <v>48</v>
      </c>
      <c r="D1370" s="50" t="str">
        <f>VLOOKUP(C1370,Product!A$2:B$21,1,0)</f>
        <v>PD0009</v>
      </c>
      <c r="E1370" s="36">
        <v>61</v>
      </c>
      <c r="F1370" s="38">
        <v>7160790</v>
      </c>
      <c r="G1370" s="39" t="s">
        <v>3744</v>
      </c>
      <c r="H1370" s="12"/>
      <c r="L1370" s="12"/>
    </row>
    <row r="1371" spans="1:12" ht="15.75" customHeight="1" x14ac:dyDescent="0.3">
      <c r="A1371" s="17" t="s">
        <v>705</v>
      </c>
      <c r="B1371" s="50" t="str">
        <f>VLOOKUP(A1371,'Sales Order'!A$2:B$1029,1,0)</f>
        <v>SO0467</v>
      </c>
      <c r="C1371" s="29" t="s">
        <v>35</v>
      </c>
      <c r="D1371" s="50" t="str">
        <f>VLOOKUP(C1371,Product!A$2:B$21,1,0)</f>
        <v>PD0005</v>
      </c>
      <c r="E1371" s="36">
        <v>114</v>
      </c>
      <c r="F1371" s="38">
        <v>187672500</v>
      </c>
      <c r="G1371" s="39" t="s">
        <v>3745</v>
      </c>
      <c r="H1371" s="12"/>
      <c r="L1371" s="12"/>
    </row>
    <row r="1372" spans="1:12" ht="15.75" customHeight="1" x14ac:dyDescent="0.3">
      <c r="A1372" s="17" t="s">
        <v>706</v>
      </c>
      <c r="B1372" s="50" t="str">
        <f>VLOOKUP(A1372,'Sales Order'!A$2:B$1029,1,0)</f>
        <v>SO0468</v>
      </c>
      <c r="C1372" s="29" t="s">
        <v>69</v>
      </c>
      <c r="D1372" s="50" t="str">
        <f>VLOOKUP(C1372,Product!A$2:B$21,1,0)</f>
        <v>PD0015</v>
      </c>
      <c r="E1372" s="36">
        <v>72</v>
      </c>
      <c r="F1372" s="38">
        <v>9099864</v>
      </c>
      <c r="G1372" s="39" t="s">
        <v>3746</v>
      </c>
      <c r="H1372" s="12"/>
      <c r="L1372" s="12"/>
    </row>
    <row r="1373" spans="1:12" ht="15.75" customHeight="1" x14ac:dyDescent="0.3">
      <c r="A1373" s="29" t="s">
        <v>706</v>
      </c>
      <c r="B1373" s="50" t="str">
        <f>VLOOKUP(A1373,'Sales Order'!A$2:B$1029,1,0)</f>
        <v>SO0468</v>
      </c>
      <c r="C1373" s="29" t="s">
        <v>58</v>
      </c>
      <c r="D1373" s="50" t="str">
        <f>VLOOKUP(C1373,Product!A$2:B$21,1,0)</f>
        <v>PD0012</v>
      </c>
      <c r="E1373" s="36">
        <v>136</v>
      </c>
      <c r="F1373" s="38">
        <v>613523200</v>
      </c>
      <c r="G1373" s="39" t="s">
        <v>3747</v>
      </c>
      <c r="H1373" s="12"/>
      <c r="L1373" s="12"/>
    </row>
    <row r="1374" spans="1:12" ht="15.75" customHeight="1" x14ac:dyDescent="0.3">
      <c r="A1374" s="17" t="s">
        <v>708</v>
      </c>
      <c r="B1374" s="50" t="str">
        <f>VLOOKUP(A1374,'Sales Order'!A$2:B$1029,1,0)</f>
        <v>SO0470</v>
      </c>
      <c r="C1374" s="29" t="s">
        <v>35</v>
      </c>
      <c r="D1374" s="50" t="str">
        <f>VLOOKUP(C1374,Product!A$2:B$21,1,0)</f>
        <v>PD0005</v>
      </c>
      <c r="E1374" s="36">
        <v>70</v>
      </c>
      <c r="F1374" s="38">
        <v>142894500</v>
      </c>
      <c r="G1374" s="39" t="s">
        <v>3748</v>
      </c>
      <c r="H1374" s="12"/>
      <c r="L1374" s="12"/>
    </row>
    <row r="1375" spans="1:12" ht="15.75" customHeight="1" x14ac:dyDescent="0.3">
      <c r="A1375" s="29" t="s">
        <v>708</v>
      </c>
      <c r="B1375" s="50" t="str">
        <f>VLOOKUP(A1375,'Sales Order'!A$2:B$1029,1,0)</f>
        <v>SO0470</v>
      </c>
      <c r="C1375" s="29" t="s">
        <v>52</v>
      </c>
      <c r="D1375" s="50" t="str">
        <f>VLOOKUP(C1375,Product!A$2:B$21,1,0)</f>
        <v>PD0010</v>
      </c>
      <c r="E1375" s="36">
        <v>138</v>
      </c>
      <c r="F1375" s="38">
        <v>37225500</v>
      </c>
      <c r="G1375" s="39" t="s">
        <v>3749</v>
      </c>
      <c r="H1375" s="12"/>
      <c r="L1375" s="12"/>
    </row>
    <row r="1376" spans="1:12" ht="15.75" customHeight="1" x14ac:dyDescent="0.3">
      <c r="A1376" s="17" t="s">
        <v>709</v>
      </c>
      <c r="B1376" s="50" t="str">
        <f>VLOOKUP(A1376,'Sales Order'!A$2:B$1029,1,0)</f>
        <v>SO0471</v>
      </c>
      <c r="C1376" s="29" t="s">
        <v>52</v>
      </c>
      <c r="D1376" s="50" t="str">
        <f>VLOOKUP(C1376,Product!A$2:B$21,1,0)</f>
        <v>PD0010</v>
      </c>
      <c r="E1376" s="36">
        <v>106</v>
      </c>
      <c r="F1376" s="38">
        <v>27215500</v>
      </c>
      <c r="G1376" s="39" t="s">
        <v>3750</v>
      </c>
      <c r="H1376" s="12"/>
      <c r="L1376" s="12"/>
    </row>
    <row r="1377" spans="1:12" ht="15.75" customHeight="1" x14ac:dyDescent="0.3">
      <c r="A1377" s="17" t="s">
        <v>710</v>
      </c>
      <c r="B1377" s="50" t="str">
        <f>VLOOKUP(A1377,'Sales Order'!A$2:B$1029,1,0)</f>
        <v>SO0472</v>
      </c>
      <c r="C1377" s="29" t="s">
        <v>58</v>
      </c>
      <c r="D1377" s="50" t="str">
        <f>VLOOKUP(C1377,Product!A$2:B$21,1,0)</f>
        <v>PD0012</v>
      </c>
      <c r="E1377" s="36">
        <v>31</v>
      </c>
      <c r="F1377" s="38">
        <v>136351020</v>
      </c>
      <c r="G1377" s="39" t="s">
        <v>3751</v>
      </c>
      <c r="H1377" s="12"/>
      <c r="L1377" s="12"/>
    </row>
    <row r="1378" spans="1:12" ht="15.75" customHeight="1" x14ac:dyDescent="0.3">
      <c r="A1378" s="29" t="s">
        <v>710</v>
      </c>
      <c r="B1378" s="50" t="str">
        <f>VLOOKUP(A1378,'Sales Order'!A$2:B$1029,1,0)</f>
        <v>SO0472</v>
      </c>
      <c r="C1378" s="29" t="s">
        <v>33</v>
      </c>
      <c r="D1378" s="50" t="str">
        <f>VLOOKUP(C1378,Product!A$2:B$21,1,0)</f>
        <v>PD0004</v>
      </c>
      <c r="E1378" s="36">
        <v>29</v>
      </c>
      <c r="F1378" s="38">
        <v>5231600</v>
      </c>
      <c r="G1378" s="39" t="s">
        <v>3752</v>
      </c>
      <c r="H1378" s="12"/>
      <c r="L1378" s="12"/>
    </row>
    <row r="1379" spans="1:12" ht="15.75" customHeight="1" x14ac:dyDescent="0.3">
      <c r="A1379" s="17" t="s">
        <v>711</v>
      </c>
      <c r="B1379" s="50" t="str">
        <f>VLOOKUP(A1379,'Sales Order'!A$2:B$1029,1,0)</f>
        <v>SO0473</v>
      </c>
      <c r="C1379" s="29" t="s">
        <v>43</v>
      </c>
      <c r="D1379" s="50" t="str">
        <f>VLOOKUP(C1379,Product!A$2:B$21,1,0)</f>
        <v>PD0007</v>
      </c>
      <c r="E1379" s="36">
        <v>105</v>
      </c>
      <c r="F1379" s="38">
        <v>315840000</v>
      </c>
      <c r="G1379" s="39" t="s">
        <v>3753</v>
      </c>
      <c r="H1379" s="12"/>
      <c r="L1379" s="12"/>
    </row>
    <row r="1380" spans="1:12" ht="15.75" customHeight="1" x14ac:dyDescent="0.3">
      <c r="A1380" s="29" t="s">
        <v>711</v>
      </c>
      <c r="B1380" s="50" t="str">
        <f>VLOOKUP(A1380,'Sales Order'!A$2:B$1029,1,0)</f>
        <v>SO0473</v>
      </c>
      <c r="C1380" s="29" t="s">
        <v>83</v>
      </c>
      <c r="D1380" s="50" t="str">
        <f>VLOOKUP(C1380,Product!A$2:B$21,1,0)</f>
        <v>PD0020</v>
      </c>
      <c r="E1380" s="36">
        <v>27</v>
      </c>
      <c r="F1380" s="38">
        <v>7280280</v>
      </c>
      <c r="G1380" s="39" t="s">
        <v>3754</v>
      </c>
      <c r="H1380" s="12"/>
      <c r="L1380" s="12"/>
    </row>
    <row r="1381" spans="1:12" ht="15.75" customHeight="1" x14ac:dyDescent="0.3">
      <c r="A1381" s="29" t="s">
        <v>711</v>
      </c>
      <c r="B1381" s="50" t="str">
        <f>VLOOKUP(A1381,'Sales Order'!A$2:B$1029,1,0)</f>
        <v>SO0473</v>
      </c>
      <c r="C1381" s="29" t="s">
        <v>33</v>
      </c>
      <c r="D1381" s="50" t="str">
        <f>VLOOKUP(C1381,Product!A$2:B$21,1,0)</f>
        <v>PD0004</v>
      </c>
      <c r="E1381" s="36">
        <v>134</v>
      </c>
      <c r="F1381" s="38">
        <v>26237200</v>
      </c>
      <c r="G1381" s="39" t="s">
        <v>3755</v>
      </c>
      <c r="H1381" s="12"/>
      <c r="L1381" s="12"/>
    </row>
    <row r="1382" spans="1:12" ht="15.75" customHeight="1" x14ac:dyDescent="0.3">
      <c r="A1382" s="29" t="s">
        <v>711</v>
      </c>
      <c r="B1382" s="50" t="str">
        <f>VLOOKUP(A1382,'Sales Order'!A$2:B$1029,1,0)</f>
        <v>SO0473</v>
      </c>
      <c r="C1382" s="29" t="s">
        <v>81</v>
      </c>
      <c r="D1382" s="50" t="str">
        <f>VLOOKUP(C1382,Product!A$2:B$21,1,0)</f>
        <v>PD0019</v>
      </c>
      <c r="E1382" s="36">
        <v>46</v>
      </c>
      <c r="F1382" s="38">
        <v>87940500</v>
      </c>
      <c r="G1382" s="39" t="s">
        <v>3756</v>
      </c>
      <c r="H1382" s="12"/>
      <c r="L1382" s="12"/>
    </row>
    <row r="1383" spans="1:12" ht="15.75" customHeight="1" x14ac:dyDescent="0.3">
      <c r="A1383" s="17" t="s">
        <v>713</v>
      </c>
      <c r="B1383" s="50" t="str">
        <f>VLOOKUP(A1383,'Sales Order'!A$2:B$1029,1,0)</f>
        <v>SO0475</v>
      </c>
      <c r="C1383" s="29" t="s">
        <v>78</v>
      </c>
      <c r="D1383" s="50" t="str">
        <f>VLOOKUP(C1383,Product!A$2:B$21,1,0)</f>
        <v>PD0018</v>
      </c>
      <c r="E1383" s="36">
        <v>88</v>
      </c>
      <c r="F1383" s="38">
        <v>41666240</v>
      </c>
      <c r="G1383" s="39" t="s">
        <v>3757</v>
      </c>
      <c r="H1383" s="12"/>
      <c r="L1383" s="12"/>
    </row>
    <row r="1384" spans="1:12" ht="15.75" customHeight="1" x14ac:dyDescent="0.3">
      <c r="A1384" s="29" t="s">
        <v>713</v>
      </c>
      <c r="B1384" s="50" t="str">
        <f>VLOOKUP(A1384,'Sales Order'!A$2:B$1029,1,0)</f>
        <v>SO0475</v>
      </c>
      <c r="C1384" s="29" t="s">
        <v>43</v>
      </c>
      <c r="D1384" s="50" t="str">
        <f>VLOOKUP(C1384,Product!A$2:B$21,1,0)</f>
        <v>PD0007</v>
      </c>
      <c r="E1384" s="36">
        <v>110</v>
      </c>
      <c r="F1384" s="38">
        <v>320320000</v>
      </c>
      <c r="G1384" s="39" t="s">
        <v>3758</v>
      </c>
      <c r="H1384" s="12"/>
      <c r="L1384" s="12"/>
    </row>
    <row r="1385" spans="1:12" ht="15.75" customHeight="1" x14ac:dyDescent="0.3">
      <c r="A1385" s="29" t="s">
        <v>713</v>
      </c>
      <c r="B1385" s="50" t="str">
        <f>VLOOKUP(A1385,'Sales Order'!A$2:B$1029,1,0)</f>
        <v>SO0475</v>
      </c>
      <c r="C1385" s="29" t="s">
        <v>65</v>
      </c>
      <c r="D1385" s="50" t="str">
        <f>VLOOKUP(C1385,Product!A$2:B$21,1,0)</f>
        <v>PD0014</v>
      </c>
      <c r="E1385" s="36">
        <v>34</v>
      </c>
      <c r="F1385" s="38">
        <v>7716300</v>
      </c>
      <c r="G1385" s="39" t="s">
        <v>3759</v>
      </c>
      <c r="H1385" s="12"/>
      <c r="L1385" s="12"/>
    </row>
    <row r="1386" spans="1:12" ht="15.75" customHeight="1" x14ac:dyDescent="0.3">
      <c r="A1386" s="29" t="s">
        <v>713</v>
      </c>
      <c r="B1386" s="50" t="str">
        <f>VLOOKUP(A1386,'Sales Order'!A$2:B$1029,1,0)</f>
        <v>SO0475</v>
      </c>
      <c r="C1386" s="29" t="s">
        <v>40</v>
      </c>
      <c r="D1386" s="50" t="str">
        <f>VLOOKUP(C1386,Product!A$2:B$21,1,0)</f>
        <v>PD0006</v>
      </c>
      <c r="E1386" s="36">
        <v>96</v>
      </c>
      <c r="F1386" s="38">
        <v>16452480.000000002</v>
      </c>
      <c r="G1386" s="39" t="s">
        <v>3760</v>
      </c>
      <c r="H1386" s="12"/>
      <c r="L1386" s="12"/>
    </row>
    <row r="1387" spans="1:12" ht="15.75" customHeight="1" x14ac:dyDescent="0.3">
      <c r="A1387" s="17" t="s">
        <v>714</v>
      </c>
      <c r="B1387" s="50" t="str">
        <f>VLOOKUP(A1387,'Sales Order'!A$2:B$1029,1,0)</f>
        <v>SO0476</v>
      </c>
      <c r="C1387" s="29" t="s">
        <v>40</v>
      </c>
      <c r="D1387" s="50" t="str">
        <f>VLOOKUP(C1387,Product!A$2:B$21,1,0)</f>
        <v>PD0006</v>
      </c>
      <c r="E1387" s="36">
        <v>89</v>
      </c>
      <c r="F1387" s="38">
        <v>14694790</v>
      </c>
      <c r="G1387" s="39" t="s">
        <v>3761</v>
      </c>
      <c r="H1387" s="12"/>
      <c r="L1387" s="12"/>
    </row>
    <row r="1388" spans="1:12" ht="15.75" customHeight="1" x14ac:dyDescent="0.3">
      <c r="A1388" s="29" t="s">
        <v>714</v>
      </c>
      <c r="B1388" s="50" t="str">
        <f>VLOOKUP(A1388,'Sales Order'!A$2:B$1029,1,0)</f>
        <v>SO0476</v>
      </c>
      <c r="C1388" s="29" t="s">
        <v>83</v>
      </c>
      <c r="D1388" s="50" t="str">
        <f>VLOOKUP(C1388,Product!A$2:B$21,1,0)</f>
        <v>PD0020</v>
      </c>
      <c r="E1388" s="36">
        <v>124</v>
      </c>
      <c r="F1388" s="38">
        <v>37415760</v>
      </c>
      <c r="G1388" s="39" t="s">
        <v>3762</v>
      </c>
      <c r="H1388" s="12"/>
      <c r="L1388" s="12"/>
    </row>
    <row r="1389" spans="1:12" ht="15.75" customHeight="1" x14ac:dyDescent="0.3">
      <c r="A1389" s="29" t="s">
        <v>714</v>
      </c>
      <c r="B1389" s="50" t="str">
        <f>VLOOKUP(A1389,'Sales Order'!A$2:B$1029,1,0)</f>
        <v>SO0476</v>
      </c>
      <c r="C1389" s="29" t="s">
        <v>69</v>
      </c>
      <c r="D1389" s="50" t="str">
        <f>VLOOKUP(C1389,Product!A$2:B$21,1,0)</f>
        <v>PD0015</v>
      </c>
      <c r="E1389" s="36">
        <v>120</v>
      </c>
      <c r="F1389" s="38">
        <v>14514120</v>
      </c>
      <c r="G1389" s="39" t="s">
        <v>3763</v>
      </c>
      <c r="H1389" s="12"/>
      <c r="L1389" s="12"/>
    </row>
    <row r="1390" spans="1:12" ht="15.75" customHeight="1" x14ac:dyDescent="0.3">
      <c r="A1390" s="29" t="s">
        <v>714</v>
      </c>
      <c r="B1390" s="50" t="str">
        <f>VLOOKUP(A1390,'Sales Order'!A$2:B$1029,1,0)</f>
        <v>SO0476</v>
      </c>
      <c r="C1390" s="29" t="s">
        <v>61</v>
      </c>
      <c r="D1390" s="50" t="str">
        <f>VLOOKUP(C1390,Product!A$2:B$21,1,0)</f>
        <v>PD0013</v>
      </c>
      <c r="E1390" s="36">
        <v>117</v>
      </c>
      <c r="F1390" s="38">
        <v>51559560</v>
      </c>
      <c r="G1390" s="39" t="s">
        <v>3764</v>
      </c>
      <c r="H1390" s="12"/>
      <c r="L1390" s="12"/>
    </row>
    <row r="1391" spans="1:12" ht="15.75" customHeight="1" x14ac:dyDescent="0.3">
      <c r="A1391" s="29" t="s">
        <v>714</v>
      </c>
      <c r="B1391" s="50" t="str">
        <f>VLOOKUP(A1391,'Sales Order'!A$2:B$1029,1,0)</f>
        <v>SO0476</v>
      </c>
      <c r="C1391" s="29" t="s">
        <v>81</v>
      </c>
      <c r="D1391" s="50" t="str">
        <f>VLOOKUP(C1391,Product!A$2:B$21,1,0)</f>
        <v>PD0019</v>
      </c>
      <c r="E1391" s="36">
        <v>50</v>
      </c>
      <c r="F1391" s="38">
        <v>112156000</v>
      </c>
      <c r="G1391" s="39" t="s">
        <v>3765</v>
      </c>
      <c r="H1391" s="12"/>
      <c r="L1391" s="12"/>
    </row>
    <row r="1392" spans="1:12" ht="15.75" customHeight="1" x14ac:dyDescent="0.3">
      <c r="A1392" s="17" t="s">
        <v>715</v>
      </c>
      <c r="B1392" s="50" t="str">
        <f>VLOOKUP(A1392,'Sales Order'!A$2:B$1029,1,0)</f>
        <v>SO0477</v>
      </c>
      <c r="C1392" s="29" t="s">
        <v>65</v>
      </c>
      <c r="D1392" s="50" t="str">
        <f>VLOOKUP(C1392,Product!A$2:B$21,1,0)</f>
        <v>PD0014</v>
      </c>
      <c r="E1392" s="36">
        <v>139</v>
      </c>
      <c r="F1392" s="38">
        <v>32659440</v>
      </c>
      <c r="G1392" s="39" t="s">
        <v>3766</v>
      </c>
      <c r="H1392" s="12"/>
      <c r="L1392" s="12"/>
    </row>
    <row r="1393" spans="1:12" ht="15.75" customHeight="1" x14ac:dyDescent="0.3">
      <c r="A1393" s="29" t="s">
        <v>715</v>
      </c>
      <c r="B1393" s="50" t="str">
        <f>VLOOKUP(A1393,'Sales Order'!A$2:B$1029,1,0)</f>
        <v>SO0477</v>
      </c>
      <c r="C1393" s="29" t="s">
        <v>78</v>
      </c>
      <c r="D1393" s="50" t="str">
        <f>VLOOKUP(C1393,Product!A$2:B$21,1,0)</f>
        <v>PD0018</v>
      </c>
      <c r="E1393" s="36">
        <v>56</v>
      </c>
      <c r="F1393" s="38">
        <v>28004480</v>
      </c>
      <c r="G1393" s="39" t="s">
        <v>3767</v>
      </c>
      <c r="H1393" s="12"/>
      <c r="L1393" s="12"/>
    </row>
    <row r="1394" spans="1:12" ht="15.75" customHeight="1" x14ac:dyDescent="0.3">
      <c r="A1394" s="17" t="s">
        <v>716</v>
      </c>
      <c r="B1394" s="50" t="str">
        <f>VLOOKUP(A1394,'Sales Order'!A$2:B$1029,1,0)</f>
        <v>SO0478</v>
      </c>
      <c r="C1394" s="29" t="s">
        <v>69</v>
      </c>
      <c r="D1394" s="50" t="str">
        <f>VLOOKUP(C1394,Product!A$2:B$21,1,0)</f>
        <v>PD0015</v>
      </c>
      <c r="E1394" s="36">
        <v>85</v>
      </c>
      <c r="F1394" s="38">
        <v>9125685</v>
      </c>
      <c r="G1394" s="39" t="s">
        <v>3768</v>
      </c>
      <c r="H1394" s="12"/>
      <c r="L1394" s="12"/>
    </row>
    <row r="1395" spans="1:12" ht="15.75" customHeight="1" x14ac:dyDescent="0.3">
      <c r="A1395" s="29" t="s">
        <v>716</v>
      </c>
      <c r="B1395" s="50" t="str">
        <f>VLOOKUP(A1395,'Sales Order'!A$2:B$1029,1,0)</f>
        <v>SO0478</v>
      </c>
      <c r="C1395" s="29" t="s">
        <v>40</v>
      </c>
      <c r="D1395" s="50" t="str">
        <f>VLOOKUP(C1395,Product!A$2:B$21,1,0)</f>
        <v>PD0006</v>
      </c>
      <c r="E1395" s="36">
        <v>46</v>
      </c>
      <c r="F1395" s="38">
        <v>8075760</v>
      </c>
      <c r="G1395" s="39" t="s">
        <v>3769</v>
      </c>
      <c r="H1395" s="12"/>
      <c r="L1395" s="12"/>
    </row>
    <row r="1396" spans="1:12" ht="15.75" customHeight="1" x14ac:dyDescent="0.3">
      <c r="A1396" s="29" t="s">
        <v>716</v>
      </c>
      <c r="B1396" s="50" t="str">
        <f>VLOOKUP(A1396,'Sales Order'!A$2:B$1029,1,0)</f>
        <v>SO0478</v>
      </c>
      <c r="C1396" s="29" t="s">
        <v>78</v>
      </c>
      <c r="D1396" s="50" t="str">
        <f>VLOOKUP(C1396,Product!A$2:B$21,1,0)</f>
        <v>PD0018</v>
      </c>
      <c r="E1396" s="36">
        <v>69</v>
      </c>
      <c r="F1396" s="38">
        <v>28999320</v>
      </c>
      <c r="G1396" s="39" t="s">
        <v>3770</v>
      </c>
      <c r="H1396" s="12"/>
      <c r="L1396" s="12"/>
    </row>
    <row r="1397" spans="1:12" ht="15.75" customHeight="1" x14ac:dyDescent="0.3">
      <c r="A1397" s="29" t="s">
        <v>716</v>
      </c>
      <c r="B1397" s="50" t="str">
        <f>VLOOKUP(A1397,'Sales Order'!A$2:B$1029,1,0)</f>
        <v>SO0478</v>
      </c>
      <c r="C1397" s="29" t="s">
        <v>61</v>
      </c>
      <c r="D1397" s="50" t="str">
        <f>VLOOKUP(C1397,Product!A$2:B$21,1,0)</f>
        <v>PD0013</v>
      </c>
      <c r="E1397" s="36">
        <v>57</v>
      </c>
      <c r="F1397" s="38">
        <v>22388460</v>
      </c>
      <c r="G1397" s="39" t="s">
        <v>3771</v>
      </c>
      <c r="H1397" s="12"/>
      <c r="L1397" s="12"/>
    </row>
    <row r="1398" spans="1:12" ht="15.75" customHeight="1" x14ac:dyDescent="0.3">
      <c r="A1398" s="29" t="s">
        <v>716</v>
      </c>
      <c r="B1398" s="50" t="str">
        <f>VLOOKUP(A1398,'Sales Order'!A$2:B$1029,1,0)</f>
        <v>SO0478</v>
      </c>
      <c r="C1398" s="29" t="s">
        <v>58</v>
      </c>
      <c r="D1398" s="50" t="str">
        <f>VLOOKUP(C1398,Product!A$2:B$21,1,0)</f>
        <v>PD0012</v>
      </c>
      <c r="E1398" s="36">
        <v>67</v>
      </c>
      <c r="F1398" s="38">
        <v>358922350</v>
      </c>
      <c r="G1398" s="39" t="s">
        <v>3772</v>
      </c>
      <c r="H1398" s="12"/>
      <c r="L1398" s="12"/>
    </row>
    <row r="1399" spans="1:12" ht="15.75" customHeight="1" x14ac:dyDescent="0.3">
      <c r="A1399" s="17" t="s">
        <v>717</v>
      </c>
      <c r="B1399" s="50" t="str">
        <f>VLOOKUP(A1399,'Sales Order'!A$2:B$1029,1,0)</f>
        <v>SO0479</v>
      </c>
      <c r="C1399" s="29" t="s">
        <v>61</v>
      </c>
      <c r="D1399" s="50" t="str">
        <f>VLOOKUP(C1399,Product!A$2:B$21,1,0)</f>
        <v>PD0013</v>
      </c>
      <c r="E1399" s="36">
        <v>113</v>
      </c>
      <c r="F1399" s="38">
        <v>51420650</v>
      </c>
      <c r="G1399" s="39" t="s">
        <v>3773</v>
      </c>
      <c r="H1399" s="12"/>
      <c r="L1399" s="12"/>
    </row>
    <row r="1400" spans="1:12" ht="15.75" customHeight="1" x14ac:dyDescent="0.3">
      <c r="A1400" s="17" t="s">
        <v>718</v>
      </c>
      <c r="B1400" s="50" t="str">
        <f>VLOOKUP(A1400,'Sales Order'!A$2:B$1029,1,0)</f>
        <v>SO0480</v>
      </c>
      <c r="C1400" s="29" t="s">
        <v>43</v>
      </c>
      <c r="D1400" s="50" t="str">
        <f>VLOOKUP(C1400,Product!A$2:B$21,1,0)</f>
        <v>PD0007</v>
      </c>
      <c r="E1400" s="36">
        <v>77</v>
      </c>
      <c r="F1400" s="38">
        <v>226688000</v>
      </c>
      <c r="G1400" s="39" t="s">
        <v>3774</v>
      </c>
      <c r="H1400" s="12"/>
      <c r="L1400" s="12"/>
    </row>
    <row r="1401" spans="1:12" ht="15.75" customHeight="1" x14ac:dyDescent="0.3">
      <c r="A1401" s="29" t="s">
        <v>718</v>
      </c>
      <c r="B1401" s="50" t="str">
        <f>VLOOKUP(A1401,'Sales Order'!A$2:B$1029,1,0)</f>
        <v>SO0480</v>
      </c>
      <c r="C1401" s="29" t="s">
        <v>35</v>
      </c>
      <c r="D1401" s="50" t="str">
        <f>VLOOKUP(C1401,Product!A$2:B$21,1,0)</f>
        <v>PD0005</v>
      </c>
      <c r="E1401" s="36">
        <v>27</v>
      </c>
      <c r="F1401" s="38">
        <v>51560550</v>
      </c>
      <c r="G1401" s="39" t="s">
        <v>3775</v>
      </c>
      <c r="H1401" s="12"/>
      <c r="L1401" s="12"/>
    </row>
    <row r="1402" spans="1:12" ht="15.75" customHeight="1" x14ac:dyDescent="0.3">
      <c r="A1402" s="17" t="s">
        <v>719</v>
      </c>
      <c r="B1402" s="50" t="str">
        <f>VLOOKUP(A1402,'Sales Order'!A$2:B$1029,1,0)</f>
        <v>SO0481</v>
      </c>
      <c r="C1402" s="29" t="s">
        <v>69</v>
      </c>
      <c r="D1402" s="50" t="str">
        <f>VLOOKUP(C1402,Product!A$2:B$21,1,0)</f>
        <v>PD0015</v>
      </c>
      <c r="E1402" s="36">
        <v>69</v>
      </c>
      <c r="F1402" s="38">
        <v>8251848</v>
      </c>
      <c r="G1402" s="39" t="s">
        <v>3776</v>
      </c>
      <c r="H1402" s="12"/>
      <c r="L1402" s="12"/>
    </row>
    <row r="1403" spans="1:12" ht="15.75" customHeight="1" x14ac:dyDescent="0.3">
      <c r="A1403" s="29" t="s">
        <v>719</v>
      </c>
      <c r="B1403" s="50" t="str">
        <f>VLOOKUP(A1403,'Sales Order'!A$2:B$1029,1,0)</f>
        <v>SO0481</v>
      </c>
      <c r="C1403" s="29" t="s">
        <v>19</v>
      </c>
      <c r="D1403" s="50" t="str">
        <f>VLOOKUP(C1403,Product!A$2:B$21,1,0)</f>
        <v>PD0001</v>
      </c>
      <c r="E1403" s="36">
        <v>147</v>
      </c>
      <c r="F1403" s="38">
        <v>29648430.000000004</v>
      </c>
      <c r="G1403" s="39" t="s">
        <v>3777</v>
      </c>
      <c r="H1403" s="12"/>
      <c r="L1403" s="12"/>
    </row>
    <row r="1404" spans="1:12" ht="15.75" customHeight="1" x14ac:dyDescent="0.3">
      <c r="A1404" s="17" t="s">
        <v>720</v>
      </c>
      <c r="B1404" s="50" t="str">
        <f>VLOOKUP(A1404,'Sales Order'!A$2:B$1029,1,0)</f>
        <v>SO0482</v>
      </c>
      <c r="C1404" s="29" t="s">
        <v>58</v>
      </c>
      <c r="D1404" s="50" t="str">
        <f>VLOOKUP(C1404,Product!A$2:B$21,1,0)</f>
        <v>PD0012</v>
      </c>
      <c r="E1404" s="36">
        <v>49</v>
      </c>
      <c r="F1404" s="38">
        <v>207233250</v>
      </c>
      <c r="G1404" s="39" t="s">
        <v>3778</v>
      </c>
      <c r="H1404" s="12"/>
      <c r="L1404" s="12"/>
    </row>
    <row r="1405" spans="1:12" ht="15.75" customHeight="1" x14ac:dyDescent="0.3">
      <c r="A1405" s="17" t="s">
        <v>721</v>
      </c>
      <c r="B1405" s="50" t="str">
        <f>VLOOKUP(A1405,'Sales Order'!A$2:B$1029,1,0)</f>
        <v>SO0483</v>
      </c>
      <c r="C1405" s="29" t="s">
        <v>43</v>
      </c>
      <c r="D1405" s="50" t="str">
        <f>VLOOKUP(C1405,Product!A$2:B$21,1,0)</f>
        <v>PD0007</v>
      </c>
      <c r="E1405" s="36">
        <v>107</v>
      </c>
      <c r="F1405" s="38">
        <v>291040000</v>
      </c>
      <c r="G1405" s="39" t="s">
        <v>3779</v>
      </c>
      <c r="H1405" s="12"/>
      <c r="L1405" s="12"/>
    </row>
    <row r="1406" spans="1:12" ht="15.75" customHeight="1" x14ac:dyDescent="0.3">
      <c r="A1406" s="29" t="s">
        <v>721</v>
      </c>
      <c r="B1406" s="50" t="str">
        <f>VLOOKUP(A1406,'Sales Order'!A$2:B$1029,1,0)</f>
        <v>SO0483</v>
      </c>
      <c r="C1406" s="29" t="s">
        <v>55</v>
      </c>
      <c r="D1406" s="50" t="str">
        <f>VLOOKUP(C1406,Product!A$2:B$21,1,0)</f>
        <v>PD0011</v>
      </c>
      <c r="E1406" s="36">
        <v>113</v>
      </c>
      <c r="F1406" s="38">
        <v>223916280</v>
      </c>
      <c r="G1406" s="39" t="s">
        <v>3780</v>
      </c>
      <c r="H1406" s="12"/>
      <c r="L1406" s="12"/>
    </row>
    <row r="1407" spans="1:12" ht="15.75" customHeight="1" x14ac:dyDescent="0.3">
      <c r="A1407" s="17" t="s">
        <v>722</v>
      </c>
      <c r="B1407" s="50" t="str">
        <f>VLOOKUP(A1407,'Sales Order'!A$2:B$1029,1,0)</f>
        <v>SO0484</v>
      </c>
      <c r="C1407" s="29" t="s">
        <v>35</v>
      </c>
      <c r="D1407" s="50" t="str">
        <f>VLOOKUP(C1407,Product!A$2:B$21,1,0)</f>
        <v>PD0005</v>
      </c>
      <c r="E1407" s="36">
        <v>78</v>
      </c>
      <c r="F1407" s="38">
        <v>136968000</v>
      </c>
      <c r="G1407" s="39" t="s">
        <v>3781</v>
      </c>
      <c r="H1407" s="12"/>
      <c r="L1407" s="12"/>
    </row>
    <row r="1408" spans="1:12" ht="15.75" customHeight="1" x14ac:dyDescent="0.3">
      <c r="A1408" s="29" t="s">
        <v>722</v>
      </c>
      <c r="B1408" s="50" t="str">
        <f>VLOOKUP(A1408,'Sales Order'!A$2:B$1029,1,0)</f>
        <v>SO0484</v>
      </c>
      <c r="C1408" s="29" t="s">
        <v>43</v>
      </c>
      <c r="D1408" s="50" t="str">
        <f>VLOOKUP(C1408,Product!A$2:B$21,1,0)</f>
        <v>PD0007</v>
      </c>
      <c r="E1408" s="36">
        <v>101</v>
      </c>
      <c r="F1408" s="38">
        <v>281184000</v>
      </c>
      <c r="G1408" s="39" t="s">
        <v>3782</v>
      </c>
      <c r="H1408" s="12"/>
      <c r="L1408" s="12"/>
    </row>
    <row r="1409" spans="1:12" ht="15.75" customHeight="1" x14ac:dyDescent="0.3">
      <c r="A1409" s="29" t="s">
        <v>723</v>
      </c>
      <c r="B1409" s="50" t="str">
        <f>VLOOKUP(A1409,'Sales Order'!A$2:B$1029,1,0)</f>
        <v>SO0485</v>
      </c>
      <c r="C1409" s="29" t="s">
        <v>78</v>
      </c>
      <c r="D1409" s="50" t="str">
        <f>VLOOKUP(C1409,Product!A$2:B$21,1,0)</f>
        <v>PD0018</v>
      </c>
      <c r="E1409" s="36">
        <v>140</v>
      </c>
      <c r="F1409" s="38">
        <v>58094400</v>
      </c>
      <c r="G1409" s="39" t="s">
        <v>3783</v>
      </c>
      <c r="H1409" s="12"/>
      <c r="L1409" s="12"/>
    </row>
    <row r="1410" spans="1:12" ht="15.75" customHeight="1" x14ac:dyDescent="0.3">
      <c r="A1410" s="29" t="s">
        <v>723</v>
      </c>
      <c r="B1410" s="50" t="str">
        <f>VLOOKUP(A1410,'Sales Order'!A$2:B$1029,1,0)</f>
        <v>SO0485</v>
      </c>
      <c r="C1410" s="29" t="s">
        <v>52</v>
      </c>
      <c r="D1410" s="50" t="str">
        <f>VLOOKUP(C1410,Product!A$2:B$21,1,0)</f>
        <v>PD0010</v>
      </c>
      <c r="E1410" s="36">
        <v>108</v>
      </c>
      <c r="F1410" s="38">
        <v>28080000</v>
      </c>
      <c r="G1410" s="39" t="s">
        <v>3784</v>
      </c>
      <c r="H1410" s="12"/>
      <c r="L1410" s="12"/>
    </row>
    <row r="1411" spans="1:12" ht="15.75" customHeight="1" x14ac:dyDescent="0.3">
      <c r="A1411" s="17" t="s">
        <v>724</v>
      </c>
      <c r="B1411" s="50" t="str">
        <f>VLOOKUP(A1411,'Sales Order'!A$2:B$1029,1,0)</f>
        <v>SO0486</v>
      </c>
      <c r="C1411" s="29" t="s">
        <v>52</v>
      </c>
      <c r="D1411" s="50" t="str">
        <f>VLOOKUP(C1411,Product!A$2:B$21,1,0)</f>
        <v>PD0010</v>
      </c>
      <c r="E1411" s="36">
        <v>27</v>
      </c>
      <c r="F1411" s="38">
        <v>7985250</v>
      </c>
      <c r="G1411" s="39" t="s">
        <v>3785</v>
      </c>
      <c r="H1411" s="12"/>
      <c r="L1411" s="12"/>
    </row>
    <row r="1412" spans="1:12" ht="15.75" customHeight="1" x14ac:dyDescent="0.3">
      <c r="A1412" s="29" t="s">
        <v>724</v>
      </c>
      <c r="B1412" s="50" t="str">
        <f>VLOOKUP(A1412,'Sales Order'!A$2:B$1029,1,0)</f>
        <v>SO0486</v>
      </c>
      <c r="C1412" s="29" t="s">
        <v>43</v>
      </c>
      <c r="D1412" s="50" t="str">
        <f>VLOOKUP(C1412,Product!A$2:B$21,1,0)</f>
        <v>PD0007</v>
      </c>
      <c r="E1412" s="36">
        <v>80</v>
      </c>
      <c r="F1412" s="38">
        <v>197120000</v>
      </c>
      <c r="G1412" s="39" t="s">
        <v>3786</v>
      </c>
      <c r="H1412" s="12"/>
      <c r="L1412" s="12"/>
    </row>
    <row r="1413" spans="1:12" ht="15.75" customHeight="1" x14ac:dyDescent="0.3">
      <c r="A1413" s="29" t="s">
        <v>724</v>
      </c>
      <c r="B1413" s="50" t="str">
        <f>VLOOKUP(A1413,'Sales Order'!A$2:B$1029,1,0)</f>
        <v>SO0486</v>
      </c>
      <c r="C1413" s="29" t="s">
        <v>55</v>
      </c>
      <c r="D1413" s="50" t="str">
        <f>VLOOKUP(C1413,Product!A$2:B$21,1,0)</f>
        <v>PD0011</v>
      </c>
      <c r="E1413" s="36">
        <v>119</v>
      </c>
      <c r="F1413" s="38">
        <v>247034480</v>
      </c>
      <c r="G1413" s="39" t="s">
        <v>3787</v>
      </c>
      <c r="H1413" s="12"/>
      <c r="L1413" s="12"/>
    </row>
    <row r="1414" spans="1:12" ht="15.75" customHeight="1" x14ac:dyDescent="0.3">
      <c r="A1414" s="29" t="s">
        <v>724</v>
      </c>
      <c r="B1414" s="50" t="str">
        <f>VLOOKUP(A1414,'Sales Order'!A$2:B$1029,1,0)</f>
        <v>SO0486</v>
      </c>
      <c r="C1414" s="29" t="s">
        <v>45</v>
      </c>
      <c r="D1414" s="50" t="str">
        <f>VLOOKUP(C1414,Product!A$2:B$21,1,0)</f>
        <v>PD0008</v>
      </c>
      <c r="E1414" s="36">
        <v>143</v>
      </c>
      <c r="F1414" s="38">
        <v>17258670</v>
      </c>
      <c r="G1414" s="39" t="s">
        <v>3788</v>
      </c>
      <c r="H1414" s="12"/>
      <c r="L1414" s="12"/>
    </row>
    <row r="1415" spans="1:12" ht="15.75" customHeight="1" x14ac:dyDescent="0.3">
      <c r="A1415" s="29" t="s">
        <v>724</v>
      </c>
      <c r="B1415" s="50" t="str">
        <f>VLOOKUP(A1415,'Sales Order'!A$2:B$1029,1,0)</f>
        <v>SO0486</v>
      </c>
      <c r="C1415" s="29" t="s">
        <v>65</v>
      </c>
      <c r="D1415" s="50" t="str">
        <f>VLOOKUP(C1415,Product!A$2:B$21,1,0)</f>
        <v>PD0014</v>
      </c>
      <c r="E1415" s="36">
        <v>87</v>
      </c>
      <c r="F1415" s="38">
        <v>20441520</v>
      </c>
      <c r="G1415" s="39" t="s">
        <v>3789</v>
      </c>
      <c r="H1415" s="12"/>
      <c r="L1415" s="12"/>
    </row>
    <row r="1416" spans="1:12" ht="15.75" customHeight="1" x14ac:dyDescent="0.3">
      <c r="A1416" s="17" t="s">
        <v>725</v>
      </c>
      <c r="B1416" s="50" t="str">
        <f>VLOOKUP(A1416,'Sales Order'!A$2:B$1029,1,0)</f>
        <v>SO0487</v>
      </c>
      <c r="C1416" s="29" t="s">
        <v>52</v>
      </c>
      <c r="D1416" s="50" t="str">
        <f>VLOOKUP(C1416,Product!A$2:B$21,1,0)</f>
        <v>PD0010</v>
      </c>
      <c r="E1416" s="36">
        <v>121</v>
      </c>
      <c r="F1416" s="38">
        <v>33426250</v>
      </c>
      <c r="G1416" s="39" t="s">
        <v>3790</v>
      </c>
      <c r="H1416" s="12"/>
      <c r="L1416" s="12"/>
    </row>
    <row r="1417" spans="1:12" ht="15.75" customHeight="1" x14ac:dyDescent="0.3">
      <c r="A1417" s="29" t="s">
        <v>725</v>
      </c>
      <c r="B1417" s="50" t="str">
        <f>VLOOKUP(A1417,'Sales Order'!A$2:B$1029,1,0)</f>
        <v>SO0487</v>
      </c>
      <c r="C1417" s="29" t="s">
        <v>35</v>
      </c>
      <c r="D1417" s="50" t="str">
        <f>VLOOKUP(C1417,Product!A$2:B$21,1,0)</f>
        <v>PD0005</v>
      </c>
      <c r="E1417" s="36">
        <v>141</v>
      </c>
      <c r="F1417" s="38">
        <v>275450550</v>
      </c>
      <c r="G1417" s="39" t="s">
        <v>3791</v>
      </c>
      <c r="H1417" s="12"/>
      <c r="L1417" s="12"/>
    </row>
    <row r="1418" spans="1:12" ht="15.75" customHeight="1" x14ac:dyDescent="0.3">
      <c r="A1418" s="29" t="s">
        <v>725</v>
      </c>
      <c r="B1418" s="50" t="str">
        <f>VLOOKUP(A1418,'Sales Order'!A$2:B$1029,1,0)</f>
        <v>SO0487</v>
      </c>
      <c r="C1418" s="29" t="s">
        <v>33</v>
      </c>
      <c r="D1418" s="50" t="str">
        <f>VLOOKUP(C1418,Product!A$2:B$21,1,0)</f>
        <v>PD0004</v>
      </c>
      <c r="E1418" s="36">
        <v>33</v>
      </c>
      <c r="F1418" s="38">
        <v>5517600</v>
      </c>
      <c r="G1418" s="39" t="s">
        <v>3792</v>
      </c>
      <c r="H1418" s="12"/>
      <c r="L1418" s="12"/>
    </row>
    <row r="1419" spans="1:12" ht="15.75" customHeight="1" x14ac:dyDescent="0.3">
      <c r="A1419" s="29" t="s">
        <v>725</v>
      </c>
      <c r="B1419" s="50" t="str">
        <f>VLOOKUP(A1419,'Sales Order'!A$2:B$1029,1,0)</f>
        <v>SO0487</v>
      </c>
      <c r="C1419" s="29" t="s">
        <v>58</v>
      </c>
      <c r="D1419" s="50" t="str">
        <f>VLOOKUP(C1419,Product!A$2:B$21,1,0)</f>
        <v>PD0012</v>
      </c>
      <c r="E1419" s="36">
        <v>133</v>
      </c>
      <c r="F1419" s="38">
        <v>674988300</v>
      </c>
      <c r="G1419" s="39" t="s">
        <v>3793</v>
      </c>
      <c r="H1419" s="12"/>
      <c r="L1419" s="12"/>
    </row>
    <row r="1420" spans="1:12" ht="15.75" customHeight="1" x14ac:dyDescent="0.3">
      <c r="A1420" s="17" t="s">
        <v>726</v>
      </c>
      <c r="B1420" s="50" t="str">
        <f>VLOOKUP(A1420,'Sales Order'!A$2:B$1029,1,0)</f>
        <v>SO0488</v>
      </c>
      <c r="C1420" s="29" t="s">
        <v>65</v>
      </c>
      <c r="D1420" s="50" t="str">
        <f>VLOOKUP(C1420,Product!A$2:B$21,1,0)</f>
        <v>PD0014</v>
      </c>
      <c r="E1420" s="36">
        <v>115</v>
      </c>
      <c r="F1420" s="38">
        <v>28248600</v>
      </c>
      <c r="G1420" s="39" t="s">
        <v>3794</v>
      </c>
      <c r="H1420" s="12"/>
      <c r="L1420" s="12"/>
    </row>
    <row r="1421" spans="1:12" ht="15.75" customHeight="1" x14ac:dyDescent="0.3">
      <c r="A1421" s="29" t="s">
        <v>726</v>
      </c>
      <c r="B1421" s="50" t="str">
        <f>VLOOKUP(A1421,'Sales Order'!A$2:B$1029,1,0)</f>
        <v>SO0488</v>
      </c>
      <c r="C1421" s="29" t="s">
        <v>40</v>
      </c>
      <c r="D1421" s="50" t="str">
        <f>VLOOKUP(C1421,Product!A$2:B$21,1,0)</f>
        <v>PD0006</v>
      </c>
      <c r="E1421" s="36">
        <v>97</v>
      </c>
      <c r="F1421" s="38">
        <v>17434780</v>
      </c>
      <c r="G1421" s="39" t="s">
        <v>3795</v>
      </c>
      <c r="H1421" s="12"/>
      <c r="L1421" s="12"/>
    </row>
    <row r="1422" spans="1:12" ht="15.75" customHeight="1" x14ac:dyDescent="0.3">
      <c r="A1422" s="17" t="s">
        <v>727</v>
      </c>
      <c r="B1422" s="50" t="str">
        <f>VLOOKUP(A1422,'Sales Order'!A$2:B$1029,1,0)</f>
        <v>SO0489</v>
      </c>
      <c r="C1422" s="29" t="s">
        <v>35</v>
      </c>
      <c r="D1422" s="50" t="str">
        <f>VLOOKUP(C1422,Product!A$2:B$21,1,0)</f>
        <v>PD0005</v>
      </c>
      <c r="E1422" s="36">
        <v>119</v>
      </c>
      <c r="F1422" s="38">
        <v>211576050</v>
      </c>
      <c r="G1422" s="39" t="s">
        <v>3796</v>
      </c>
      <c r="H1422" s="12"/>
      <c r="L1422" s="12"/>
    </row>
    <row r="1423" spans="1:12" ht="15.75" customHeight="1" x14ac:dyDescent="0.3">
      <c r="A1423" s="29" t="s">
        <v>727</v>
      </c>
      <c r="B1423" s="50" t="str">
        <f>VLOOKUP(A1423,'Sales Order'!A$2:B$1029,1,0)</f>
        <v>SO0489</v>
      </c>
      <c r="C1423" s="29" t="s">
        <v>72</v>
      </c>
      <c r="D1423" s="50" t="str">
        <f>VLOOKUP(C1423,Product!A$2:B$21,1,0)</f>
        <v>PD0016</v>
      </c>
      <c r="E1423" s="36">
        <v>79</v>
      </c>
      <c r="F1423" s="38">
        <v>17296260</v>
      </c>
      <c r="G1423" s="39" t="s">
        <v>3797</v>
      </c>
      <c r="H1423" s="12"/>
      <c r="L1423" s="12"/>
    </row>
    <row r="1424" spans="1:12" ht="15.75" customHeight="1" x14ac:dyDescent="0.3">
      <c r="A1424" s="29" t="s">
        <v>727</v>
      </c>
      <c r="B1424" s="50" t="str">
        <f>VLOOKUP(A1424,'Sales Order'!A$2:B$1029,1,0)</f>
        <v>SO0489</v>
      </c>
      <c r="C1424" s="29" t="s">
        <v>81</v>
      </c>
      <c r="D1424" s="50" t="str">
        <f>VLOOKUP(C1424,Product!A$2:B$21,1,0)</f>
        <v>PD0019</v>
      </c>
      <c r="E1424" s="36">
        <v>39</v>
      </c>
      <c r="F1424" s="38">
        <v>76546470</v>
      </c>
      <c r="G1424" s="39" t="s">
        <v>3798</v>
      </c>
      <c r="H1424" s="12"/>
      <c r="L1424" s="12"/>
    </row>
    <row r="1425" spans="1:12" ht="15.75" customHeight="1" x14ac:dyDescent="0.3">
      <c r="A1425" s="29" t="s">
        <v>727</v>
      </c>
      <c r="B1425" s="50" t="str">
        <f>VLOOKUP(A1425,'Sales Order'!A$2:B$1029,1,0)</f>
        <v>SO0489</v>
      </c>
      <c r="C1425" s="29" t="s">
        <v>48</v>
      </c>
      <c r="D1425" s="50" t="str">
        <f>VLOOKUP(C1425,Product!A$2:B$21,1,0)</f>
        <v>PD0009</v>
      </c>
      <c r="E1425" s="36">
        <v>108</v>
      </c>
      <c r="F1425" s="38">
        <v>12678120</v>
      </c>
      <c r="G1425" s="39" t="s">
        <v>3799</v>
      </c>
      <c r="H1425" s="12"/>
      <c r="L1425" s="12"/>
    </row>
    <row r="1426" spans="1:12" ht="15.75" customHeight="1" x14ac:dyDescent="0.3">
      <c r="A1426" s="17" t="s">
        <v>728</v>
      </c>
      <c r="B1426" s="50" t="str">
        <f>VLOOKUP(A1426,'Sales Order'!A$2:B$1029,1,0)</f>
        <v>SO0490</v>
      </c>
      <c r="C1426" s="29" t="s">
        <v>72</v>
      </c>
      <c r="D1426" s="50" t="str">
        <f>VLOOKUP(C1426,Product!A$2:B$21,1,0)</f>
        <v>PD0016</v>
      </c>
      <c r="E1426" s="36">
        <v>29</v>
      </c>
      <c r="F1426" s="38">
        <v>5962110</v>
      </c>
      <c r="G1426" s="39" t="s">
        <v>3800</v>
      </c>
      <c r="H1426" s="12"/>
      <c r="L1426" s="12"/>
    </row>
    <row r="1427" spans="1:12" ht="15.75" customHeight="1" x14ac:dyDescent="0.3">
      <c r="A1427" s="29" t="s">
        <v>728</v>
      </c>
      <c r="B1427" s="50" t="str">
        <f>VLOOKUP(A1427,'Sales Order'!A$2:B$1029,1,0)</f>
        <v>SO0490</v>
      </c>
      <c r="C1427" s="29" t="s">
        <v>48</v>
      </c>
      <c r="D1427" s="50" t="str">
        <f>VLOOKUP(C1427,Product!A$2:B$21,1,0)</f>
        <v>PD0009</v>
      </c>
      <c r="E1427" s="36">
        <v>54</v>
      </c>
      <c r="F1427" s="38">
        <v>6060420</v>
      </c>
      <c r="G1427" s="39" t="s">
        <v>3801</v>
      </c>
      <c r="H1427" s="12"/>
      <c r="L1427" s="12"/>
    </row>
    <row r="1428" spans="1:12" ht="15.75" customHeight="1" x14ac:dyDescent="0.3">
      <c r="A1428" s="29" t="s">
        <v>728</v>
      </c>
      <c r="B1428" s="50" t="str">
        <f>VLOOKUP(A1428,'Sales Order'!A$2:B$1029,1,0)</f>
        <v>SO0490</v>
      </c>
      <c r="C1428" s="29" t="s">
        <v>40</v>
      </c>
      <c r="D1428" s="50" t="str">
        <f>VLOOKUP(C1428,Product!A$2:B$21,1,0)</f>
        <v>PD0006</v>
      </c>
      <c r="E1428" s="36">
        <v>43</v>
      </c>
      <c r="F1428" s="38">
        <v>7728820</v>
      </c>
      <c r="G1428" s="39" t="s">
        <v>3802</v>
      </c>
      <c r="H1428" s="12"/>
      <c r="L1428" s="12"/>
    </row>
    <row r="1429" spans="1:12" ht="15.75" customHeight="1" x14ac:dyDescent="0.3">
      <c r="A1429" s="29" t="s">
        <v>728</v>
      </c>
      <c r="B1429" s="50" t="str">
        <f>VLOOKUP(A1429,'Sales Order'!A$2:B$1029,1,0)</f>
        <v>SO0490</v>
      </c>
      <c r="C1429" s="29" t="s">
        <v>61</v>
      </c>
      <c r="D1429" s="50" t="str">
        <f>VLOOKUP(C1429,Product!A$2:B$21,1,0)</f>
        <v>PD0013</v>
      </c>
      <c r="E1429" s="36">
        <v>106</v>
      </c>
      <c r="F1429" s="38">
        <v>42142420</v>
      </c>
      <c r="G1429" s="39" t="s">
        <v>3803</v>
      </c>
      <c r="H1429" s="12"/>
      <c r="L1429" s="12"/>
    </row>
    <row r="1430" spans="1:12" ht="15.75" customHeight="1" x14ac:dyDescent="0.3">
      <c r="A1430" s="17" t="s">
        <v>729</v>
      </c>
      <c r="B1430" s="50" t="str">
        <f>VLOOKUP(A1430,'Sales Order'!A$2:B$1029,1,0)</f>
        <v>SO0491</v>
      </c>
      <c r="C1430" s="29" t="s">
        <v>72</v>
      </c>
      <c r="D1430" s="50" t="str">
        <f>VLOOKUP(C1430,Product!A$2:B$21,1,0)</f>
        <v>PD0016</v>
      </c>
      <c r="E1430" s="36">
        <v>109</v>
      </c>
      <c r="F1430" s="38">
        <v>22409310</v>
      </c>
      <c r="G1430" s="39" t="s">
        <v>3804</v>
      </c>
      <c r="H1430" s="12"/>
      <c r="L1430" s="12"/>
    </row>
    <row r="1431" spans="1:12" ht="15.75" customHeight="1" x14ac:dyDescent="0.3">
      <c r="A1431" s="17" t="s">
        <v>730</v>
      </c>
      <c r="B1431" s="50" t="str">
        <f>VLOOKUP(A1431,'Sales Order'!A$2:B$1029,1,0)</f>
        <v>SO0492</v>
      </c>
      <c r="C1431" s="29" t="s">
        <v>33</v>
      </c>
      <c r="D1431" s="50" t="str">
        <f>VLOOKUP(C1431,Product!A$2:B$21,1,0)</f>
        <v>PD0004</v>
      </c>
      <c r="E1431" s="36">
        <v>25</v>
      </c>
      <c r="F1431" s="38">
        <v>4785000</v>
      </c>
      <c r="G1431" s="39" t="s">
        <v>3805</v>
      </c>
      <c r="H1431" s="12"/>
      <c r="L1431" s="12"/>
    </row>
    <row r="1432" spans="1:12" ht="15.75" customHeight="1" x14ac:dyDescent="0.3">
      <c r="A1432" s="29" t="s">
        <v>730</v>
      </c>
      <c r="B1432" s="50" t="str">
        <f>VLOOKUP(A1432,'Sales Order'!A$2:B$1029,1,0)</f>
        <v>SO0492</v>
      </c>
      <c r="C1432" s="29" t="s">
        <v>61</v>
      </c>
      <c r="D1432" s="50" t="str">
        <f>VLOOKUP(C1432,Product!A$2:B$21,1,0)</f>
        <v>PD0013</v>
      </c>
      <c r="E1432" s="36">
        <v>107</v>
      </c>
      <c r="F1432" s="38">
        <v>43052520</v>
      </c>
      <c r="G1432" s="39" t="s">
        <v>3806</v>
      </c>
      <c r="H1432" s="12"/>
      <c r="L1432" s="12"/>
    </row>
    <row r="1433" spans="1:12" ht="15.75" customHeight="1" x14ac:dyDescent="0.3">
      <c r="A1433" s="17" t="s">
        <v>731</v>
      </c>
      <c r="B1433" s="50" t="str">
        <f>VLOOKUP(A1433,'Sales Order'!A$2:B$1029,1,0)</f>
        <v>SO0493</v>
      </c>
      <c r="C1433" s="29" t="s">
        <v>83</v>
      </c>
      <c r="D1433" s="50" t="str">
        <f>VLOOKUP(C1433,Product!A$2:B$21,1,0)</f>
        <v>PD0020</v>
      </c>
      <c r="E1433" s="36">
        <v>109</v>
      </c>
      <c r="F1433" s="38">
        <v>26941530</v>
      </c>
      <c r="G1433" s="39" t="s">
        <v>3807</v>
      </c>
      <c r="H1433" s="12"/>
      <c r="L1433" s="12"/>
    </row>
    <row r="1434" spans="1:12" ht="15.75" customHeight="1" x14ac:dyDescent="0.3">
      <c r="A1434" s="29" t="s">
        <v>731</v>
      </c>
      <c r="B1434" s="50" t="str">
        <f>VLOOKUP(A1434,'Sales Order'!A$2:B$1029,1,0)</f>
        <v>SO0493</v>
      </c>
      <c r="C1434" s="29" t="s">
        <v>81</v>
      </c>
      <c r="D1434" s="50" t="str">
        <f>VLOOKUP(C1434,Product!A$2:B$21,1,0)</f>
        <v>PD0019</v>
      </c>
      <c r="E1434" s="36">
        <v>144</v>
      </c>
      <c r="F1434" s="38">
        <v>334020960</v>
      </c>
      <c r="G1434" s="39" t="s">
        <v>3808</v>
      </c>
      <c r="H1434" s="12"/>
      <c r="L1434" s="12"/>
    </row>
    <row r="1435" spans="1:12" ht="15.75" customHeight="1" x14ac:dyDescent="0.3">
      <c r="A1435" s="29" t="s">
        <v>731</v>
      </c>
      <c r="B1435" s="50" t="str">
        <f>VLOOKUP(A1435,'Sales Order'!A$2:B$1029,1,0)</f>
        <v>SO0493</v>
      </c>
      <c r="C1435" s="29" t="s">
        <v>78</v>
      </c>
      <c r="D1435" s="50" t="str">
        <f>VLOOKUP(C1435,Product!A$2:B$21,1,0)</f>
        <v>PD0018</v>
      </c>
      <c r="E1435" s="36">
        <v>146</v>
      </c>
      <c r="F1435" s="38">
        <v>62914320.000000007</v>
      </c>
      <c r="G1435" s="39" t="s">
        <v>3809</v>
      </c>
      <c r="H1435" s="12"/>
      <c r="L1435" s="12"/>
    </row>
    <row r="1436" spans="1:12" ht="15.75" customHeight="1" x14ac:dyDescent="0.3">
      <c r="A1436" s="29" t="s">
        <v>731</v>
      </c>
      <c r="B1436" s="50" t="str">
        <f>VLOOKUP(A1436,'Sales Order'!A$2:B$1029,1,0)</f>
        <v>SO0493</v>
      </c>
      <c r="C1436" s="29" t="s">
        <v>25</v>
      </c>
      <c r="D1436" s="50" t="str">
        <f>VLOOKUP(C1436,Product!A$2:B$21,1,0)</f>
        <v>PD0002</v>
      </c>
      <c r="E1436" s="36">
        <v>94</v>
      </c>
      <c r="F1436" s="38">
        <v>1410000</v>
      </c>
      <c r="G1436" s="39" t="s">
        <v>3810</v>
      </c>
      <c r="H1436" s="12"/>
      <c r="L1436" s="12"/>
    </row>
    <row r="1437" spans="1:12" ht="15.75" customHeight="1" x14ac:dyDescent="0.3">
      <c r="A1437" s="17" t="s">
        <v>732</v>
      </c>
      <c r="B1437" s="50" t="str">
        <f>VLOOKUP(A1437,'Sales Order'!A$2:B$1029,1,0)</f>
        <v>SO0494</v>
      </c>
      <c r="C1437" s="29" t="s">
        <v>61</v>
      </c>
      <c r="D1437" s="50" t="str">
        <f>VLOOKUP(C1437,Product!A$2:B$21,1,0)</f>
        <v>PD0013</v>
      </c>
      <c r="E1437" s="36">
        <v>120</v>
      </c>
      <c r="F1437" s="38">
        <v>48858000</v>
      </c>
      <c r="G1437" s="39" t="s">
        <v>3811</v>
      </c>
      <c r="H1437" s="12"/>
      <c r="L1437" s="12"/>
    </row>
    <row r="1438" spans="1:12" ht="15.75" customHeight="1" x14ac:dyDescent="0.3">
      <c r="A1438" s="29" t="s">
        <v>732</v>
      </c>
      <c r="B1438" s="50" t="str">
        <f>VLOOKUP(A1438,'Sales Order'!A$2:B$1029,1,0)</f>
        <v>SO0494</v>
      </c>
      <c r="C1438" s="29" t="s">
        <v>45</v>
      </c>
      <c r="D1438" s="50" t="str">
        <f>VLOOKUP(C1438,Product!A$2:B$21,1,0)</f>
        <v>PD0008</v>
      </c>
      <c r="E1438" s="36">
        <v>125</v>
      </c>
      <c r="F1438" s="38">
        <v>16948750</v>
      </c>
      <c r="G1438" s="39" t="s">
        <v>3812</v>
      </c>
      <c r="H1438" s="12"/>
      <c r="L1438" s="12"/>
    </row>
    <row r="1439" spans="1:12" ht="15.75" customHeight="1" x14ac:dyDescent="0.3">
      <c r="A1439" s="29" t="s">
        <v>732</v>
      </c>
      <c r="B1439" s="50" t="str">
        <f>VLOOKUP(A1439,'Sales Order'!A$2:B$1029,1,0)</f>
        <v>SO0494</v>
      </c>
      <c r="C1439" s="29" t="s">
        <v>28</v>
      </c>
      <c r="D1439" s="50" t="str">
        <f>VLOOKUP(C1439,Product!A$2:B$21,1,0)</f>
        <v>PD0003</v>
      </c>
      <c r="E1439" s="36">
        <v>88</v>
      </c>
      <c r="F1439" s="38">
        <v>74554480</v>
      </c>
      <c r="G1439" s="39" t="s">
        <v>3813</v>
      </c>
      <c r="H1439" s="12"/>
      <c r="L1439" s="12"/>
    </row>
    <row r="1440" spans="1:12" ht="15.75" customHeight="1" x14ac:dyDescent="0.3">
      <c r="A1440" s="29" t="s">
        <v>732</v>
      </c>
      <c r="B1440" s="50" t="str">
        <f>VLOOKUP(A1440,'Sales Order'!A$2:B$1029,1,0)</f>
        <v>SO0494</v>
      </c>
      <c r="C1440" s="29" t="s">
        <v>75</v>
      </c>
      <c r="D1440" s="50" t="str">
        <f>VLOOKUP(C1440,Product!A$2:B$21,1,0)</f>
        <v>PD0017</v>
      </c>
      <c r="E1440" s="36">
        <v>74</v>
      </c>
      <c r="F1440" s="38">
        <v>156880000</v>
      </c>
      <c r="G1440" s="39" t="s">
        <v>3814</v>
      </c>
      <c r="H1440" s="12"/>
      <c r="L1440" s="12"/>
    </row>
    <row r="1441" spans="1:12" ht="15.75" customHeight="1" x14ac:dyDescent="0.3">
      <c r="A1441" s="17" t="s">
        <v>733</v>
      </c>
      <c r="B1441" s="50" t="str">
        <f>VLOOKUP(A1441,'Sales Order'!A$2:B$1029,1,0)</f>
        <v>SO0495</v>
      </c>
      <c r="C1441" s="29" t="s">
        <v>33</v>
      </c>
      <c r="D1441" s="50" t="str">
        <f>VLOOKUP(C1441,Product!A$2:B$21,1,0)</f>
        <v>PD0004</v>
      </c>
      <c r="E1441" s="36">
        <v>36</v>
      </c>
      <c r="F1441" s="38">
        <v>7286400</v>
      </c>
      <c r="G1441" s="39" t="s">
        <v>3815</v>
      </c>
      <c r="H1441" s="12"/>
      <c r="L1441" s="12"/>
    </row>
    <row r="1442" spans="1:12" ht="15.75" customHeight="1" x14ac:dyDescent="0.3">
      <c r="A1442" s="29" t="s">
        <v>733</v>
      </c>
      <c r="B1442" s="50" t="str">
        <f>VLOOKUP(A1442,'Sales Order'!A$2:B$1029,1,0)</f>
        <v>SO0495</v>
      </c>
      <c r="C1442" s="29" t="s">
        <v>25</v>
      </c>
      <c r="D1442" s="50" t="str">
        <f>VLOOKUP(C1442,Product!A$2:B$21,1,0)</f>
        <v>PD0002</v>
      </c>
      <c r="E1442" s="36">
        <v>43</v>
      </c>
      <c r="F1442" s="38">
        <v>662200</v>
      </c>
      <c r="G1442" s="39" t="s">
        <v>3816</v>
      </c>
      <c r="H1442" s="12"/>
      <c r="L1442" s="12"/>
    </row>
    <row r="1443" spans="1:12" ht="15.75" customHeight="1" x14ac:dyDescent="0.3">
      <c r="A1443" s="29" t="s">
        <v>733</v>
      </c>
      <c r="B1443" s="50" t="str">
        <f>VLOOKUP(A1443,'Sales Order'!A$2:B$1029,1,0)</f>
        <v>SO0495</v>
      </c>
      <c r="C1443" s="29" t="s">
        <v>45</v>
      </c>
      <c r="D1443" s="50" t="str">
        <f>VLOOKUP(C1443,Product!A$2:B$21,1,0)</f>
        <v>PD0008</v>
      </c>
      <c r="E1443" s="36">
        <v>130</v>
      </c>
      <c r="F1443" s="38">
        <v>16851900</v>
      </c>
      <c r="G1443" s="39" t="s">
        <v>3817</v>
      </c>
      <c r="H1443" s="12"/>
      <c r="L1443" s="12"/>
    </row>
    <row r="1444" spans="1:12" ht="15.75" customHeight="1" x14ac:dyDescent="0.3">
      <c r="A1444" s="29" t="s">
        <v>733</v>
      </c>
      <c r="B1444" s="50" t="str">
        <f>VLOOKUP(A1444,'Sales Order'!A$2:B$1029,1,0)</f>
        <v>SO0495</v>
      </c>
      <c r="C1444" s="29" t="s">
        <v>81</v>
      </c>
      <c r="D1444" s="50" t="str">
        <f>VLOOKUP(C1444,Product!A$2:B$21,1,0)</f>
        <v>PD0019</v>
      </c>
      <c r="E1444" s="36">
        <v>67</v>
      </c>
      <c r="F1444" s="38">
        <v>162243850</v>
      </c>
      <c r="G1444" s="39" t="s">
        <v>3818</v>
      </c>
      <c r="H1444" s="12"/>
      <c r="L1444" s="12"/>
    </row>
    <row r="1445" spans="1:12" ht="15.75" customHeight="1" x14ac:dyDescent="0.3">
      <c r="A1445" s="29" t="s">
        <v>733</v>
      </c>
      <c r="B1445" s="50" t="str">
        <f>VLOOKUP(A1445,'Sales Order'!A$2:B$1029,1,0)</f>
        <v>SO0495</v>
      </c>
      <c r="C1445" s="29" t="s">
        <v>69</v>
      </c>
      <c r="D1445" s="50" t="str">
        <f>VLOOKUP(C1445,Product!A$2:B$21,1,0)</f>
        <v>PD0015</v>
      </c>
      <c r="E1445" s="36">
        <v>139</v>
      </c>
      <c r="F1445" s="38">
        <v>17756694</v>
      </c>
      <c r="G1445" s="39" t="s">
        <v>3819</v>
      </c>
      <c r="H1445" s="12"/>
      <c r="L1445" s="12"/>
    </row>
    <row r="1446" spans="1:12" ht="15.75" customHeight="1" x14ac:dyDescent="0.3">
      <c r="A1446" s="29" t="s">
        <v>733</v>
      </c>
      <c r="B1446" s="50" t="str">
        <f>VLOOKUP(A1446,'Sales Order'!A$2:B$1029,1,0)</f>
        <v>SO0495</v>
      </c>
      <c r="C1446" s="29" t="s">
        <v>19</v>
      </c>
      <c r="D1446" s="50" t="str">
        <f>VLOOKUP(C1446,Product!A$2:B$21,1,0)</f>
        <v>PD0001</v>
      </c>
      <c r="E1446" s="36">
        <v>129</v>
      </c>
      <c r="F1446" s="38">
        <v>25696800</v>
      </c>
      <c r="G1446" s="39" t="s">
        <v>3820</v>
      </c>
      <c r="H1446" s="12"/>
      <c r="L1446" s="12"/>
    </row>
    <row r="1447" spans="1:12" ht="15.75" customHeight="1" x14ac:dyDescent="0.3">
      <c r="A1447" s="17" t="s">
        <v>734</v>
      </c>
      <c r="B1447" s="50" t="str">
        <f>VLOOKUP(A1447,'Sales Order'!A$2:B$1029,1,0)</f>
        <v>SO0496</v>
      </c>
      <c r="C1447" s="29" t="s">
        <v>45</v>
      </c>
      <c r="D1447" s="50" t="str">
        <f>VLOOKUP(C1447,Product!A$2:B$21,1,0)</f>
        <v>PD0008</v>
      </c>
      <c r="E1447" s="36">
        <v>76</v>
      </c>
      <c r="F1447" s="38">
        <v>9398920</v>
      </c>
      <c r="G1447" s="39" t="s">
        <v>3821</v>
      </c>
      <c r="H1447" s="12"/>
      <c r="L1447" s="12"/>
    </row>
    <row r="1448" spans="1:12" ht="15.75" customHeight="1" x14ac:dyDescent="0.3">
      <c r="A1448" s="29" t="s">
        <v>734</v>
      </c>
      <c r="B1448" s="50" t="str">
        <f>VLOOKUP(A1448,'Sales Order'!A$2:B$1029,1,0)</f>
        <v>SO0496</v>
      </c>
      <c r="C1448" s="29" t="s">
        <v>19</v>
      </c>
      <c r="D1448" s="50" t="str">
        <f>VLOOKUP(C1448,Product!A$2:B$21,1,0)</f>
        <v>PD0001</v>
      </c>
      <c r="E1448" s="36">
        <v>142</v>
      </c>
      <c r="F1448" s="38">
        <v>27579240</v>
      </c>
      <c r="G1448" s="39" t="s">
        <v>3822</v>
      </c>
      <c r="H1448" s="12"/>
      <c r="L1448" s="12"/>
    </row>
    <row r="1449" spans="1:12" ht="15.75" customHeight="1" x14ac:dyDescent="0.3">
      <c r="A1449" s="29" t="s">
        <v>734</v>
      </c>
      <c r="B1449" s="50" t="str">
        <f>VLOOKUP(A1449,'Sales Order'!A$2:B$1029,1,0)</f>
        <v>SO0496</v>
      </c>
      <c r="C1449" s="29" t="s">
        <v>75</v>
      </c>
      <c r="D1449" s="50" t="str">
        <f>VLOOKUP(C1449,Product!A$2:B$21,1,0)</f>
        <v>PD0017</v>
      </c>
      <c r="E1449" s="36">
        <v>25</v>
      </c>
      <c r="F1449" s="38">
        <v>58962500</v>
      </c>
      <c r="G1449" s="39" t="s">
        <v>3823</v>
      </c>
      <c r="H1449" s="12"/>
      <c r="L1449" s="12"/>
    </row>
    <row r="1450" spans="1:12" ht="15.75" customHeight="1" x14ac:dyDescent="0.3">
      <c r="A1450" s="29" t="s">
        <v>734</v>
      </c>
      <c r="B1450" s="50" t="str">
        <f>VLOOKUP(A1450,'Sales Order'!A$2:B$1029,1,0)</f>
        <v>SO0496</v>
      </c>
      <c r="C1450" s="29" t="s">
        <v>25</v>
      </c>
      <c r="D1450" s="50" t="str">
        <f>VLOOKUP(C1450,Product!A$2:B$21,1,0)</f>
        <v>PD0002</v>
      </c>
      <c r="E1450" s="36">
        <v>72</v>
      </c>
      <c r="F1450" s="38">
        <v>1209600</v>
      </c>
      <c r="G1450" s="39" t="s">
        <v>3824</v>
      </c>
      <c r="H1450" s="12"/>
      <c r="L1450" s="12"/>
    </row>
    <row r="1451" spans="1:12" ht="15.75" customHeight="1" x14ac:dyDescent="0.3">
      <c r="A1451" s="17" t="s">
        <v>735</v>
      </c>
      <c r="B1451" s="50" t="str">
        <f>VLOOKUP(A1451,'Sales Order'!A$2:B$1029,1,0)</f>
        <v>SO0497</v>
      </c>
      <c r="C1451" s="29" t="s">
        <v>43</v>
      </c>
      <c r="D1451" s="50" t="str">
        <f>VLOOKUP(C1451,Product!A$2:B$21,1,0)</f>
        <v>PD0007</v>
      </c>
      <c r="E1451" s="36">
        <v>82</v>
      </c>
      <c r="F1451" s="38">
        <v>241408000</v>
      </c>
      <c r="G1451" s="39" t="s">
        <v>3825</v>
      </c>
      <c r="H1451" s="12"/>
      <c r="L1451" s="12"/>
    </row>
    <row r="1452" spans="1:12" ht="15.75" customHeight="1" x14ac:dyDescent="0.3">
      <c r="A1452" s="29" t="s">
        <v>735</v>
      </c>
      <c r="B1452" s="50" t="str">
        <f>VLOOKUP(A1452,'Sales Order'!A$2:B$1029,1,0)</f>
        <v>SO0497</v>
      </c>
      <c r="C1452" s="29" t="s">
        <v>81</v>
      </c>
      <c r="D1452" s="50" t="str">
        <f>VLOOKUP(C1452,Product!A$2:B$21,1,0)</f>
        <v>PD0019</v>
      </c>
      <c r="E1452" s="36">
        <v>56</v>
      </c>
      <c r="F1452" s="38">
        <v>117050080.00000001</v>
      </c>
      <c r="G1452" s="39" t="s">
        <v>3826</v>
      </c>
      <c r="H1452" s="12"/>
      <c r="L1452" s="12"/>
    </row>
    <row r="1453" spans="1:12" ht="15.75" customHeight="1" x14ac:dyDescent="0.3">
      <c r="A1453" s="29" t="s">
        <v>735</v>
      </c>
      <c r="B1453" s="50" t="str">
        <f>VLOOKUP(A1453,'Sales Order'!A$2:B$1029,1,0)</f>
        <v>SO0497</v>
      </c>
      <c r="C1453" s="29" t="s">
        <v>83</v>
      </c>
      <c r="D1453" s="50" t="str">
        <f>VLOOKUP(C1453,Product!A$2:B$21,1,0)</f>
        <v>PD0020</v>
      </c>
      <c r="E1453" s="36">
        <v>68</v>
      </c>
      <c r="F1453" s="38">
        <v>18553800</v>
      </c>
      <c r="G1453" s="39" t="s">
        <v>3827</v>
      </c>
      <c r="H1453" s="12"/>
      <c r="L1453" s="12"/>
    </row>
    <row r="1454" spans="1:12" ht="15.75" customHeight="1" x14ac:dyDescent="0.3">
      <c r="A1454" s="17" t="s">
        <v>736</v>
      </c>
      <c r="B1454" s="50" t="str">
        <f>VLOOKUP(A1454,'Sales Order'!A$2:B$1029,1,0)</f>
        <v>SO0498</v>
      </c>
      <c r="C1454" s="29" t="s">
        <v>81</v>
      </c>
      <c r="D1454" s="50" t="str">
        <f>VLOOKUP(C1454,Product!A$2:B$21,1,0)</f>
        <v>PD0019</v>
      </c>
      <c r="E1454" s="36">
        <v>25</v>
      </c>
      <c r="F1454" s="38">
        <v>51617250</v>
      </c>
      <c r="G1454" s="39" t="s">
        <v>3828</v>
      </c>
      <c r="H1454" s="12"/>
      <c r="L1454" s="12"/>
    </row>
    <row r="1455" spans="1:12" ht="15.75" customHeight="1" x14ac:dyDescent="0.3">
      <c r="A1455" s="29" t="s">
        <v>736</v>
      </c>
      <c r="B1455" s="50" t="str">
        <f>VLOOKUP(A1455,'Sales Order'!A$2:B$1029,1,0)</f>
        <v>SO0498</v>
      </c>
      <c r="C1455" s="29" t="s">
        <v>28</v>
      </c>
      <c r="D1455" s="50" t="str">
        <f>VLOOKUP(C1455,Product!A$2:B$21,1,0)</f>
        <v>PD0003</v>
      </c>
      <c r="E1455" s="36">
        <v>38</v>
      </c>
      <c r="F1455" s="38">
        <v>32193980</v>
      </c>
      <c r="G1455" s="39" t="s">
        <v>3829</v>
      </c>
      <c r="H1455" s="12"/>
      <c r="L1455" s="12"/>
    </row>
    <row r="1456" spans="1:12" ht="15.75" customHeight="1" x14ac:dyDescent="0.3">
      <c r="A1456" s="29" t="s">
        <v>736</v>
      </c>
      <c r="B1456" s="50" t="str">
        <f>VLOOKUP(A1456,'Sales Order'!A$2:B$1029,1,0)</f>
        <v>SO0498</v>
      </c>
      <c r="C1456" s="29" t="s">
        <v>25</v>
      </c>
      <c r="D1456" s="50" t="str">
        <f>VLOOKUP(C1456,Product!A$2:B$21,1,0)</f>
        <v>PD0002</v>
      </c>
      <c r="E1456" s="36">
        <v>130</v>
      </c>
      <c r="F1456" s="38">
        <v>2080000</v>
      </c>
      <c r="G1456" s="39" t="s">
        <v>3830</v>
      </c>
      <c r="H1456" s="12"/>
      <c r="L1456" s="12"/>
    </row>
    <row r="1457" spans="1:12" ht="15.75" customHeight="1" x14ac:dyDescent="0.3">
      <c r="A1457" s="29" t="s">
        <v>736</v>
      </c>
      <c r="B1457" s="50" t="str">
        <f>VLOOKUP(A1457,'Sales Order'!A$2:B$1029,1,0)</f>
        <v>SO0498</v>
      </c>
      <c r="C1457" s="29" t="s">
        <v>33</v>
      </c>
      <c r="D1457" s="50" t="str">
        <f>VLOOKUP(C1457,Product!A$2:B$21,1,0)</f>
        <v>PD0004</v>
      </c>
      <c r="E1457" s="36">
        <v>90</v>
      </c>
      <c r="F1457" s="38">
        <v>16632000</v>
      </c>
      <c r="G1457" s="39" t="s">
        <v>3831</v>
      </c>
      <c r="H1457" s="12"/>
      <c r="L1457" s="12"/>
    </row>
    <row r="1458" spans="1:12" ht="15.75" customHeight="1" x14ac:dyDescent="0.3">
      <c r="A1458" s="17" t="s">
        <v>737</v>
      </c>
      <c r="B1458" s="50" t="str">
        <f>VLOOKUP(A1458,'Sales Order'!A$2:B$1029,1,0)</f>
        <v>SO0499</v>
      </c>
      <c r="C1458" s="29" t="s">
        <v>45</v>
      </c>
      <c r="D1458" s="50" t="str">
        <f>VLOOKUP(C1458,Product!A$2:B$21,1,0)</f>
        <v>PD0008</v>
      </c>
      <c r="E1458" s="36">
        <v>40</v>
      </c>
      <c r="F1458" s="38">
        <v>4529600</v>
      </c>
      <c r="G1458" s="39" t="s">
        <v>3832</v>
      </c>
      <c r="H1458" s="12"/>
      <c r="L1458" s="12"/>
    </row>
    <row r="1459" spans="1:12" ht="15.75" customHeight="1" x14ac:dyDescent="0.3">
      <c r="A1459" s="29" t="s">
        <v>737</v>
      </c>
      <c r="B1459" s="50" t="str">
        <f>VLOOKUP(A1459,'Sales Order'!A$2:B$1029,1,0)</f>
        <v>SO0499</v>
      </c>
      <c r="C1459" s="29" t="s">
        <v>55</v>
      </c>
      <c r="D1459" s="50" t="str">
        <f>VLOOKUP(C1459,Product!A$2:B$21,1,0)</f>
        <v>PD0011</v>
      </c>
      <c r="E1459" s="36">
        <v>128</v>
      </c>
      <c r="F1459" s="38">
        <v>283834880</v>
      </c>
      <c r="G1459" s="39" t="s">
        <v>3833</v>
      </c>
      <c r="H1459" s="12"/>
      <c r="L1459" s="12"/>
    </row>
    <row r="1460" spans="1:12" ht="15.75" customHeight="1" x14ac:dyDescent="0.3">
      <c r="A1460" s="17" t="s">
        <v>738</v>
      </c>
      <c r="B1460" s="50" t="str">
        <f>VLOOKUP(A1460,'Sales Order'!A$2:B$1029,1,0)</f>
        <v>SO0500</v>
      </c>
      <c r="C1460" s="29" t="s">
        <v>45</v>
      </c>
      <c r="D1460" s="50" t="str">
        <f>VLOOKUP(C1460,Product!A$2:B$21,1,0)</f>
        <v>PD0008</v>
      </c>
      <c r="E1460" s="36">
        <v>109</v>
      </c>
      <c r="F1460" s="38">
        <v>13642440</v>
      </c>
      <c r="G1460" s="39" t="s">
        <v>3834</v>
      </c>
      <c r="H1460" s="12"/>
      <c r="L1460" s="12"/>
    </row>
    <row r="1461" spans="1:12" ht="15.75" customHeight="1" x14ac:dyDescent="0.3">
      <c r="A1461" s="29" t="s">
        <v>738</v>
      </c>
      <c r="B1461" s="50" t="str">
        <f>VLOOKUP(A1461,'Sales Order'!A$2:B$1029,1,0)</f>
        <v>SO0500</v>
      </c>
      <c r="C1461" s="29" t="s">
        <v>55</v>
      </c>
      <c r="D1461" s="50" t="str">
        <f>VLOOKUP(C1461,Product!A$2:B$21,1,0)</f>
        <v>PD0011</v>
      </c>
      <c r="E1461" s="36">
        <v>120</v>
      </c>
      <c r="F1461" s="38">
        <v>254772000</v>
      </c>
      <c r="G1461" s="39" t="s">
        <v>3835</v>
      </c>
      <c r="H1461" s="12"/>
      <c r="L1461" s="12"/>
    </row>
    <row r="1462" spans="1:12" ht="15.75" customHeight="1" x14ac:dyDescent="0.3">
      <c r="A1462" s="17" t="s">
        <v>739</v>
      </c>
      <c r="B1462" s="50" t="str">
        <f>VLOOKUP(A1462,'Sales Order'!A$2:B$1029,1,0)</f>
        <v>SO0501</v>
      </c>
      <c r="C1462" s="29" t="s">
        <v>55</v>
      </c>
      <c r="D1462" s="50" t="str">
        <f>VLOOKUP(C1462,Product!A$2:B$21,1,0)</f>
        <v>PD0011</v>
      </c>
      <c r="E1462" s="36">
        <v>86</v>
      </c>
      <c r="F1462" s="38">
        <v>170414160</v>
      </c>
      <c r="G1462" s="39" t="s">
        <v>3836</v>
      </c>
      <c r="H1462" s="12"/>
      <c r="L1462" s="12"/>
    </row>
    <row r="1463" spans="1:12" ht="15.75" customHeight="1" x14ac:dyDescent="0.3">
      <c r="A1463" s="29" t="s">
        <v>739</v>
      </c>
      <c r="B1463" s="50" t="str">
        <f>VLOOKUP(A1463,'Sales Order'!A$2:B$1029,1,0)</f>
        <v>SO0501</v>
      </c>
      <c r="C1463" s="29" t="s">
        <v>75</v>
      </c>
      <c r="D1463" s="50" t="str">
        <f>VLOOKUP(C1463,Product!A$2:B$21,1,0)</f>
        <v>PD0017</v>
      </c>
      <c r="E1463" s="36">
        <v>70</v>
      </c>
      <c r="F1463" s="38">
        <v>165095000</v>
      </c>
      <c r="G1463" s="39" t="s">
        <v>3837</v>
      </c>
      <c r="H1463" s="12"/>
      <c r="L1463" s="12"/>
    </row>
    <row r="1464" spans="1:12" ht="15.75" customHeight="1" x14ac:dyDescent="0.3">
      <c r="A1464" s="17" t="s">
        <v>740</v>
      </c>
      <c r="B1464" s="50" t="str">
        <f>VLOOKUP(A1464,'Sales Order'!A$2:B$1029,1,0)</f>
        <v>SO0502</v>
      </c>
      <c r="C1464" s="29" t="s">
        <v>83</v>
      </c>
      <c r="D1464" s="50" t="str">
        <f>VLOOKUP(C1464,Product!A$2:B$21,1,0)</f>
        <v>PD0020</v>
      </c>
      <c r="E1464" s="36">
        <v>113</v>
      </c>
      <c r="F1464" s="38">
        <v>30832050</v>
      </c>
      <c r="G1464" s="39" t="s">
        <v>3838</v>
      </c>
      <c r="H1464" s="12"/>
      <c r="L1464" s="12"/>
    </row>
    <row r="1465" spans="1:12" ht="15.75" customHeight="1" x14ac:dyDescent="0.3">
      <c r="A1465" s="29" t="s">
        <v>740</v>
      </c>
      <c r="B1465" s="50" t="str">
        <f>VLOOKUP(A1465,'Sales Order'!A$2:B$1029,1,0)</f>
        <v>SO0502</v>
      </c>
      <c r="C1465" s="29" t="s">
        <v>65</v>
      </c>
      <c r="D1465" s="50" t="str">
        <f>VLOOKUP(C1465,Product!A$2:B$21,1,0)</f>
        <v>PD0014</v>
      </c>
      <c r="E1465" s="36">
        <v>53</v>
      </c>
      <c r="F1465" s="38">
        <v>12452880</v>
      </c>
      <c r="G1465" s="39" t="s">
        <v>3839</v>
      </c>
      <c r="H1465" s="12"/>
      <c r="L1465" s="12"/>
    </row>
    <row r="1466" spans="1:12" ht="15.75" customHeight="1" x14ac:dyDescent="0.3">
      <c r="A1466" s="29" t="s">
        <v>740</v>
      </c>
      <c r="B1466" s="50" t="str">
        <f>VLOOKUP(A1466,'Sales Order'!A$2:B$1029,1,0)</f>
        <v>SO0502</v>
      </c>
      <c r="C1466" s="29" t="s">
        <v>19</v>
      </c>
      <c r="D1466" s="50" t="str">
        <f>VLOOKUP(C1466,Product!A$2:B$21,1,0)</f>
        <v>PD0001</v>
      </c>
      <c r="E1466" s="36">
        <v>49</v>
      </c>
      <c r="F1466" s="38">
        <v>10736880</v>
      </c>
      <c r="G1466" s="39" t="s">
        <v>3840</v>
      </c>
      <c r="H1466" s="12"/>
      <c r="L1466" s="12"/>
    </row>
    <row r="1467" spans="1:12" ht="15.75" customHeight="1" x14ac:dyDescent="0.3">
      <c r="A1467" s="29" t="s">
        <v>740</v>
      </c>
      <c r="B1467" s="50" t="str">
        <f>VLOOKUP(A1467,'Sales Order'!A$2:B$1029,1,0)</f>
        <v>SO0502</v>
      </c>
      <c r="C1467" s="29" t="s">
        <v>55</v>
      </c>
      <c r="D1467" s="50" t="str">
        <f>VLOOKUP(C1467,Product!A$2:B$21,1,0)</f>
        <v>PD0011</v>
      </c>
      <c r="E1467" s="36">
        <v>148</v>
      </c>
      <c r="F1467" s="38">
        <v>282796920</v>
      </c>
      <c r="G1467" s="39" t="s">
        <v>3841</v>
      </c>
      <c r="H1467" s="12"/>
      <c r="L1467" s="12"/>
    </row>
    <row r="1468" spans="1:12" ht="15.75" customHeight="1" x14ac:dyDescent="0.3">
      <c r="A1468" s="29" t="s">
        <v>740</v>
      </c>
      <c r="B1468" s="50" t="str">
        <f>VLOOKUP(A1468,'Sales Order'!A$2:B$1029,1,0)</f>
        <v>SO0502</v>
      </c>
      <c r="C1468" s="29" t="s">
        <v>45</v>
      </c>
      <c r="D1468" s="50" t="str">
        <f>VLOOKUP(C1468,Product!A$2:B$21,1,0)</f>
        <v>PD0008</v>
      </c>
      <c r="E1468" s="36">
        <v>74</v>
      </c>
      <c r="F1468" s="38">
        <v>9261840</v>
      </c>
      <c r="G1468" s="39" t="s">
        <v>3842</v>
      </c>
      <c r="H1468" s="12"/>
      <c r="L1468" s="12"/>
    </row>
    <row r="1469" spans="1:12" ht="15.75" customHeight="1" x14ac:dyDescent="0.3">
      <c r="A1469" s="17" t="s">
        <v>741</v>
      </c>
      <c r="B1469" s="50" t="str">
        <f>VLOOKUP(A1469,'Sales Order'!A$2:B$1029,1,0)</f>
        <v>SO0503</v>
      </c>
      <c r="C1469" s="29" t="s">
        <v>52</v>
      </c>
      <c r="D1469" s="50" t="str">
        <f>VLOOKUP(C1469,Product!A$2:B$21,1,0)</f>
        <v>PD0010</v>
      </c>
      <c r="E1469" s="36">
        <v>96</v>
      </c>
      <c r="F1469" s="38">
        <v>23400000</v>
      </c>
      <c r="G1469" s="39" t="s">
        <v>3843</v>
      </c>
      <c r="H1469" s="12"/>
      <c r="L1469" s="12"/>
    </row>
    <row r="1470" spans="1:12" ht="15.75" customHeight="1" x14ac:dyDescent="0.3">
      <c r="A1470" s="17" t="s">
        <v>742</v>
      </c>
      <c r="B1470" s="50" t="str">
        <f>VLOOKUP(A1470,'Sales Order'!A$2:B$1029,1,0)</f>
        <v>SO0504</v>
      </c>
      <c r="C1470" s="29" t="s">
        <v>19</v>
      </c>
      <c r="D1470" s="50" t="str">
        <f>VLOOKUP(C1470,Product!A$2:B$21,1,0)</f>
        <v>PD0001</v>
      </c>
      <c r="E1470" s="36">
        <v>86</v>
      </c>
      <c r="F1470" s="38">
        <v>17773620</v>
      </c>
      <c r="G1470" s="39" t="s">
        <v>3844</v>
      </c>
      <c r="H1470" s="12"/>
      <c r="L1470" s="12"/>
    </row>
    <row r="1471" spans="1:12" ht="15.75" customHeight="1" x14ac:dyDescent="0.3">
      <c r="A1471" s="29" t="s">
        <v>742</v>
      </c>
      <c r="B1471" s="50" t="str">
        <f>VLOOKUP(A1471,'Sales Order'!A$2:B$1029,1,0)</f>
        <v>SO0504</v>
      </c>
      <c r="C1471" s="29" t="s">
        <v>81</v>
      </c>
      <c r="D1471" s="50" t="str">
        <f>VLOOKUP(C1471,Product!A$2:B$21,1,0)</f>
        <v>PD0019</v>
      </c>
      <c r="E1471" s="36">
        <v>35</v>
      </c>
      <c r="F1471" s="38">
        <v>70479850</v>
      </c>
      <c r="G1471" s="39" t="s">
        <v>3845</v>
      </c>
      <c r="H1471" s="12"/>
      <c r="L1471" s="12"/>
    </row>
    <row r="1472" spans="1:12" ht="15.75" customHeight="1" x14ac:dyDescent="0.3">
      <c r="A1472" s="29" t="s">
        <v>742</v>
      </c>
      <c r="B1472" s="50" t="str">
        <f>VLOOKUP(A1472,'Sales Order'!A$2:B$1029,1,0)</f>
        <v>SO0504</v>
      </c>
      <c r="C1472" s="29" t="s">
        <v>48</v>
      </c>
      <c r="D1472" s="50" t="str">
        <f>VLOOKUP(C1472,Product!A$2:B$21,1,0)</f>
        <v>PD0009</v>
      </c>
      <c r="E1472" s="36">
        <v>105</v>
      </c>
      <c r="F1472" s="38">
        <v>11648700</v>
      </c>
      <c r="G1472" s="39" t="s">
        <v>3846</v>
      </c>
      <c r="H1472" s="12"/>
      <c r="L1472" s="12"/>
    </row>
    <row r="1473" spans="1:12" ht="15.75" customHeight="1" x14ac:dyDescent="0.3">
      <c r="A1473" s="17" t="s">
        <v>743</v>
      </c>
      <c r="B1473" s="50" t="str">
        <f>VLOOKUP(A1473,'Sales Order'!A$2:B$1029,1,0)</f>
        <v>SO0505</v>
      </c>
      <c r="C1473" s="29" t="s">
        <v>55</v>
      </c>
      <c r="D1473" s="50" t="str">
        <f>VLOOKUP(C1473,Product!A$2:B$21,1,0)</f>
        <v>PD0011</v>
      </c>
      <c r="E1473" s="36">
        <v>34</v>
      </c>
      <c r="F1473" s="38">
        <v>62560680</v>
      </c>
      <c r="G1473" s="39" t="s">
        <v>3847</v>
      </c>
      <c r="H1473" s="12"/>
      <c r="L1473" s="12"/>
    </row>
    <row r="1474" spans="1:12" ht="15.75" customHeight="1" x14ac:dyDescent="0.3">
      <c r="A1474" s="29" t="s">
        <v>743</v>
      </c>
      <c r="B1474" s="50" t="str">
        <f>VLOOKUP(A1474,'Sales Order'!A$2:B$1029,1,0)</f>
        <v>SO0505</v>
      </c>
      <c r="C1474" s="29" t="s">
        <v>61</v>
      </c>
      <c r="D1474" s="50" t="str">
        <f>VLOOKUP(C1474,Product!A$2:B$21,1,0)</f>
        <v>PD0013</v>
      </c>
      <c r="E1474" s="36">
        <v>63</v>
      </c>
      <c r="F1474" s="38">
        <v>27461070</v>
      </c>
      <c r="G1474" s="39" t="s">
        <v>3848</v>
      </c>
      <c r="H1474" s="12"/>
      <c r="L1474" s="12"/>
    </row>
    <row r="1475" spans="1:12" ht="15.75" customHeight="1" x14ac:dyDescent="0.3">
      <c r="A1475" s="29" t="s">
        <v>743</v>
      </c>
      <c r="B1475" s="50" t="str">
        <f>VLOOKUP(A1475,'Sales Order'!A$2:B$1029,1,0)</f>
        <v>SO0505</v>
      </c>
      <c r="C1475" s="29" t="s">
        <v>43</v>
      </c>
      <c r="D1475" s="50" t="str">
        <f>VLOOKUP(C1475,Product!A$2:B$21,1,0)</f>
        <v>PD0007</v>
      </c>
      <c r="E1475" s="36">
        <v>88</v>
      </c>
      <c r="F1475" s="38">
        <v>228096000.00000003</v>
      </c>
      <c r="G1475" s="39" t="s">
        <v>3849</v>
      </c>
      <c r="H1475" s="12"/>
      <c r="L1475" s="12"/>
    </row>
    <row r="1476" spans="1:12" ht="15.75" customHeight="1" x14ac:dyDescent="0.3">
      <c r="A1476" s="17" t="s">
        <v>744</v>
      </c>
      <c r="B1476" s="50" t="str">
        <f>VLOOKUP(A1476,'Sales Order'!A$2:B$1029,1,0)</f>
        <v>SO0506</v>
      </c>
      <c r="C1476" s="29" t="s">
        <v>25</v>
      </c>
      <c r="D1476" s="50" t="str">
        <f>VLOOKUP(C1476,Product!A$2:B$21,1,0)</f>
        <v>PD0002</v>
      </c>
      <c r="E1476" s="36">
        <v>73</v>
      </c>
      <c r="F1476" s="38">
        <v>1372400</v>
      </c>
      <c r="G1476" s="39" t="s">
        <v>3850</v>
      </c>
      <c r="H1476" s="12"/>
      <c r="L1476" s="12"/>
    </row>
    <row r="1477" spans="1:12" ht="15.75" customHeight="1" x14ac:dyDescent="0.3">
      <c r="A1477" s="17" t="s">
        <v>745</v>
      </c>
      <c r="B1477" s="50" t="str">
        <f>VLOOKUP(A1477,'Sales Order'!A$2:B$1029,1,0)</f>
        <v>SO0507</v>
      </c>
      <c r="C1477" s="29" t="s">
        <v>33</v>
      </c>
      <c r="D1477" s="50" t="str">
        <f>VLOOKUP(C1477,Product!A$2:B$21,1,0)</f>
        <v>PD0004</v>
      </c>
      <c r="E1477" s="36">
        <v>38</v>
      </c>
      <c r="F1477" s="38">
        <v>6270000</v>
      </c>
      <c r="G1477" s="39" t="s">
        <v>3851</v>
      </c>
      <c r="H1477" s="12"/>
      <c r="L1477" s="12"/>
    </row>
    <row r="1478" spans="1:12" ht="15.75" customHeight="1" x14ac:dyDescent="0.3">
      <c r="A1478" s="29" t="s">
        <v>745</v>
      </c>
      <c r="B1478" s="50" t="str">
        <f>VLOOKUP(A1478,'Sales Order'!A$2:B$1029,1,0)</f>
        <v>SO0507</v>
      </c>
      <c r="C1478" s="29" t="s">
        <v>75</v>
      </c>
      <c r="D1478" s="50" t="str">
        <f>VLOOKUP(C1478,Product!A$2:B$21,1,0)</f>
        <v>PD0017</v>
      </c>
      <c r="E1478" s="36">
        <v>144</v>
      </c>
      <c r="F1478" s="38">
        <v>316728000</v>
      </c>
      <c r="G1478" s="39" t="s">
        <v>3852</v>
      </c>
      <c r="H1478" s="12"/>
      <c r="L1478" s="12"/>
    </row>
    <row r="1479" spans="1:12" ht="15.75" customHeight="1" x14ac:dyDescent="0.3">
      <c r="A1479" s="29" t="s">
        <v>745</v>
      </c>
      <c r="B1479" s="50" t="str">
        <f>VLOOKUP(A1479,'Sales Order'!A$2:B$1029,1,0)</f>
        <v>SO0507</v>
      </c>
      <c r="C1479" s="29" t="s">
        <v>72</v>
      </c>
      <c r="D1479" s="50" t="str">
        <f>VLOOKUP(C1479,Product!A$2:B$21,1,0)</f>
        <v>PD0016</v>
      </c>
      <c r="E1479" s="36">
        <v>119</v>
      </c>
      <c r="F1479" s="38">
        <v>25736130</v>
      </c>
      <c r="G1479" s="39" t="s">
        <v>3853</v>
      </c>
      <c r="H1479" s="12"/>
      <c r="L1479" s="12"/>
    </row>
    <row r="1480" spans="1:12" ht="15.75" customHeight="1" x14ac:dyDescent="0.3">
      <c r="A1480" s="17" t="s">
        <v>746</v>
      </c>
      <c r="B1480" s="50" t="str">
        <f>VLOOKUP(A1480,'Sales Order'!A$2:B$1029,1,0)</f>
        <v>SO0508</v>
      </c>
      <c r="C1480" s="29" t="s">
        <v>25</v>
      </c>
      <c r="D1480" s="50" t="str">
        <f>VLOOKUP(C1480,Product!A$2:B$21,1,0)</f>
        <v>PD0002</v>
      </c>
      <c r="E1480" s="36">
        <v>124</v>
      </c>
      <c r="F1480" s="38">
        <v>2356000</v>
      </c>
      <c r="G1480" s="39" t="s">
        <v>3854</v>
      </c>
      <c r="H1480" s="12"/>
      <c r="L1480" s="12"/>
    </row>
    <row r="1481" spans="1:12" ht="15.75" customHeight="1" x14ac:dyDescent="0.3">
      <c r="A1481" s="29" t="s">
        <v>746</v>
      </c>
      <c r="B1481" s="50" t="str">
        <f>VLOOKUP(A1481,'Sales Order'!A$2:B$1029,1,0)</f>
        <v>SO0508</v>
      </c>
      <c r="C1481" s="29" t="s">
        <v>52</v>
      </c>
      <c r="D1481" s="50" t="str">
        <f>VLOOKUP(C1481,Product!A$2:B$21,1,0)</f>
        <v>PD0010</v>
      </c>
      <c r="E1481" s="36">
        <v>35</v>
      </c>
      <c r="F1481" s="38">
        <v>10465000</v>
      </c>
      <c r="G1481" s="39" t="s">
        <v>3855</v>
      </c>
      <c r="H1481" s="12"/>
      <c r="L1481" s="12"/>
    </row>
    <row r="1482" spans="1:12" ht="15.75" customHeight="1" x14ac:dyDescent="0.3">
      <c r="A1482" s="17" t="s">
        <v>747</v>
      </c>
      <c r="B1482" s="50" t="str">
        <f>VLOOKUP(A1482,'Sales Order'!A$2:B$1029,1,0)</f>
        <v>SO0509</v>
      </c>
      <c r="C1482" s="29" t="s">
        <v>19</v>
      </c>
      <c r="D1482" s="50" t="str">
        <f>VLOOKUP(C1482,Product!A$2:B$21,1,0)</f>
        <v>PD0001</v>
      </c>
      <c r="E1482" s="36">
        <v>64</v>
      </c>
      <c r="F1482" s="38">
        <v>12748800</v>
      </c>
      <c r="G1482" s="39" t="s">
        <v>3856</v>
      </c>
      <c r="H1482" s="12"/>
      <c r="L1482" s="12"/>
    </row>
    <row r="1483" spans="1:12" ht="15.75" customHeight="1" x14ac:dyDescent="0.3">
      <c r="A1483" s="29" t="s">
        <v>747</v>
      </c>
      <c r="B1483" s="50" t="str">
        <f>VLOOKUP(A1483,'Sales Order'!A$2:B$1029,1,0)</f>
        <v>SO0509</v>
      </c>
      <c r="C1483" s="29" t="s">
        <v>33</v>
      </c>
      <c r="D1483" s="50" t="str">
        <f>VLOOKUP(C1483,Product!A$2:B$21,1,0)</f>
        <v>PD0004</v>
      </c>
      <c r="E1483" s="36">
        <v>37</v>
      </c>
      <c r="F1483" s="38">
        <v>7326000</v>
      </c>
      <c r="G1483" s="39" t="s">
        <v>3857</v>
      </c>
      <c r="H1483" s="12"/>
      <c r="L1483" s="12"/>
    </row>
    <row r="1484" spans="1:12" ht="15.75" customHeight="1" x14ac:dyDescent="0.3">
      <c r="A1484" s="29" t="s">
        <v>747</v>
      </c>
      <c r="B1484" s="50" t="str">
        <f>VLOOKUP(A1484,'Sales Order'!A$2:B$1029,1,0)</f>
        <v>SO0509</v>
      </c>
      <c r="C1484" s="29" t="s">
        <v>25</v>
      </c>
      <c r="D1484" s="50" t="str">
        <f>VLOOKUP(C1484,Product!A$2:B$21,1,0)</f>
        <v>PD0002</v>
      </c>
      <c r="E1484" s="36">
        <v>62</v>
      </c>
      <c r="F1484" s="38">
        <v>1128400</v>
      </c>
      <c r="G1484" s="39" t="s">
        <v>3858</v>
      </c>
      <c r="H1484" s="12"/>
      <c r="L1484" s="12"/>
    </row>
    <row r="1485" spans="1:12" ht="15.75" customHeight="1" x14ac:dyDescent="0.3">
      <c r="A1485" s="29" t="s">
        <v>747</v>
      </c>
      <c r="B1485" s="50" t="str">
        <f>VLOOKUP(A1485,'Sales Order'!A$2:B$1029,1,0)</f>
        <v>SO0509</v>
      </c>
      <c r="C1485" s="29" t="s">
        <v>28</v>
      </c>
      <c r="D1485" s="50" t="str">
        <f>VLOOKUP(C1485,Product!A$2:B$21,1,0)</f>
        <v>PD0003</v>
      </c>
      <c r="E1485" s="36">
        <v>52</v>
      </c>
      <c r="F1485" s="38">
        <v>38245480</v>
      </c>
      <c r="G1485" s="39" t="s">
        <v>3859</v>
      </c>
      <c r="H1485" s="12"/>
      <c r="L1485" s="12"/>
    </row>
    <row r="1486" spans="1:12" ht="15.75" customHeight="1" x14ac:dyDescent="0.3">
      <c r="A1486" s="17" t="s">
        <v>748</v>
      </c>
      <c r="B1486" s="50" t="str">
        <f>VLOOKUP(A1486,'Sales Order'!A$2:B$1029,1,0)</f>
        <v>SO0510</v>
      </c>
      <c r="C1486" s="29" t="s">
        <v>25</v>
      </c>
      <c r="D1486" s="50" t="str">
        <f>VLOOKUP(C1486,Product!A$2:B$21,1,0)</f>
        <v>PD0002</v>
      </c>
      <c r="E1486" s="36">
        <v>35</v>
      </c>
      <c r="F1486" s="38">
        <v>637000</v>
      </c>
      <c r="G1486" s="39" t="s">
        <v>3860</v>
      </c>
      <c r="H1486" s="12"/>
      <c r="L1486" s="12"/>
    </row>
    <row r="1487" spans="1:12" ht="15.75" customHeight="1" x14ac:dyDescent="0.3">
      <c r="A1487" s="29" t="s">
        <v>748</v>
      </c>
      <c r="B1487" s="50" t="str">
        <f>VLOOKUP(A1487,'Sales Order'!A$2:B$1029,1,0)</f>
        <v>SO0510</v>
      </c>
      <c r="C1487" s="29" t="s">
        <v>78</v>
      </c>
      <c r="D1487" s="50" t="str">
        <f>VLOOKUP(C1487,Product!A$2:B$21,1,0)</f>
        <v>PD0018</v>
      </c>
      <c r="E1487" s="36">
        <v>86</v>
      </c>
      <c r="F1487" s="38">
        <v>34771520</v>
      </c>
      <c r="G1487" s="39" t="s">
        <v>3861</v>
      </c>
      <c r="H1487" s="12"/>
      <c r="L1487" s="12"/>
    </row>
    <row r="1488" spans="1:12" ht="15.75" customHeight="1" x14ac:dyDescent="0.3">
      <c r="A1488" s="17" t="s">
        <v>749</v>
      </c>
      <c r="B1488" s="50" t="str">
        <f>VLOOKUP(A1488,'Sales Order'!A$2:B$1029,1,0)</f>
        <v>SO0511</v>
      </c>
      <c r="C1488" s="29" t="s">
        <v>43</v>
      </c>
      <c r="D1488" s="50" t="str">
        <f>VLOOKUP(C1488,Product!A$2:B$21,1,0)</f>
        <v>PD0007</v>
      </c>
      <c r="E1488" s="36">
        <v>81</v>
      </c>
      <c r="F1488" s="38">
        <v>209952000</v>
      </c>
      <c r="G1488" s="39" t="s">
        <v>3862</v>
      </c>
      <c r="H1488" s="12"/>
      <c r="L1488" s="12"/>
    </row>
    <row r="1489" spans="1:12" ht="15.75" customHeight="1" x14ac:dyDescent="0.3">
      <c r="A1489" s="29" t="s">
        <v>749</v>
      </c>
      <c r="B1489" s="50" t="str">
        <f>VLOOKUP(A1489,'Sales Order'!A$2:B$1029,1,0)</f>
        <v>SO0511</v>
      </c>
      <c r="C1489" s="29" t="s">
        <v>58</v>
      </c>
      <c r="D1489" s="50" t="str">
        <f>VLOOKUP(C1489,Product!A$2:B$21,1,0)</f>
        <v>PD0012</v>
      </c>
      <c r="E1489" s="36">
        <v>40</v>
      </c>
      <c r="F1489" s="38">
        <v>207515200</v>
      </c>
      <c r="G1489" s="39" t="s">
        <v>3863</v>
      </c>
      <c r="H1489" s="12"/>
      <c r="L1489" s="12"/>
    </row>
    <row r="1490" spans="1:12" ht="15.75" customHeight="1" x14ac:dyDescent="0.3">
      <c r="A1490" s="29" t="s">
        <v>749</v>
      </c>
      <c r="B1490" s="50" t="str">
        <f>VLOOKUP(A1490,'Sales Order'!A$2:B$1029,1,0)</f>
        <v>SO0511</v>
      </c>
      <c r="C1490" s="29" t="s">
        <v>45</v>
      </c>
      <c r="D1490" s="50" t="str">
        <f>VLOOKUP(C1490,Product!A$2:B$21,1,0)</f>
        <v>PD0008</v>
      </c>
      <c r="E1490" s="36">
        <v>61</v>
      </c>
      <c r="F1490" s="38">
        <v>7180310</v>
      </c>
      <c r="G1490" s="39" t="s">
        <v>3864</v>
      </c>
      <c r="H1490" s="12"/>
      <c r="L1490" s="12"/>
    </row>
    <row r="1491" spans="1:12" ht="15.75" customHeight="1" x14ac:dyDescent="0.3">
      <c r="A1491" s="17" t="s">
        <v>750</v>
      </c>
      <c r="B1491" s="50" t="str">
        <f>VLOOKUP(A1491,'Sales Order'!A$2:B$1029,1,0)</f>
        <v>SO0512</v>
      </c>
      <c r="C1491" s="29" t="s">
        <v>55</v>
      </c>
      <c r="D1491" s="50" t="str">
        <f>VLOOKUP(C1491,Product!A$2:B$21,1,0)</f>
        <v>PD0011</v>
      </c>
      <c r="E1491" s="36">
        <v>144</v>
      </c>
      <c r="F1491" s="38">
        <v>285344640</v>
      </c>
      <c r="G1491" s="39" t="s">
        <v>3865</v>
      </c>
      <c r="H1491" s="12"/>
      <c r="L1491" s="12"/>
    </row>
    <row r="1492" spans="1:12" ht="15.75" customHeight="1" x14ac:dyDescent="0.3">
      <c r="A1492" s="29" t="s">
        <v>750</v>
      </c>
      <c r="B1492" s="50" t="str">
        <f>VLOOKUP(A1492,'Sales Order'!A$2:B$1029,1,0)</f>
        <v>SO0512</v>
      </c>
      <c r="C1492" s="29" t="s">
        <v>83</v>
      </c>
      <c r="D1492" s="50" t="str">
        <f>VLOOKUP(C1492,Product!A$2:B$21,1,0)</f>
        <v>PD0020</v>
      </c>
      <c r="E1492" s="36">
        <v>84</v>
      </c>
      <c r="F1492" s="38">
        <v>22110480</v>
      </c>
      <c r="G1492" s="39" t="s">
        <v>3866</v>
      </c>
      <c r="H1492" s="12"/>
      <c r="L1492" s="12"/>
    </row>
    <row r="1493" spans="1:12" ht="15.75" customHeight="1" x14ac:dyDescent="0.3">
      <c r="A1493" s="29" t="s">
        <v>750</v>
      </c>
      <c r="B1493" s="50" t="str">
        <f>VLOOKUP(A1493,'Sales Order'!A$2:B$1029,1,0)</f>
        <v>SO0512</v>
      </c>
      <c r="C1493" s="29" t="s">
        <v>48</v>
      </c>
      <c r="D1493" s="50" t="str">
        <f>VLOOKUP(C1493,Product!A$2:B$21,1,0)</f>
        <v>PD0009</v>
      </c>
      <c r="E1493" s="36">
        <v>145</v>
      </c>
      <c r="F1493" s="38">
        <v>16086300</v>
      </c>
      <c r="G1493" s="39" t="s">
        <v>3867</v>
      </c>
      <c r="H1493" s="12"/>
      <c r="L1493" s="12"/>
    </row>
    <row r="1494" spans="1:12" ht="15.75" customHeight="1" x14ac:dyDescent="0.3">
      <c r="A1494" s="29" t="s">
        <v>750</v>
      </c>
      <c r="B1494" s="50" t="str">
        <f>VLOOKUP(A1494,'Sales Order'!A$2:B$1029,1,0)</f>
        <v>SO0512</v>
      </c>
      <c r="C1494" s="29" t="s">
        <v>45</v>
      </c>
      <c r="D1494" s="50" t="str">
        <f>VLOOKUP(C1494,Product!A$2:B$21,1,0)</f>
        <v>PD0008</v>
      </c>
      <c r="E1494" s="36">
        <v>49</v>
      </c>
      <c r="F1494" s="38">
        <v>6643910</v>
      </c>
      <c r="G1494" s="39" t="s">
        <v>3868</v>
      </c>
      <c r="H1494" s="12"/>
      <c r="L1494" s="12"/>
    </row>
    <row r="1495" spans="1:12" ht="15.75" customHeight="1" x14ac:dyDescent="0.3">
      <c r="A1495" s="29" t="s">
        <v>750</v>
      </c>
      <c r="B1495" s="50" t="str">
        <f>VLOOKUP(A1495,'Sales Order'!A$2:B$1029,1,0)</f>
        <v>SO0512</v>
      </c>
      <c r="C1495" s="29" t="s">
        <v>19</v>
      </c>
      <c r="D1495" s="50" t="str">
        <f>VLOOKUP(C1495,Product!A$2:B$21,1,0)</f>
        <v>PD0001</v>
      </c>
      <c r="E1495" s="36">
        <v>63</v>
      </c>
      <c r="F1495" s="38">
        <v>13804560</v>
      </c>
      <c r="G1495" s="39" t="s">
        <v>3869</v>
      </c>
      <c r="H1495" s="12"/>
      <c r="L1495" s="12"/>
    </row>
    <row r="1496" spans="1:12" ht="15.75" customHeight="1" x14ac:dyDescent="0.3">
      <c r="A1496" s="17" t="s">
        <v>751</v>
      </c>
      <c r="B1496" s="50" t="str">
        <f>VLOOKUP(A1496,'Sales Order'!A$2:B$1029,1,0)</f>
        <v>SO0513</v>
      </c>
      <c r="C1496" s="29" t="s">
        <v>35</v>
      </c>
      <c r="D1496" s="50" t="str">
        <f>VLOOKUP(C1496,Product!A$2:B$21,1,0)</f>
        <v>PD0005</v>
      </c>
      <c r="E1496" s="36">
        <v>102</v>
      </c>
      <c r="F1496" s="38">
        <v>185828700</v>
      </c>
      <c r="G1496" s="39" t="s">
        <v>3870</v>
      </c>
      <c r="H1496" s="12"/>
      <c r="L1496" s="12"/>
    </row>
    <row r="1497" spans="1:12" ht="15.75" customHeight="1" x14ac:dyDescent="0.3">
      <c r="A1497" s="17" t="s">
        <v>752</v>
      </c>
      <c r="B1497" s="50" t="str">
        <f>VLOOKUP(A1497,'Sales Order'!A$2:B$1029,1,0)</f>
        <v>SO0514</v>
      </c>
      <c r="C1497" s="29" t="s">
        <v>19</v>
      </c>
      <c r="D1497" s="50" t="str">
        <f>VLOOKUP(C1497,Product!A$2:B$21,1,0)</f>
        <v>PD0001</v>
      </c>
      <c r="E1497" s="36">
        <v>99</v>
      </c>
      <c r="F1497" s="38">
        <v>21446370</v>
      </c>
      <c r="G1497" s="39" t="s">
        <v>3871</v>
      </c>
      <c r="H1497" s="12"/>
      <c r="L1497" s="12"/>
    </row>
    <row r="1498" spans="1:12" ht="15.75" customHeight="1" x14ac:dyDescent="0.3">
      <c r="A1498" s="29" t="s">
        <v>752</v>
      </c>
      <c r="B1498" s="50" t="str">
        <f>VLOOKUP(A1498,'Sales Order'!A$2:B$1029,1,0)</f>
        <v>SO0514</v>
      </c>
      <c r="C1498" s="29" t="s">
        <v>58</v>
      </c>
      <c r="D1498" s="50" t="str">
        <f>VLOOKUP(C1498,Product!A$2:B$21,1,0)</f>
        <v>PD0012</v>
      </c>
      <c r="E1498" s="36">
        <v>148</v>
      </c>
      <c r="F1498" s="38">
        <v>776151960</v>
      </c>
      <c r="G1498" s="39" t="s">
        <v>3872</v>
      </c>
      <c r="H1498" s="12"/>
      <c r="L1498" s="12"/>
    </row>
    <row r="1499" spans="1:12" ht="15.75" customHeight="1" x14ac:dyDescent="0.3">
      <c r="A1499" s="17" t="s">
        <v>753</v>
      </c>
      <c r="B1499" s="50" t="str">
        <f>VLOOKUP(A1499,'Sales Order'!A$2:B$1029,1,0)</f>
        <v>SO0515</v>
      </c>
      <c r="C1499" s="29" t="s">
        <v>43</v>
      </c>
      <c r="D1499" s="50" t="str">
        <f>VLOOKUP(C1499,Product!A$2:B$21,1,0)</f>
        <v>PD0007</v>
      </c>
      <c r="E1499" s="36">
        <v>115</v>
      </c>
      <c r="F1499" s="38">
        <v>287040000</v>
      </c>
      <c r="G1499" s="39" t="s">
        <v>3873</v>
      </c>
      <c r="H1499" s="12"/>
      <c r="L1499" s="12"/>
    </row>
    <row r="1500" spans="1:12" ht="15.75" customHeight="1" x14ac:dyDescent="0.3">
      <c r="A1500" s="29" t="s">
        <v>753</v>
      </c>
      <c r="B1500" s="50" t="str">
        <f>VLOOKUP(A1500,'Sales Order'!A$2:B$1029,1,0)</f>
        <v>SO0515</v>
      </c>
      <c r="C1500" s="29" t="s">
        <v>52</v>
      </c>
      <c r="D1500" s="50" t="str">
        <f>VLOOKUP(C1500,Product!A$2:B$21,1,0)</f>
        <v>PD0010</v>
      </c>
      <c r="E1500" s="36">
        <v>60</v>
      </c>
      <c r="F1500" s="38">
        <v>16575000</v>
      </c>
      <c r="G1500" s="39" t="s">
        <v>3874</v>
      </c>
      <c r="H1500" s="12"/>
      <c r="L1500" s="12"/>
    </row>
    <row r="1501" spans="1:12" ht="15.75" customHeight="1" x14ac:dyDescent="0.3">
      <c r="A1501" s="29" t="s">
        <v>753</v>
      </c>
      <c r="B1501" s="50" t="str">
        <f>VLOOKUP(A1501,'Sales Order'!A$2:B$1029,1,0)</f>
        <v>SO0515</v>
      </c>
      <c r="C1501" s="29" t="s">
        <v>78</v>
      </c>
      <c r="D1501" s="50" t="str">
        <f>VLOOKUP(C1501,Product!A$2:B$21,1,0)</f>
        <v>PD0018</v>
      </c>
      <c r="E1501" s="36">
        <v>104</v>
      </c>
      <c r="F1501" s="38">
        <v>43709120</v>
      </c>
      <c r="G1501" s="39" t="s">
        <v>3875</v>
      </c>
      <c r="H1501" s="12"/>
      <c r="L1501" s="12"/>
    </row>
    <row r="1502" spans="1:12" ht="15.75" customHeight="1" x14ac:dyDescent="0.3">
      <c r="A1502" s="29" t="s">
        <v>753</v>
      </c>
      <c r="B1502" s="50" t="str">
        <f>VLOOKUP(A1502,'Sales Order'!A$2:B$1029,1,0)</f>
        <v>SO0515</v>
      </c>
      <c r="C1502" s="29" t="s">
        <v>61</v>
      </c>
      <c r="D1502" s="50" t="str">
        <f>VLOOKUP(C1502,Product!A$2:B$21,1,0)</f>
        <v>PD0013</v>
      </c>
      <c r="E1502" s="36">
        <v>131</v>
      </c>
      <c r="F1502" s="38">
        <v>56474100</v>
      </c>
      <c r="G1502" s="39" t="s">
        <v>3876</v>
      </c>
      <c r="H1502" s="12"/>
      <c r="L1502" s="12"/>
    </row>
    <row r="1503" spans="1:12" ht="15.75" customHeight="1" x14ac:dyDescent="0.3">
      <c r="A1503" s="29" t="s">
        <v>753</v>
      </c>
      <c r="B1503" s="50" t="str">
        <f>VLOOKUP(A1503,'Sales Order'!A$2:B$1029,1,0)</f>
        <v>SO0515</v>
      </c>
      <c r="C1503" s="29" t="s">
        <v>69</v>
      </c>
      <c r="D1503" s="50" t="str">
        <f>VLOOKUP(C1503,Product!A$2:B$21,1,0)</f>
        <v>PD0015</v>
      </c>
      <c r="E1503" s="36">
        <v>91</v>
      </c>
      <c r="F1503" s="38">
        <v>10759203</v>
      </c>
      <c r="G1503" s="39" t="s">
        <v>3877</v>
      </c>
      <c r="H1503" s="12"/>
      <c r="L1503" s="12"/>
    </row>
    <row r="1504" spans="1:12" ht="15.75" customHeight="1" x14ac:dyDescent="0.3">
      <c r="A1504" s="17" t="s">
        <v>754</v>
      </c>
      <c r="B1504" s="50" t="str">
        <f>VLOOKUP(A1504,'Sales Order'!A$2:B$1029,1,0)</f>
        <v>SO0516</v>
      </c>
      <c r="C1504" s="29" t="s">
        <v>19</v>
      </c>
      <c r="D1504" s="50" t="str">
        <f>VLOOKUP(C1504,Product!A$2:B$21,1,0)</f>
        <v>PD0001</v>
      </c>
      <c r="E1504" s="36">
        <v>101</v>
      </c>
      <c r="F1504" s="38">
        <v>23388570</v>
      </c>
      <c r="G1504" s="39" t="s">
        <v>3878</v>
      </c>
      <c r="H1504" s="12"/>
      <c r="L1504" s="12"/>
    </row>
    <row r="1505" spans="1:12" ht="15.75" customHeight="1" x14ac:dyDescent="0.3">
      <c r="A1505" s="29" t="s">
        <v>754</v>
      </c>
      <c r="B1505" s="50" t="str">
        <f>VLOOKUP(A1505,'Sales Order'!A$2:B$1029,1,0)</f>
        <v>SO0516</v>
      </c>
      <c r="C1505" s="29" t="s">
        <v>69</v>
      </c>
      <c r="D1505" s="50" t="str">
        <f>VLOOKUP(C1505,Product!A$2:B$21,1,0)</f>
        <v>PD0015</v>
      </c>
      <c r="E1505" s="36">
        <v>81</v>
      </c>
      <c r="F1505" s="38">
        <v>9686952</v>
      </c>
      <c r="G1505" s="39" t="s">
        <v>3879</v>
      </c>
      <c r="H1505" s="12"/>
      <c r="L1505" s="12"/>
    </row>
    <row r="1506" spans="1:12" ht="15.75" customHeight="1" x14ac:dyDescent="0.3">
      <c r="A1506" s="17" t="s">
        <v>755</v>
      </c>
      <c r="B1506" s="50" t="str">
        <f>VLOOKUP(A1506,'Sales Order'!A$2:B$1029,1,0)</f>
        <v>SO0517</v>
      </c>
      <c r="C1506" s="29" t="s">
        <v>78</v>
      </c>
      <c r="D1506" s="50" t="str">
        <f>VLOOKUP(C1506,Product!A$2:B$21,1,0)</f>
        <v>PD0018</v>
      </c>
      <c r="E1506" s="36">
        <v>46</v>
      </c>
      <c r="F1506" s="38">
        <v>18843440</v>
      </c>
      <c r="G1506" s="39" t="s">
        <v>3880</v>
      </c>
      <c r="H1506" s="12"/>
      <c r="L1506" s="12"/>
    </row>
    <row r="1507" spans="1:12" ht="15.75" customHeight="1" x14ac:dyDescent="0.3">
      <c r="A1507" s="29" t="s">
        <v>755</v>
      </c>
      <c r="B1507" s="50" t="str">
        <f>VLOOKUP(A1507,'Sales Order'!A$2:B$1029,1,0)</f>
        <v>SO0517</v>
      </c>
      <c r="C1507" s="29" t="s">
        <v>25</v>
      </c>
      <c r="D1507" s="50" t="str">
        <f>VLOOKUP(C1507,Product!A$2:B$21,1,0)</f>
        <v>PD0002</v>
      </c>
      <c r="E1507" s="36">
        <v>105</v>
      </c>
      <c r="F1507" s="38">
        <v>1995000</v>
      </c>
      <c r="G1507" s="39" t="s">
        <v>3881</v>
      </c>
      <c r="H1507" s="12"/>
      <c r="L1507" s="12"/>
    </row>
    <row r="1508" spans="1:12" ht="15.75" customHeight="1" x14ac:dyDescent="0.3">
      <c r="A1508" s="29" t="s">
        <v>755</v>
      </c>
      <c r="B1508" s="50" t="str">
        <f>VLOOKUP(A1508,'Sales Order'!A$2:B$1029,1,0)</f>
        <v>SO0517</v>
      </c>
      <c r="C1508" s="29" t="s">
        <v>19</v>
      </c>
      <c r="D1508" s="50" t="str">
        <f>VLOOKUP(C1508,Product!A$2:B$21,1,0)</f>
        <v>PD0001</v>
      </c>
      <c r="E1508" s="36">
        <v>60</v>
      </c>
      <c r="F1508" s="38">
        <v>13595400</v>
      </c>
      <c r="G1508" s="39" t="s">
        <v>3882</v>
      </c>
      <c r="H1508" s="12"/>
      <c r="L1508" s="12"/>
    </row>
    <row r="1509" spans="1:12" ht="15.75" customHeight="1" x14ac:dyDescent="0.3">
      <c r="A1509" s="17" t="s">
        <v>756</v>
      </c>
      <c r="B1509" s="50" t="str">
        <f>VLOOKUP(A1509,'Sales Order'!A$2:B$1029,1,0)</f>
        <v>SO0518</v>
      </c>
      <c r="C1509" s="29" t="s">
        <v>78</v>
      </c>
      <c r="D1509" s="50" t="str">
        <f>VLOOKUP(C1509,Product!A$2:B$21,1,0)</f>
        <v>PD0018</v>
      </c>
      <c r="E1509" s="36">
        <v>75</v>
      </c>
      <c r="F1509" s="38">
        <v>34713000</v>
      </c>
      <c r="G1509" s="39" t="s">
        <v>3883</v>
      </c>
      <c r="H1509" s="12"/>
      <c r="L1509" s="12"/>
    </row>
    <row r="1510" spans="1:12" ht="15.75" customHeight="1" x14ac:dyDescent="0.3">
      <c r="A1510" s="29" t="s">
        <v>756</v>
      </c>
      <c r="B1510" s="50" t="str">
        <f>VLOOKUP(A1510,'Sales Order'!A$2:B$1029,1,0)</f>
        <v>SO0518</v>
      </c>
      <c r="C1510" s="29" t="s">
        <v>65</v>
      </c>
      <c r="D1510" s="50" t="str">
        <f>VLOOKUP(C1510,Product!A$2:B$21,1,0)</f>
        <v>PD0014</v>
      </c>
      <c r="E1510" s="36">
        <v>148</v>
      </c>
      <c r="F1510" s="38">
        <v>35959560</v>
      </c>
      <c r="G1510" s="39" t="s">
        <v>3884</v>
      </c>
      <c r="H1510" s="12"/>
      <c r="L1510" s="12"/>
    </row>
    <row r="1511" spans="1:12" ht="15.75" customHeight="1" x14ac:dyDescent="0.3">
      <c r="A1511" s="29" t="s">
        <v>756</v>
      </c>
      <c r="B1511" s="50" t="str">
        <f>VLOOKUP(A1511,'Sales Order'!A$2:B$1029,1,0)</f>
        <v>SO0518</v>
      </c>
      <c r="C1511" s="29" t="s">
        <v>55</v>
      </c>
      <c r="D1511" s="50" t="str">
        <f>VLOOKUP(C1511,Product!A$2:B$21,1,0)</f>
        <v>PD0011</v>
      </c>
      <c r="E1511" s="36">
        <v>141</v>
      </c>
      <c r="F1511" s="38">
        <v>269421390</v>
      </c>
      <c r="G1511" s="39" t="s">
        <v>3885</v>
      </c>
      <c r="H1511" s="12"/>
      <c r="L1511" s="12"/>
    </row>
    <row r="1512" spans="1:12" ht="15.75" customHeight="1" x14ac:dyDescent="0.3">
      <c r="A1512" s="17" t="s">
        <v>757</v>
      </c>
      <c r="B1512" s="50" t="str">
        <f>VLOOKUP(A1512,'Sales Order'!A$2:B$1029,1,0)</f>
        <v>SO0519</v>
      </c>
      <c r="C1512" s="29" t="s">
        <v>75</v>
      </c>
      <c r="D1512" s="50" t="str">
        <f>VLOOKUP(C1512,Product!A$2:B$21,1,0)</f>
        <v>PD0017</v>
      </c>
      <c r="E1512" s="36">
        <v>99</v>
      </c>
      <c r="F1512" s="38">
        <v>249232500</v>
      </c>
      <c r="G1512" s="39" t="s">
        <v>3886</v>
      </c>
      <c r="H1512" s="12"/>
      <c r="L1512" s="12"/>
    </row>
    <row r="1513" spans="1:12" ht="15.75" customHeight="1" x14ac:dyDescent="0.3">
      <c r="A1513" s="29" t="s">
        <v>757</v>
      </c>
      <c r="B1513" s="50" t="str">
        <f>VLOOKUP(A1513,'Sales Order'!A$2:B$1029,1,0)</f>
        <v>SO0519</v>
      </c>
      <c r="C1513" s="29" t="s">
        <v>72</v>
      </c>
      <c r="D1513" s="50" t="str">
        <f>VLOOKUP(C1513,Product!A$2:B$21,1,0)</f>
        <v>PD0016</v>
      </c>
      <c r="E1513" s="36">
        <v>33</v>
      </c>
      <c r="F1513" s="38">
        <v>7313130</v>
      </c>
      <c r="G1513" s="39" t="s">
        <v>3887</v>
      </c>
      <c r="H1513" s="12"/>
      <c r="L1513" s="12"/>
    </row>
    <row r="1514" spans="1:12" ht="15.75" customHeight="1" x14ac:dyDescent="0.3">
      <c r="A1514" s="17" t="s">
        <v>758</v>
      </c>
      <c r="B1514" s="50" t="str">
        <f>VLOOKUP(A1514,'Sales Order'!A$2:B$1029,1,0)</f>
        <v>SO0520</v>
      </c>
      <c r="C1514" s="29" t="s">
        <v>19</v>
      </c>
      <c r="D1514" s="50" t="str">
        <f>VLOOKUP(C1514,Product!A$2:B$21,1,0)</f>
        <v>PD0001</v>
      </c>
      <c r="E1514" s="36">
        <v>52</v>
      </c>
      <c r="F1514" s="38">
        <v>9711000</v>
      </c>
      <c r="G1514" s="39" t="s">
        <v>3888</v>
      </c>
      <c r="H1514" s="12"/>
      <c r="L1514" s="12"/>
    </row>
    <row r="1515" spans="1:12" ht="15.75" customHeight="1" x14ac:dyDescent="0.3">
      <c r="A1515" s="29" t="s">
        <v>758</v>
      </c>
      <c r="B1515" s="50" t="str">
        <f>VLOOKUP(A1515,'Sales Order'!A$2:B$1029,1,0)</f>
        <v>SO0520</v>
      </c>
      <c r="C1515" s="29" t="s">
        <v>55</v>
      </c>
      <c r="D1515" s="50" t="str">
        <f>VLOOKUP(C1515,Product!A$2:B$21,1,0)</f>
        <v>PD0011</v>
      </c>
      <c r="E1515" s="36">
        <v>66</v>
      </c>
      <c r="F1515" s="38">
        <v>119884380</v>
      </c>
      <c r="G1515" s="39" t="s">
        <v>3889</v>
      </c>
      <c r="H1515" s="12"/>
      <c r="L1515" s="12"/>
    </row>
    <row r="1516" spans="1:12" ht="15.75" customHeight="1" x14ac:dyDescent="0.3">
      <c r="A1516" s="29" t="s">
        <v>758</v>
      </c>
      <c r="B1516" s="50" t="str">
        <f>VLOOKUP(A1516,'Sales Order'!A$2:B$1029,1,0)</f>
        <v>SO0520</v>
      </c>
      <c r="C1516" s="29" t="s">
        <v>69</v>
      </c>
      <c r="D1516" s="50" t="str">
        <f>VLOOKUP(C1516,Product!A$2:B$21,1,0)</f>
        <v>PD0015</v>
      </c>
      <c r="E1516" s="36">
        <v>86</v>
      </c>
      <c r="F1516" s="38">
        <v>10518660</v>
      </c>
      <c r="G1516" s="39" t="s">
        <v>3890</v>
      </c>
      <c r="H1516" s="12"/>
      <c r="L1516" s="12"/>
    </row>
    <row r="1517" spans="1:12" ht="15.75" customHeight="1" x14ac:dyDescent="0.3">
      <c r="A1517" s="17" t="s">
        <v>759</v>
      </c>
      <c r="B1517" s="50" t="str">
        <f>VLOOKUP(A1517,'Sales Order'!A$2:B$1029,1,0)</f>
        <v>SO0521</v>
      </c>
      <c r="C1517" s="29" t="s">
        <v>19</v>
      </c>
      <c r="D1517" s="50" t="str">
        <f>VLOOKUP(C1517,Product!A$2:B$21,1,0)</f>
        <v>PD0001</v>
      </c>
      <c r="E1517" s="36">
        <v>117</v>
      </c>
      <c r="F1517" s="38">
        <v>27093690</v>
      </c>
      <c r="G1517" s="39" t="s">
        <v>3891</v>
      </c>
      <c r="H1517" s="12"/>
      <c r="L1517" s="12"/>
    </row>
    <row r="1518" spans="1:12" ht="15.75" customHeight="1" x14ac:dyDescent="0.3">
      <c r="A1518" s="29" t="s">
        <v>759</v>
      </c>
      <c r="B1518" s="50" t="str">
        <f>VLOOKUP(A1518,'Sales Order'!A$2:B$1029,1,0)</f>
        <v>SO0521</v>
      </c>
      <c r="C1518" s="29" t="s">
        <v>69</v>
      </c>
      <c r="D1518" s="50" t="str">
        <f>VLOOKUP(C1518,Product!A$2:B$21,1,0)</f>
        <v>PD0015</v>
      </c>
      <c r="E1518" s="36">
        <v>117</v>
      </c>
      <c r="F1518" s="38">
        <v>14787278.999999998</v>
      </c>
      <c r="G1518" s="39" t="s">
        <v>3892</v>
      </c>
      <c r="H1518" s="12"/>
      <c r="L1518" s="12"/>
    </row>
    <row r="1519" spans="1:12" ht="15.75" customHeight="1" x14ac:dyDescent="0.3">
      <c r="A1519" s="29" t="s">
        <v>760</v>
      </c>
      <c r="B1519" s="50" t="str">
        <f>VLOOKUP(A1519,'Sales Order'!A$2:B$1029,1,0)</f>
        <v>SO0522</v>
      </c>
      <c r="C1519" s="29" t="s">
        <v>75</v>
      </c>
      <c r="D1519" s="50" t="str">
        <f>VLOOKUP(C1519,Product!A$2:B$21,1,0)</f>
        <v>PD0017</v>
      </c>
      <c r="E1519" s="36">
        <v>105</v>
      </c>
      <c r="F1519" s="38">
        <v>244860000</v>
      </c>
      <c r="G1519" s="39" t="s">
        <v>3893</v>
      </c>
      <c r="H1519" s="12"/>
      <c r="L1519" s="12"/>
    </row>
    <row r="1520" spans="1:12" ht="15.75" customHeight="1" x14ac:dyDescent="0.3">
      <c r="A1520" s="29" t="s">
        <v>760</v>
      </c>
      <c r="B1520" s="50" t="str">
        <f>VLOOKUP(A1520,'Sales Order'!A$2:B$1029,1,0)</f>
        <v>SO0522</v>
      </c>
      <c r="C1520" s="29" t="s">
        <v>48</v>
      </c>
      <c r="D1520" s="50" t="str">
        <f>VLOOKUP(C1520,Product!A$2:B$21,1,0)</f>
        <v>PD0009</v>
      </c>
      <c r="E1520" s="36">
        <v>98</v>
      </c>
      <c r="F1520" s="38">
        <v>12009900</v>
      </c>
      <c r="G1520" s="39" t="s">
        <v>3894</v>
      </c>
      <c r="H1520" s="12"/>
      <c r="L1520" s="12"/>
    </row>
    <row r="1521" spans="1:12" ht="15.75" customHeight="1" x14ac:dyDescent="0.3">
      <c r="A1521" s="29" t="s">
        <v>760</v>
      </c>
      <c r="B1521" s="50" t="str">
        <f>VLOOKUP(A1521,'Sales Order'!A$2:B$1029,1,0)</f>
        <v>SO0522</v>
      </c>
      <c r="C1521" s="29" t="s">
        <v>81</v>
      </c>
      <c r="D1521" s="50" t="str">
        <f>VLOOKUP(C1521,Product!A$2:B$21,1,0)</f>
        <v>PD0019</v>
      </c>
      <c r="E1521" s="36">
        <v>123</v>
      </c>
      <c r="F1521" s="38">
        <v>235145250</v>
      </c>
      <c r="G1521" s="39" t="s">
        <v>3895</v>
      </c>
      <c r="H1521" s="12"/>
      <c r="L1521" s="12"/>
    </row>
    <row r="1522" spans="1:12" ht="15.75" customHeight="1" x14ac:dyDescent="0.3">
      <c r="A1522" s="29" t="s">
        <v>760</v>
      </c>
      <c r="B1522" s="50" t="str">
        <f>VLOOKUP(A1522,'Sales Order'!A$2:B$1029,1,0)</f>
        <v>SO0522</v>
      </c>
      <c r="C1522" s="29" t="s">
        <v>61</v>
      </c>
      <c r="D1522" s="50" t="str">
        <f>VLOOKUP(C1522,Product!A$2:B$21,1,0)</f>
        <v>PD0013</v>
      </c>
      <c r="E1522" s="36">
        <v>129</v>
      </c>
      <c r="F1522" s="38">
        <v>47579070</v>
      </c>
      <c r="G1522" s="39" t="s">
        <v>3896</v>
      </c>
      <c r="H1522" s="12"/>
      <c r="L1522" s="12"/>
    </row>
    <row r="1523" spans="1:12" ht="15.75" customHeight="1" x14ac:dyDescent="0.3">
      <c r="A1523" s="29" t="s">
        <v>762</v>
      </c>
      <c r="B1523" s="50" t="str">
        <f>VLOOKUP(A1523,'Sales Order'!A$2:B$1029,1,0)</f>
        <v>SO0524</v>
      </c>
      <c r="C1523" s="29" t="s">
        <v>58</v>
      </c>
      <c r="D1523" s="50" t="str">
        <f>VLOOKUP(C1523,Product!A$2:B$21,1,0)</f>
        <v>PD0012</v>
      </c>
      <c r="E1523" s="36">
        <v>74</v>
      </c>
      <c r="F1523" s="38">
        <v>346347380</v>
      </c>
      <c r="G1523" s="39" t="s">
        <v>3897</v>
      </c>
      <c r="H1523" s="12"/>
      <c r="L1523" s="12"/>
    </row>
    <row r="1524" spans="1:12" ht="15.75" customHeight="1" x14ac:dyDescent="0.3">
      <c r="A1524" s="29" t="s">
        <v>762</v>
      </c>
      <c r="B1524" s="50" t="str">
        <f>VLOOKUP(A1524,'Sales Order'!A$2:B$1029,1,0)</f>
        <v>SO0524</v>
      </c>
      <c r="C1524" s="29" t="s">
        <v>55</v>
      </c>
      <c r="D1524" s="50" t="str">
        <f>VLOOKUP(C1524,Product!A$2:B$21,1,0)</f>
        <v>PD0011</v>
      </c>
      <c r="E1524" s="36">
        <v>76</v>
      </c>
      <c r="F1524" s="38">
        <v>161355600</v>
      </c>
      <c r="G1524" s="39" t="s">
        <v>3898</v>
      </c>
      <c r="H1524" s="12"/>
      <c r="L1524" s="12"/>
    </row>
    <row r="1525" spans="1:12" ht="15.75" customHeight="1" x14ac:dyDescent="0.3">
      <c r="A1525" s="29" t="s">
        <v>762</v>
      </c>
      <c r="B1525" s="50" t="str">
        <f>VLOOKUP(A1525,'Sales Order'!A$2:B$1029,1,0)</f>
        <v>SO0524</v>
      </c>
      <c r="C1525" s="29" t="s">
        <v>19</v>
      </c>
      <c r="D1525" s="50" t="str">
        <f>VLOOKUP(C1525,Product!A$2:B$21,1,0)</f>
        <v>PD0001</v>
      </c>
      <c r="E1525" s="36">
        <v>135</v>
      </c>
      <c r="F1525" s="38">
        <v>25211250</v>
      </c>
      <c r="G1525" s="39" t="s">
        <v>3899</v>
      </c>
      <c r="H1525" s="12"/>
      <c r="L1525" s="12"/>
    </row>
    <row r="1526" spans="1:12" ht="15.75" customHeight="1" x14ac:dyDescent="0.3">
      <c r="A1526" s="17" t="s">
        <v>763</v>
      </c>
      <c r="B1526" s="50" t="str">
        <f>VLOOKUP(A1526,'Sales Order'!A$2:B$1029,1,0)</f>
        <v>SO0525</v>
      </c>
      <c r="C1526" s="29" t="s">
        <v>58</v>
      </c>
      <c r="D1526" s="50" t="str">
        <f>VLOOKUP(C1526,Product!A$2:B$21,1,0)</f>
        <v>PD0012</v>
      </c>
      <c r="E1526" s="36">
        <v>80</v>
      </c>
      <c r="F1526" s="38">
        <v>351873600</v>
      </c>
      <c r="G1526" s="39" t="s">
        <v>3900</v>
      </c>
      <c r="H1526" s="12"/>
      <c r="L1526" s="12"/>
    </row>
    <row r="1527" spans="1:12" ht="15.75" customHeight="1" x14ac:dyDescent="0.3">
      <c r="A1527" s="29" t="s">
        <v>763</v>
      </c>
      <c r="B1527" s="50" t="str">
        <f>VLOOKUP(A1527,'Sales Order'!A$2:B$1029,1,0)</f>
        <v>SO0525</v>
      </c>
      <c r="C1527" s="29" t="s">
        <v>78</v>
      </c>
      <c r="D1527" s="50" t="str">
        <f>VLOOKUP(C1527,Product!A$2:B$21,1,0)</f>
        <v>PD0018</v>
      </c>
      <c r="E1527" s="36">
        <v>31</v>
      </c>
      <c r="F1527" s="38">
        <v>14018200</v>
      </c>
      <c r="G1527" s="39" t="s">
        <v>3901</v>
      </c>
      <c r="H1527" s="12"/>
      <c r="L1527" s="12"/>
    </row>
    <row r="1528" spans="1:12" ht="15.75" customHeight="1" x14ac:dyDescent="0.3">
      <c r="A1528" s="29" t="s">
        <v>763</v>
      </c>
      <c r="B1528" s="50" t="str">
        <f>VLOOKUP(A1528,'Sales Order'!A$2:B$1029,1,0)</f>
        <v>SO0525</v>
      </c>
      <c r="C1528" s="29" t="s">
        <v>55</v>
      </c>
      <c r="D1528" s="50" t="str">
        <f>VLOOKUP(C1528,Product!A$2:B$21,1,0)</f>
        <v>PD0011</v>
      </c>
      <c r="E1528" s="36">
        <v>103</v>
      </c>
      <c r="F1528" s="38">
        <v>208960220</v>
      </c>
      <c r="G1528" s="39" t="s">
        <v>3902</v>
      </c>
      <c r="H1528" s="12"/>
      <c r="L1528" s="12"/>
    </row>
    <row r="1529" spans="1:12" ht="15.75" customHeight="1" x14ac:dyDescent="0.3">
      <c r="A1529" s="17" t="s">
        <v>764</v>
      </c>
      <c r="B1529" s="50" t="str">
        <f>VLOOKUP(A1529,'Sales Order'!A$2:B$1029,1,0)</f>
        <v>SO0526</v>
      </c>
      <c r="C1529" s="29" t="s">
        <v>78</v>
      </c>
      <c r="D1529" s="50" t="str">
        <f>VLOOKUP(C1529,Product!A$2:B$21,1,0)</f>
        <v>PD0018</v>
      </c>
      <c r="E1529" s="36">
        <v>109</v>
      </c>
      <c r="F1529" s="38">
        <v>54508720</v>
      </c>
      <c r="G1529" s="39" t="s">
        <v>3903</v>
      </c>
      <c r="H1529" s="12"/>
      <c r="L1529" s="12"/>
    </row>
    <row r="1530" spans="1:12" ht="15.75" customHeight="1" x14ac:dyDescent="0.3">
      <c r="A1530" s="29" t="s">
        <v>764</v>
      </c>
      <c r="B1530" s="50" t="str">
        <f>VLOOKUP(A1530,'Sales Order'!A$2:B$1029,1,0)</f>
        <v>SO0526</v>
      </c>
      <c r="C1530" s="29" t="s">
        <v>25</v>
      </c>
      <c r="D1530" s="50" t="str">
        <f>VLOOKUP(C1530,Product!A$2:B$21,1,0)</f>
        <v>PD0002</v>
      </c>
      <c r="E1530" s="36">
        <v>118</v>
      </c>
      <c r="F1530" s="38">
        <v>2124000</v>
      </c>
      <c r="G1530" s="39" t="s">
        <v>3904</v>
      </c>
      <c r="H1530" s="12"/>
      <c r="L1530" s="12"/>
    </row>
    <row r="1531" spans="1:12" ht="15.75" customHeight="1" x14ac:dyDescent="0.3">
      <c r="A1531" s="29" t="s">
        <v>764</v>
      </c>
      <c r="B1531" s="50" t="str">
        <f>VLOOKUP(A1531,'Sales Order'!A$2:B$1029,1,0)</f>
        <v>SO0526</v>
      </c>
      <c r="C1531" s="29" t="s">
        <v>72</v>
      </c>
      <c r="D1531" s="50" t="str">
        <f>VLOOKUP(C1531,Product!A$2:B$21,1,0)</f>
        <v>PD0016</v>
      </c>
      <c r="E1531" s="36">
        <v>87</v>
      </c>
      <c r="F1531" s="38">
        <v>17654040</v>
      </c>
      <c r="G1531" s="39" t="s">
        <v>3905</v>
      </c>
      <c r="H1531" s="12"/>
      <c r="L1531" s="12"/>
    </row>
    <row r="1532" spans="1:12" ht="15.75" customHeight="1" x14ac:dyDescent="0.3">
      <c r="A1532" s="29" t="s">
        <v>764</v>
      </c>
      <c r="B1532" s="50" t="str">
        <f>VLOOKUP(A1532,'Sales Order'!A$2:B$1029,1,0)</f>
        <v>SO0526</v>
      </c>
      <c r="C1532" s="29" t="s">
        <v>52</v>
      </c>
      <c r="D1532" s="50" t="str">
        <f>VLOOKUP(C1532,Product!A$2:B$21,1,0)</f>
        <v>PD0010</v>
      </c>
      <c r="E1532" s="36">
        <v>97</v>
      </c>
      <c r="F1532" s="38">
        <v>24904750</v>
      </c>
      <c r="G1532" s="39" t="s">
        <v>3906</v>
      </c>
      <c r="H1532" s="12"/>
      <c r="L1532" s="12"/>
    </row>
    <row r="1533" spans="1:12" ht="15.75" customHeight="1" x14ac:dyDescent="0.3">
      <c r="A1533" s="17" t="s">
        <v>765</v>
      </c>
      <c r="B1533" s="50" t="str">
        <f>VLOOKUP(A1533,'Sales Order'!A$2:B$1029,1,0)</f>
        <v>SO0527</v>
      </c>
      <c r="C1533" s="29" t="s">
        <v>48</v>
      </c>
      <c r="D1533" s="50" t="str">
        <f>VLOOKUP(C1533,Product!A$2:B$21,1,0)</f>
        <v>PD0009</v>
      </c>
      <c r="E1533" s="36">
        <v>127</v>
      </c>
      <c r="F1533" s="38">
        <v>13106400</v>
      </c>
      <c r="G1533" s="39" t="s">
        <v>3907</v>
      </c>
      <c r="H1533" s="12"/>
      <c r="L1533" s="12"/>
    </row>
    <row r="1534" spans="1:12" ht="15.75" customHeight="1" x14ac:dyDescent="0.3">
      <c r="A1534" s="29" t="s">
        <v>765</v>
      </c>
      <c r="B1534" s="50" t="str">
        <f>VLOOKUP(A1534,'Sales Order'!A$2:B$1029,1,0)</f>
        <v>SO0527</v>
      </c>
      <c r="C1534" s="29" t="s">
        <v>81</v>
      </c>
      <c r="D1534" s="50" t="str">
        <f>VLOOKUP(C1534,Product!A$2:B$21,1,0)</f>
        <v>PD0019</v>
      </c>
      <c r="E1534" s="36">
        <v>51</v>
      </c>
      <c r="F1534" s="38">
        <v>107899170</v>
      </c>
      <c r="G1534" s="39" t="s">
        <v>3908</v>
      </c>
      <c r="H1534" s="12"/>
      <c r="L1534" s="12"/>
    </row>
    <row r="1535" spans="1:12" ht="15.75" customHeight="1" x14ac:dyDescent="0.3">
      <c r="A1535" s="29" t="s">
        <v>765</v>
      </c>
      <c r="B1535" s="50" t="str">
        <f>VLOOKUP(A1535,'Sales Order'!A$2:B$1029,1,0)</f>
        <v>SO0527</v>
      </c>
      <c r="C1535" s="29" t="s">
        <v>40</v>
      </c>
      <c r="D1535" s="50" t="str">
        <f>VLOOKUP(C1535,Product!A$2:B$21,1,0)</f>
        <v>PD0006</v>
      </c>
      <c r="E1535" s="36">
        <v>126</v>
      </c>
      <c r="F1535" s="38">
        <v>25017300</v>
      </c>
      <c r="G1535" s="39" t="s">
        <v>3909</v>
      </c>
      <c r="H1535" s="12"/>
      <c r="L1535" s="12"/>
    </row>
    <row r="1536" spans="1:12" ht="15.75" customHeight="1" x14ac:dyDescent="0.3">
      <c r="A1536" s="17" t="s">
        <v>766</v>
      </c>
      <c r="B1536" s="50" t="str">
        <f>VLOOKUP(A1536,'Sales Order'!A$2:B$1029,1,0)</f>
        <v>SO0528</v>
      </c>
      <c r="C1536" s="29" t="s">
        <v>43</v>
      </c>
      <c r="D1536" s="50" t="str">
        <f>VLOOKUP(C1536,Product!A$2:B$21,1,0)</f>
        <v>PD0007</v>
      </c>
      <c r="E1536" s="36">
        <v>84</v>
      </c>
      <c r="F1536" s="38">
        <v>212352000</v>
      </c>
      <c r="G1536" s="39" t="s">
        <v>3910</v>
      </c>
      <c r="H1536" s="12"/>
      <c r="L1536" s="12"/>
    </row>
    <row r="1537" spans="1:12" ht="15.75" customHeight="1" x14ac:dyDescent="0.3">
      <c r="A1537" s="29" t="s">
        <v>766</v>
      </c>
      <c r="B1537" s="50" t="str">
        <f>VLOOKUP(A1537,'Sales Order'!A$2:B$1029,1,0)</f>
        <v>SO0528</v>
      </c>
      <c r="C1537" s="29" t="s">
        <v>72</v>
      </c>
      <c r="D1537" s="50" t="str">
        <f>VLOOKUP(C1537,Product!A$2:B$21,1,0)</f>
        <v>PD0016</v>
      </c>
      <c r="E1537" s="36">
        <v>135</v>
      </c>
      <c r="F1537" s="38">
        <v>30638250</v>
      </c>
      <c r="G1537" s="39" t="s">
        <v>3911</v>
      </c>
      <c r="H1537" s="12"/>
      <c r="L1537" s="12"/>
    </row>
    <row r="1538" spans="1:12" ht="15.75" customHeight="1" x14ac:dyDescent="0.3">
      <c r="A1538" s="17" t="s">
        <v>767</v>
      </c>
      <c r="B1538" s="50" t="str">
        <f>VLOOKUP(A1538,'Sales Order'!A$2:B$1029,1,0)</f>
        <v>SO0529</v>
      </c>
      <c r="C1538" s="29" t="s">
        <v>52</v>
      </c>
      <c r="D1538" s="50" t="str">
        <f>VLOOKUP(C1538,Product!A$2:B$21,1,0)</f>
        <v>PD0010</v>
      </c>
      <c r="E1538" s="36">
        <v>107</v>
      </c>
      <c r="F1538" s="38">
        <v>31297500</v>
      </c>
      <c r="G1538" s="39" t="s">
        <v>3912</v>
      </c>
      <c r="H1538" s="12"/>
      <c r="L1538" s="12"/>
    </row>
    <row r="1539" spans="1:12" ht="15.75" customHeight="1" x14ac:dyDescent="0.3">
      <c r="A1539" s="17" t="s">
        <v>768</v>
      </c>
      <c r="B1539" s="50" t="str">
        <f>VLOOKUP(A1539,'Sales Order'!A$2:B$1029,1,0)</f>
        <v>SO0530</v>
      </c>
      <c r="C1539" s="29" t="s">
        <v>28</v>
      </c>
      <c r="D1539" s="50" t="str">
        <f>VLOOKUP(C1539,Product!A$2:B$21,1,0)</f>
        <v>PD0003</v>
      </c>
      <c r="E1539" s="36">
        <v>87</v>
      </c>
      <c r="F1539" s="38">
        <v>75327210</v>
      </c>
      <c r="G1539" s="39" t="s">
        <v>3913</v>
      </c>
      <c r="H1539" s="12"/>
      <c r="L1539" s="12"/>
    </row>
    <row r="1540" spans="1:12" ht="15.75" customHeight="1" x14ac:dyDescent="0.3">
      <c r="A1540" s="29" t="s">
        <v>768</v>
      </c>
      <c r="B1540" s="50" t="str">
        <f>VLOOKUP(A1540,'Sales Order'!A$2:B$1029,1,0)</f>
        <v>SO0530</v>
      </c>
      <c r="C1540" s="29" t="s">
        <v>81</v>
      </c>
      <c r="D1540" s="50" t="str">
        <f>VLOOKUP(C1540,Product!A$2:B$21,1,0)</f>
        <v>PD0019</v>
      </c>
      <c r="E1540" s="36">
        <v>79</v>
      </c>
      <c r="F1540" s="38">
        <v>167137930</v>
      </c>
      <c r="G1540" s="39" t="s">
        <v>3914</v>
      </c>
      <c r="H1540" s="12"/>
      <c r="L1540" s="12"/>
    </row>
    <row r="1541" spans="1:12" ht="15.75" customHeight="1" x14ac:dyDescent="0.3">
      <c r="A1541" s="29" t="s">
        <v>768</v>
      </c>
      <c r="B1541" s="50" t="str">
        <f>VLOOKUP(A1541,'Sales Order'!A$2:B$1029,1,0)</f>
        <v>SO0530</v>
      </c>
      <c r="C1541" s="29" t="s">
        <v>40</v>
      </c>
      <c r="D1541" s="50" t="str">
        <f>VLOOKUP(C1541,Product!A$2:B$21,1,0)</f>
        <v>PD0006</v>
      </c>
      <c r="E1541" s="36">
        <v>119</v>
      </c>
      <c r="F1541" s="38">
        <v>19399380</v>
      </c>
      <c r="G1541" s="39" t="s">
        <v>3915</v>
      </c>
      <c r="H1541" s="12"/>
      <c r="L1541" s="12"/>
    </row>
    <row r="1542" spans="1:12" ht="15.75" customHeight="1" x14ac:dyDescent="0.3">
      <c r="A1542" s="29" t="s">
        <v>768</v>
      </c>
      <c r="B1542" s="50" t="str">
        <f>VLOOKUP(A1542,'Sales Order'!A$2:B$1029,1,0)</f>
        <v>SO0530</v>
      </c>
      <c r="C1542" s="29" t="s">
        <v>72</v>
      </c>
      <c r="D1542" s="50" t="str">
        <f>VLOOKUP(C1542,Product!A$2:B$21,1,0)</f>
        <v>PD0016</v>
      </c>
      <c r="E1542" s="36">
        <v>103</v>
      </c>
      <c r="F1542" s="38">
        <v>21175770</v>
      </c>
      <c r="G1542" s="39" t="s">
        <v>3916</v>
      </c>
      <c r="H1542" s="12"/>
      <c r="L1542" s="12"/>
    </row>
    <row r="1543" spans="1:12" ht="15.75" customHeight="1" x14ac:dyDescent="0.3">
      <c r="A1543" s="29" t="s">
        <v>768</v>
      </c>
      <c r="B1543" s="50" t="str">
        <f>VLOOKUP(A1543,'Sales Order'!A$2:B$1029,1,0)</f>
        <v>SO0530</v>
      </c>
      <c r="C1543" s="29" t="s">
        <v>75</v>
      </c>
      <c r="D1543" s="50" t="str">
        <f>VLOOKUP(C1543,Product!A$2:B$21,1,0)</f>
        <v>PD0017</v>
      </c>
      <c r="E1543" s="36">
        <v>129</v>
      </c>
      <c r="F1543" s="38">
        <v>314502000</v>
      </c>
      <c r="G1543" s="39" t="s">
        <v>3917</v>
      </c>
      <c r="H1543" s="12"/>
      <c r="L1543" s="12"/>
    </row>
    <row r="1544" spans="1:12" ht="15.75" customHeight="1" x14ac:dyDescent="0.3">
      <c r="A1544" s="17" t="s">
        <v>769</v>
      </c>
      <c r="B1544" s="50" t="str">
        <f>VLOOKUP(A1544,'Sales Order'!A$2:B$1029,1,0)</f>
        <v>SO0531</v>
      </c>
      <c r="C1544" s="29" t="s">
        <v>65</v>
      </c>
      <c r="D1544" s="50" t="str">
        <f>VLOOKUP(C1544,Product!A$2:B$21,1,0)</f>
        <v>PD0014</v>
      </c>
      <c r="E1544" s="36">
        <v>92</v>
      </c>
      <c r="F1544" s="38">
        <v>22598880</v>
      </c>
      <c r="G1544" s="39" t="s">
        <v>3918</v>
      </c>
      <c r="H1544" s="12"/>
      <c r="L1544" s="12"/>
    </row>
    <row r="1545" spans="1:12" ht="15.75" customHeight="1" x14ac:dyDescent="0.3">
      <c r="A1545" s="29" t="s">
        <v>769</v>
      </c>
      <c r="B1545" s="50" t="str">
        <f>VLOOKUP(A1545,'Sales Order'!A$2:B$1029,1,0)</f>
        <v>SO0531</v>
      </c>
      <c r="C1545" s="29" t="s">
        <v>72</v>
      </c>
      <c r="D1545" s="50" t="str">
        <f>VLOOKUP(C1545,Product!A$2:B$21,1,0)</f>
        <v>PD0016</v>
      </c>
      <c r="E1545" s="36">
        <v>134</v>
      </c>
      <c r="F1545" s="38">
        <v>27906840</v>
      </c>
      <c r="G1545" s="39" t="s">
        <v>3919</v>
      </c>
      <c r="H1545" s="12"/>
      <c r="L1545" s="12"/>
    </row>
    <row r="1546" spans="1:12" ht="15.75" customHeight="1" x14ac:dyDescent="0.3">
      <c r="A1546" s="29" t="s">
        <v>769</v>
      </c>
      <c r="B1546" s="50" t="str">
        <f>VLOOKUP(A1546,'Sales Order'!A$2:B$1029,1,0)</f>
        <v>SO0531</v>
      </c>
      <c r="C1546" s="29" t="s">
        <v>81</v>
      </c>
      <c r="D1546" s="50" t="str">
        <f>VLOOKUP(C1546,Product!A$2:B$21,1,0)</f>
        <v>PD0019</v>
      </c>
      <c r="E1546" s="36">
        <v>70</v>
      </c>
      <c r="F1546" s="38">
        <v>165939900</v>
      </c>
      <c r="G1546" s="39" t="s">
        <v>3920</v>
      </c>
      <c r="H1546" s="12"/>
      <c r="L1546" s="12"/>
    </row>
    <row r="1547" spans="1:12" ht="15.75" customHeight="1" x14ac:dyDescent="0.3">
      <c r="A1547" s="29" t="s">
        <v>769</v>
      </c>
      <c r="B1547" s="50" t="str">
        <f>VLOOKUP(A1547,'Sales Order'!A$2:B$1029,1,0)</f>
        <v>SO0531</v>
      </c>
      <c r="C1547" s="29" t="s">
        <v>28</v>
      </c>
      <c r="D1547" s="50" t="str">
        <f>VLOOKUP(C1547,Product!A$2:B$21,1,0)</f>
        <v>PD0003</v>
      </c>
      <c r="E1547" s="36">
        <v>108</v>
      </c>
      <c r="F1547" s="38">
        <v>93509640</v>
      </c>
      <c r="G1547" s="39" t="s">
        <v>3921</v>
      </c>
      <c r="H1547" s="12"/>
      <c r="L1547" s="12"/>
    </row>
    <row r="1548" spans="1:12" ht="15.75" customHeight="1" x14ac:dyDescent="0.3">
      <c r="A1548" s="17" t="s">
        <v>770</v>
      </c>
      <c r="B1548" s="50" t="str">
        <f>VLOOKUP(A1548,'Sales Order'!A$2:B$1029,1,0)</f>
        <v>SO0532</v>
      </c>
      <c r="C1548" s="29" t="s">
        <v>35</v>
      </c>
      <c r="D1548" s="50" t="str">
        <f>VLOOKUP(C1548,Product!A$2:B$21,1,0)</f>
        <v>PD0005</v>
      </c>
      <c r="E1548" s="36">
        <v>65</v>
      </c>
      <c r="F1548" s="38">
        <v>111286500</v>
      </c>
      <c r="G1548" s="39" t="s">
        <v>3922</v>
      </c>
      <c r="H1548" s="12"/>
      <c r="L1548" s="12"/>
    </row>
    <row r="1549" spans="1:12" ht="15.75" customHeight="1" x14ac:dyDescent="0.3">
      <c r="A1549" s="29" t="s">
        <v>770</v>
      </c>
      <c r="B1549" s="50" t="str">
        <f>VLOOKUP(A1549,'Sales Order'!A$2:B$1029,1,0)</f>
        <v>SO0532</v>
      </c>
      <c r="C1549" s="29" t="s">
        <v>69</v>
      </c>
      <c r="D1549" s="50" t="str">
        <f>VLOOKUP(C1549,Product!A$2:B$21,1,0)</f>
        <v>PD0015</v>
      </c>
      <c r="E1549" s="36">
        <v>96</v>
      </c>
      <c r="F1549" s="38">
        <v>12394080</v>
      </c>
      <c r="G1549" s="39" t="s">
        <v>3923</v>
      </c>
      <c r="H1549" s="12"/>
      <c r="L1549" s="12"/>
    </row>
    <row r="1550" spans="1:12" ht="15.75" customHeight="1" x14ac:dyDescent="0.3">
      <c r="A1550" s="29" t="s">
        <v>770</v>
      </c>
      <c r="B1550" s="50" t="str">
        <f>VLOOKUP(A1550,'Sales Order'!A$2:B$1029,1,0)</f>
        <v>SO0532</v>
      </c>
      <c r="C1550" s="29" t="s">
        <v>28</v>
      </c>
      <c r="D1550" s="50" t="str">
        <f>VLOOKUP(C1550,Product!A$2:B$21,1,0)</f>
        <v>PD0003</v>
      </c>
      <c r="E1550" s="36">
        <v>50</v>
      </c>
      <c r="F1550" s="38">
        <v>38636500</v>
      </c>
      <c r="G1550" s="39" t="s">
        <v>3924</v>
      </c>
      <c r="H1550" s="12"/>
      <c r="L1550" s="12"/>
    </row>
    <row r="1551" spans="1:12" ht="15.75" customHeight="1" x14ac:dyDescent="0.3">
      <c r="A1551" s="29" t="s">
        <v>770</v>
      </c>
      <c r="B1551" s="50" t="str">
        <f>VLOOKUP(A1551,'Sales Order'!A$2:B$1029,1,0)</f>
        <v>SO0532</v>
      </c>
      <c r="C1551" s="29" t="s">
        <v>83</v>
      </c>
      <c r="D1551" s="50" t="str">
        <f>VLOOKUP(C1551,Product!A$2:B$21,1,0)</f>
        <v>PD0020</v>
      </c>
      <c r="E1551" s="36">
        <v>103</v>
      </c>
      <c r="F1551" s="38">
        <v>27111660.000000004</v>
      </c>
      <c r="G1551" s="39" t="s">
        <v>3925</v>
      </c>
      <c r="H1551" s="12"/>
      <c r="L1551" s="12"/>
    </row>
    <row r="1552" spans="1:12" ht="15.75" customHeight="1" x14ac:dyDescent="0.3">
      <c r="A1552" s="17" t="s">
        <v>772</v>
      </c>
      <c r="B1552" s="50" t="str">
        <f>VLOOKUP(A1552,'Sales Order'!A$2:B$1029,1,0)</f>
        <v>SO0534</v>
      </c>
      <c r="C1552" s="29" t="s">
        <v>48</v>
      </c>
      <c r="D1552" s="50" t="str">
        <f>VLOOKUP(C1552,Product!A$2:B$21,1,0)</f>
        <v>PD0009</v>
      </c>
      <c r="E1552" s="36">
        <v>100</v>
      </c>
      <c r="F1552" s="38">
        <v>11223000</v>
      </c>
      <c r="G1552" s="39" t="s">
        <v>3926</v>
      </c>
      <c r="H1552" s="12"/>
      <c r="L1552" s="12"/>
    </row>
    <row r="1553" spans="1:12" ht="15.75" customHeight="1" x14ac:dyDescent="0.3">
      <c r="A1553" s="29" t="s">
        <v>772</v>
      </c>
      <c r="B1553" s="50" t="str">
        <f>VLOOKUP(A1553,'Sales Order'!A$2:B$1029,1,0)</f>
        <v>SO0534</v>
      </c>
      <c r="C1553" s="29" t="s">
        <v>78</v>
      </c>
      <c r="D1553" s="50" t="str">
        <f>VLOOKUP(C1553,Product!A$2:B$21,1,0)</f>
        <v>PD0018</v>
      </c>
      <c r="E1553" s="36">
        <v>33</v>
      </c>
      <c r="F1553" s="38">
        <v>15975960</v>
      </c>
      <c r="G1553" s="39" t="s">
        <v>3927</v>
      </c>
      <c r="H1553" s="12"/>
      <c r="L1553" s="12"/>
    </row>
    <row r="1554" spans="1:12" ht="15.75" customHeight="1" x14ac:dyDescent="0.3">
      <c r="A1554" s="17" t="s">
        <v>773</v>
      </c>
      <c r="B1554" s="50" t="str">
        <f>VLOOKUP(A1554,'Sales Order'!A$2:B$1029,1,0)</f>
        <v>SO0535</v>
      </c>
      <c r="C1554" s="29" t="s">
        <v>75</v>
      </c>
      <c r="D1554" s="50" t="str">
        <f>VLOOKUP(C1554,Product!A$2:B$21,1,0)</f>
        <v>PD0017</v>
      </c>
      <c r="E1554" s="36">
        <v>92</v>
      </c>
      <c r="F1554" s="38">
        <v>207230000</v>
      </c>
      <c r="G1554" s="39" t="s">
        <v>3928</v>
      </c>
      <c r="H1554" s="12"/>
      <c r="L1554" s="12"/>
    </row>
    <row r="1555" spans="1:12" ht="15.75" customHeight="1" x14ac:dyDescent="0.3">
      <c r="A1555" s="29" t="s">
        <v>774</v>
      </c>
      <c r="B1555" s="50" t="str">
        <f>VLOOKUP(A1555,'Sales Order'!A$2:B$1029,1,0)</f>
        <v>SO0536</v>
      </c>
      <c r="C1555" s="29" t="s">
        <v>58</v>
      </c>
      <c r="D1555" s="50" t="str">
        <f>VLOOKUP(C1555,Product!A$2:B$21,1,0)</f>
        <v>PD0012</v>
      </c>
      <c r="E1555" s="36">
        <v>90</v>
      </c>
      <c r="F1555" s="38">
        <v>421233300</v>
      </c>
      <c r="G1555" s="39" t="s">
        <v>3929</v>
      </c>
      <c r="H1555" s="12"/>
      <c r="L1555" s="12"/>
    </row>
    <row r="1556" spans="1:12" ht="15.75" customHeight="1" x14ac:dyDescent="0.3">
      <c r="A1556" s="17" t="s">
        <v>775</v>
      </c>
      <c r="B1556" s="50" t="str">
        <f>VLOOKUP(A1556,'Sales Order'!A$2:B$1029,1,0)</f>
        <v>SO0537</v>
      </c>
      <c r="C1556" s="29" t="s">
        <v>40</v>
      </c>
      <c r="D1556" s="50" t="str">
        <f>VLOOKUP(C1556,Product!A$2:B$21,1,0)</f>
        <v>PD0006</v>
      </c>
      <c r="E1556" s="36">
        <v>76</v>
      </c>
      <c r="F1556" s="38">
        <v>14295600</v>
      </c>
      <c r="G1556" s="39" t="s">
        <v>3930</v>
      </c>
      <c r="H1556" s="12"/>
      <c r="L1556" s="12"/>
    </row>
    <row r="1557" spans="1:12" ht="15.75" customHeight="1" x14ac:dyDescent="0.3">
      <c r="A1557" s="29" t="s">
        <v>775</v>
      </c>
      <c r="B1557" s="50" t="str">
        <f>VLOOKUP(A1557,'Sales Order'!A$2:B$1029,1,0)</f>
        <v>SO0537</v>
      </c>
      <c r="C1557" s="29" t="s">
        <v>19</v>
      </c>
      <c r="D1557" s="50" t="str">
        <f>VLOOKUP(C1557,Product!A$2:B$21,1,0)</f>
        <v>PD0001</v>
      </c>
      <c r="E1557" s="36">
        <v>127</v>
      </c>
      <c r="F1557" s="38">
        <v>25614630</v>
      </c>
      <c r="G1557" s="39" t="s">
        <v>3931</v>
      </c>
      <c r="H1557" s="12"/>
      <c r="L1557" s="12"/>
    </row>
    <row r="1558" spans="1:12" ht="15.75" customHeight="1" x14ac:dyDescent="0.3">
      <c r="A1558" s="29" t="s">
        <v>775</v>
      </c>
      <c r="B1558" s="50" t="str">
        <f>VLOOKUP(A1558,'Sales Order'!A$2:B$1029,1,0)</f>
        <v>SO0537</v>
      </c>
      <c r="C1558" s="29" t="s">
        <v>33</v>
      </c>
      <c r="D1558" s="50" t="str">
        <f>VLOOKUP(C1558,Product!A$2:B$21,1,0)</f>
        <v>PD0004</v>
      </c>
      <c r="E1558" s="36">
        <v>51</v>
      </c>
      <c r="F1558" s="38">
        <v>8415000</v>
      </c>
      <c r="G1558" s="39" t="s">
        <v>3932</v>
      </c>
      <c r="H1558" s="12"/>
      <c r="L1558" s="12"/>
    </row>
    <row r="1559" spans="1:12" ht="15.75" customHeight="1" x14ac:dyDescent="0.3">
      <c r="A1559" s="29" t="s">
        <v>775</v>
      </c>
      <c r="B1559" s="50" t="str">
        <f>VLOOKUP(A1559,'Sales Order'!A$2:B$1029,1,0)</f>
        <v>SO0537</v>
      </c>
      <c r="C1559" s="29" t="s">
        <v>52</v>
      </c>
      <c r="D1559" s="50" t="str">
        <f>VLOOKUP(C1559,Product!A$2:B$21,1,0)</f>
        <v>PD0010</v>
      </c>
      <c r="E1559" s="36">
        <v>76</v>
      </c>
      <c r="F1559" s="38">
        <v>21983000</v>
      </c>
      <c r="G1559" s="39" t="s">
        <v>3933</v>
      </c>
      <c r="H1559" s="12"/>
      <c r="L1559" s="12"/>
    </row>
    <row r="1560" spans="1:12" ht="15.75" customHeight="1" x14ac:dyDescent="0.3">
      <c r="A1560" s="17" t="s">
        <v>776</v>
      </c>
      <c r="B1560" s="50" t="str">
        <f>VLOOKUP(A1560,'Sales Order'!A$2:B$1029,1,0)</f>
        <v>SO0538</v>
      </c>
      <c r="C1560" s="29" t="s">
        <v>25</v>
      </c>
      <c r="D1560" s="50" t="str">
        <f>VLOOKUP(C1560,Product!A$2:B$21,1,0)</f>
        <v>PD0002</v>
      </c>
      <c r="E1560" s="36">
        <v>59</v>
      </c>
      <c r="F1560" s="38">
        <v>1038400</v>
      </c>
      <c r="G1560" s="39" t="s">
        <v>3934</v>
      </c>
      <c r="H1560" s="12"/>
      <c r="L1560" s="12"/>
    </row>
    <row r="1561" spans="1:12" ht="15.75" customHeight="1" x14ac:dyDescent="0.3">
      <c r="A1561" s="29" t="s">
        <v>776</v>
      </c>
      <c r="B1561" s="50" t="str">
        <f>VLOOKUP(A1561,'Sales Order'!A$2:B$1029,1,0)</f>
        <v>SO0538</v>
      </c>
      <c r="C1561" s="29" t="s">
        <v>69</v>
      </c>
      <c r="D1561" s="50" t="str">
        <f>VLOOKUP(C1561,Product!A$2:B$21,1,0)</f>
        <v>PD0015</v>
      </c>
      <c r="E1561" s="36">
        <v>98</v>
      </c>
      <c r="F1561" s="38">
        <v>10920924</v>
      </c>
      <c r="G1561" s="39" t="s">
        <v>3935</v>
      </c>
      <c r="H1561" s="12"/>
      <c r="L1561" s="12"/>
    </row>
    <row r="1562" spans="1:12" ht="15.75" customHeight="1" x14ac:dyDescent="0.3">
      <c r="A1562" s="29" t="s">
        <v>776</v>
      </c>
      <c r="B1562" s="50" t="str">
        <f>VLOOKUP(A1562,'Sales Order'!A$2:B$1029,1,0)</f>
        <v>SO0538</v>
      </c>
      <c r="C1562" s="29" t="s">
        <v>48</v>
      </c>
      <c r="D1562" s="50" t="str">
        <f>VLOOKUP(C1562,Product!A$2:B$21,1,0)</f>
        <v>PD0009</v>
      </c>
      <c r="E1562" s="36">
        <v>115</v>
      </c>
      <c r="F1562" s="38">
        <v>12609750</v>
      </c>
      <c r="G1562" s="39" t="s">
        <v>3936</v>
      </c>
      <c r="H1562" s="12"/>
      <c r="L1562" s="12"/>
    </row>
    <row r="1563" spans="1:12" ht="15.75" customHeight="1" x14ac:dyDescent="0.3">
      <c r="A1563" s="17" t="s">
        <v>777</v>
      </c>
      <c r="B1563" s="50" t="str">
        <f>VLOOKUP(A1563,'Sales Order'!A$2:B$1029,1,0)</f>
        <v>SO0539</v>
      </c>
      <c r="C1563" s="29" t="s">
        <v>28</v>
      </c>
      <c r="D1563" s="50" t="str">
        <f>VLOOKUP(C1563,Product!A$2:B$21,1,0)</f>
        <v>PD0003</v>
      </c>
      <c r="E1563" s="36">
        <v>49</v>
      </c>
      <c r="F1563" s="38">
        <v>36039010</v>
      </c>
      <c r="G1563" s="39" t="s">
        <v>3937</v>
      </c>
      <c r="H1563" s="12"/>
      <c r="L1563" s="12"/>
    </row>
    <row r="1564" spans="1:12" ht="15.75" customHeight="1" x14ac:dyDescent="0.3">
      <c r="A1564" s="29" t="s">
        <v>778</v>
      </c>
      <c r="B1564" s="50" t="str">
        <f>VLOOKUP(A1564,'Sales Order'!A$2:B$1029,1,0)</f>
        <v>SO0540</v>
      </c>
      <c r="C1564" s="29" t="s">
        <v>52</v>
      </c>
      <c r="D1564" s="50" t="str">
        <f>VLOOKUP(C1564,Product!A$2:B$21,1,0)</f>
        <v>PD0010</v>
      </c>
      <c r="E1564" s="36">
        <v>95</v>
      </c>
      <c r="F1564" s="38">
        <v>27787500</v>
      </c>
      <c r="G1564" s="39" t="s">
        <v>3938</v>
      </c>
      <c r="H1564" s="12"/>
      <c r="L1564" s="12"/>
    </row>
    <row r="1565" spans="1:12" ht="15.75" customHeight="1" x14ac:dyDescent="0.3">
      <c r="A1565" s="29" t="s">
        <v>778</v>
      </c>
      <c r="B1565" s="50" t="str">
        <f>VLOOKUP(A1565,'Sales Order'!A$2:B$1029,1,0)</f>
        <v>SO0540</v>
      </c>
      <c r="C1565" s="29" t="s">
        <v>83</v>
      </c>
      <c r="D1565" s="50" t="str">
        <f>VLOOKUP(C1565,Product!A$2:B$21,1,0)</f>
        <v>PD0020</v>
      </c>
      <c r="E1565" s="36">
        <v>78</v>
      </c>
      <c r="F1565" s="38">
        <v>22033440</v>
      </c>
      <c r="G1565" s="39" t="s">
        <v>3939</v>
      </c>
      <c r="H1565" s="12"/>
      <c r="L1565" s="12"/>
    </row>
    <row r="1566" spans="1:12" ht="15.75" customHeight="1" x14ac:dyDescent="0.3">
      <c r="A1566" s="29" t="s">
        <v>778</v>
      </c>
      <c r="B1566" s="50" t="str">
        <f>VLOOKUP(A1566,'Sales Order'!A$2:B$1029,1,0)</f>
        <v>SO0540</v>
      </c>
      <c r="C1566" s="29" t="s">
        <v>75</v>
      </c>
      <c r="D1566" s="50" t="str">
        <f>VLOOKUP(C1566,Product!A$2:B$21,1,0)</f>
        <v>PD0017</v>
      </c>
      <c r="E1566" s="36">
        <v>106</v>
      </c>
      <c r="F1566" s="38">
        <v>224720000</v>
      </c>
      <c r="G1566" s="39" t="s">
        <v>3940</v>
      </c>
      <c r="H1566" s="12"/>
      <c r="L1566" s="12"/>
    </row>
    <row r="1567" spans="1:12" ht="15.75" customHeight="1" x14ac:dyDescent="0.3">
      <c r="A1567" s="17" t="s">
        <v>779</v>
      </c>
      <c r="B1567" s="50" t="str">
        <f>VLOOKUP(A1567,'Sales Order'!A$2:B$1029,1,0)</f>
        <v>SO0541</v>
      </c>
      <c r="C1567" s="29" t="s">
        <v>55</v>
      </c>
      <c r="D1567" s="50" t="str">
        <f>VLOOKUP(C1567,Product!A$2:B$21,1,0)</f>
        <v>PD0011</v>
      </c>
      <c r="E1567" s="36">
        <v>27</v>
      </c>
      <c r="F1567" s="38">
        <v>54139050</v>
      </c>
      <c r="G1567" s="39" t="s">
        <v>3941</v>
      </c>
      <c r="H1567" s="12"/>
      <c r="L1567" s="12"/>
    </row>
    <row r="1568" spans="1:12" ht="15.75" customHeight="1" x14ac:dyDescent="0.3">
      <c r="A1568" s="29" t="s">
        <v>779</v>
      </c>
      <c r="B1568" s="50" t="str">
        <f>VLOOKUP(A1568,'Sales Order'!A$2:B$1029,1,0)</f>
        <v>SO0541</v>
      </c>
      <c r="C1568" s="29" t="s">
        <v>28</v>
      </c>
      <c r="D1568" s="50" t="str">
        <f>VLOOKUP(C1568,Product!A$2:B$21,1,0)</f>
        <v>PD0003</v>
      </c>
      <c r="E1568" s="36">
        <v>73</v>
      </c>
      <c r="F1568" s="38">
        <v>58448180</v>
      </c>
      <c r="G1568" s="39" t="s">
        <v>3942</v>
      </c>
      <c r="H1568" s="12"/>
      <c r="L1568" s="12"/>
    </row>
    <row r="1569" spans="1:12" ht="15.75" customHeight="1" x14ac:dyDescent="0.3">
      <c r="A1569" s="29" t="s">
        <v>779</v>
      </c>
      <c r="B1569" s="50" t="str">
        <f>VLOOKUP(A1569,'Sales Order'!A$2:B$1029,1,0)</f>
        <v>SO0541</v>
      </c>
      <c r="C1569" s="29" t="s">
        <v>81</v>
      </c>
      <c r="D1569" s="50" t="str">
        <f>VLOOKUP(C1569,Product!A$2:B$21,1,0)</f>
        <v>PD0019</v>
      </c>
      <c r="E1569" s="36">
        <v>102</v>
      </c>
      <c r="F1569" s="38">
        <v>223598280</v>
      </c>
      <c r="G1569" s="39" t="s">
        <v>3943</v>
      </c>
      <c r="H1569" s="12"/>
      <c r="L1569" s="12"/>
    </row>
    <row r="1570" spans="1:12" ht="15.75" customHeight="1" x14ac:dyDescent="0.3">
      <c r="A1570" s="29" t="s">
        <v>779</v>
      </c>
      <c r="B1570" s="50" t="str">
        <f>VLOOKUP(A1570,'Sales Order'!A$2:B$1029,1,0)</f>
        <v>SO0541</v>
      </c>
      <c r="C1570" s="29" t="s">
        <v>78</v>
      </c>
      <c r="D1570" s="50" t="str">
        <f>VLOOKUP(C1570,Product!A$2:B$21,1,0)</f>
        <v>PD0018</v>
      </c>
      <c r="E1570" s="36">
        <v>75</v>
      </c>
      <c r="F1570" s="38">
        <v>31521000</v>
      </c>
      <c r="G1570" s="39" t="s">
        <v>3944</v>
      </c>
      <c r="H1570" s="12"/>
      <c r="L1570" s="12"/>
    </row>
    <row r="1571" spans="1:12" ht="15.75" customHeight="1" x14ac:dyDescent="0.3">
      <c r="A1571" s="29" t="s">
        <v>779</v>
      </c>
      <c r="B1571" s="50" t="str">
        <f>VLOOKUP(A1571,'Sales Order'!A$2:B$1029,1,0)</f>
        <v>SO0541</v>
      </c>
      <c r="C1571" s="29" t="s">
        <v>75</v>
      </c>
      <c r="D1571" s="50" t="str">
        <f>VLOOKUP(C1571,Product!A$2:B$21,1,0)</f>
        <v>PD0017</v>
      </c>
      <c r="E1571" s="36">
        <v>144</v>
      </c>
      <c r="F1571" s="38">
        <v>309096000</v>
      </c>
      <c r="G1571" s="39" t="s">
        <v>3945</v>
      </c>
      <c r="H1571" s="12"/>
      <c r="L1571" s="12"/>
    </row>
    <row r="1572" spans="1:12" ht="15.75" customHeight="1" x14ac:dyDescent="0.3">
      <c r="A1572" s="29" t="s">
        <v>779</v>
      </c>
      <c r="B1572" s="50" t="str">
        <f>VLOOKUP(A1572,'Sales Order'!A$2:B$1029,1,0)</f>
        <v>SO0541</v>
      </c>
      <c r="C1572" s="29" t="s">
        <v>45</v>
      </c>
      <c r="D1572" s="50" t="str">
        <f>VLOOKUP(C1572,Product!A$2:B$21,1,0)</f>
        <v>PD0008</v>
      </c>
      <c r="E1572" s="36">
        <v>114</v>
      </c>
      <c r="F1572" s="38">
        <v>15796979.999999998</v>
      </c>
      <c r="G1572" s="39" t="s">
        <v>3946</v>
      </c>
      <c r="H1572" s="12"/>
      <c r="L1572" s="12"/>
    </row>
    <row r="1573" spans="1:12" ht="15.75" customHeight="1" x14ac:dyDescent="0.3">
      <c r="A1573" s="17" t="s">
        <v>780</v>
      </c>
      <c r="B1573" s="50" t="str">
        <f>VLOOKUP(A1573,'Sales Order'!A$2:B$1029,1,0)</f>
        <v>SO0542</v>
      </c>
      <c r="C1573" s="29" t="s">
        <v>58</v>
      </c>
      <c r="D1573" s="50" t="str">
        <f>VLOOKUP(C1573,Product!A$2:B$21,1,0)</f>
        <v>PD0012</v>
      </c>
      <c r="E1573" s="36">
        <v>25</v>
      </c>
      <c r="F1573" s="38">
        <v>131106749.99999999</v>
      </c>
      <c r="G1573" s="39" t="s">
        <v>3947</v>
      </c>
      <c r="H1573" s="12"/>
      <c r="L1573" s="12"/>
    </row>
    <row r="1574" spans="1:12" ht="15.75" customHeight="1" x14ac:dyDescent="0.3">
      <c r="A1574" s="29" t="s">
        <v>780</v>
      </c>
      <c r="B1574" s="50" t="str">
        <f>VLOOKUP(A1574,'Sales Order'!A$2:B$1029,1,0)</f>
        <v>SO0542</v>
      </c>
      <c r="C1574" s="29" t="s">
        <v>28</v>
      </c>
      <c r="D1574" s="50" t="str">
        <f>VLOOKUP(C1574,Product!A$2:B$21,1,0)</f>
        <v>PD0003</v>
      </c>
      <c r="E1574" s="36">
        <v>82</v>
      </c>
      <c r="F1574" s="38">
        <v>61073600</v>
      </c>
      <c r="G1574" s="39" t="s">
        <v>3948</v>
      </c>
      <c r="H1574" s="12"/>
      <c r="L1574" s="12"/>
    </row>
    <row r="1575" spans="1:12" ht="15.75" customHeight="1" x14ac:dyDescent="0.3">
      <c r="A1575" s="29" t="s">
        <v>780</v>
      </c>
      <c r="B1575" s="50" t="str">
        <f>VLOOKUP(A1575,'Sales Order'!A$2:B$1029,1,0)</f>
        <v>SO0542</v>
      </c>
      <c r="C1575" s="29" t="s">
        <v>43</v>
      </c>
      <c r="D1575" s="50" t="str">
        <f>VLOOKUP(C1575,Product!A$2:B$21,1,0)</f>
        <v>PD0007</v>
      </c>
      <c r="E1575" s="36">
        <v>91</v>
      </c>
      <c r="F1575" s="38">
        <v>267904000</v>
      </c>
      <c r="G1575" s="39" t="s">
        <v>3949</v>
      </c>
      <c r="H1575" s="12"/>
      <c r="L1575" s="12"/>
    </row>
    <row r="1576" spans="1:12" ht="15.75" customHeight="1" x14ac:dyDescent="0.3">
      <c r="A1576" s="29" t="s">
        <v>780</v>
      </c>
      <c r="B1576" s="50" t="str">
        <f>VLOOKUP(A1576,'Sales Order'!A$2:B$1029,1,0)</f>
        <v>SO0542</v>
      </c>
      <c r="C1576" s="29" t="s">
        <v>48</v>
      </c>
      <c r="D1576" s="50" t="str">
        <f>VLOOKUP(C1576,Product!A$2:B$21,1,0)</f>
        <v>PD0009</v>
      </c>
      <c r="E1576" s="36">
        <v>126</v>
      </c>
      <c r="F1576" s="38">
        <v>13165740</v>
      </c>
      <c r="G1576" s="39" t="s">
        <v>3950</v>
      </c>
      <c r="H1576" s="12"/>
      <c r="L1576" s="12"/>
    </row>
    <row r="1577" spans="1:12" ht="15.75" customHeight="1" x14ac:dyDescent="0.3">
      <c r="A1577" s="17" t="s">
        <v>781</v>
      </c>
      <c r="B1577" s="50" t="str">
        <f>VLOOKUP(A1577,'Sales Order'!A$2:B$1029,1,0)</f>
        <v>SO0543</v>
      </c>
      <c r="C1577" s="29" t="s">
        <v>28</v>
      </c>
      <c r="D1577" s="50" t="str">
        <f>VLOOKUP(C1577,Product!A$2:B$21,1,0)</f>
        <v>PD0003</v>
      </c>
      <c r="E1577" s="36">
        <v>106</v>
      </c>
      <c r="F1577" s="38">
        <v>83883100</v>
      </c>
      <c r="G1577" s="39" t="s">
        <v>3951</v>
      </c>
      <c r="H1577" s="12"/>
      <c r="L1577" s="12"/>
    </row>
    <row r="1578" spans="1:12" ht="15.75" customHeight="1" x14ac:dyDescent="0.3">
      <c r="A1578" s="29" t="s">
        <v>781</v>
      </c>
      <c r="B1578" s="50" t="str">
        <f>VLOOKUP(A1578,'Sales Order'!A$2:B$1029,1,0)</f>
        <v>SO0543</v>
      </c>
      <c r="C1578" s="29" t="s">
        <v>83</v>
      </c>
      <c r="D1578" s="50" t="str">
        <f>VLOOKUP(C1578,Product!A$2:B$21,1,0)</f>
        <v>PD0020</v>
      </c>
      <c r="E1578" s="36">
        <v>93</v>
      </c>
      <c r="F1578" s="38">
        <v>25972110</v>
      </c>
      <c r="G1578" s="39" t="s">
        <v>3952</v>
      </c>
      <c r="H1578" s="12"/>
      <c r="L1578" s="12"/>
    </row>
    <row r="1579" spans="1:12" ht="15.75" customHeight="1" x14ac:dyDescent="0.3">
      <c r="A1579" s="29" t="s">
        <v>781</v>
      </c>
      <c r="B1579" s="50" t="str">
        <f>VLOOKUP(A1579,'Sales Order'!A$2:B$1029,1,0)</f>
        <v>SO0543</v>
      </c>
      <c r="C1579" s="29" t="s">
        <v>45</v>
      </c>
      <c r="D1579" s="50" t="str">
        <f>VLOOKUP(C1579,Product!A$2:B$21,1,0)</f>
        <v>PD0008</v>
      </c>
      <c r="E1579" s="36">
        <v>98</v>
      </c>
      <c r="F1579" s="38">
        <v>11389560</v>
      </c>
      <c r="G1579" s="39" t="s">
        <v>3953</v>
      </c>
      <c r="H1579" s="12"/>
      <c r="L1579" s="12"/>
    </row>
    <row r="1580" spans="1:12" ht="15.75" customHeight="1" x14ac:dyDescent="0.3">
      <c r="A1580" s="17" t="s">
        <v>782</v>
      </c>
      <c r="B1580" s="50" t="str">
        <f>VLOOKUP(A1580,'Sales Order'!A$2:B$1029,1,0)</f>
        <v>SO0544</v>
      </c>
      <c r="C1580" s="29" t="s">
        <v>40</v>
      </c>
      <c r="D1580" s="50" t="str">
        <f>VLOOKUP(C1580,Product!A$2:B$21,1,0)</f>
        <v>PD0006</v>
      </c>
      <c r="E1580" s="36">
        <v>48</v>
      </c>
      <c r="F1580" s="38">
        <v>8326560</v>
      </c>
      <c r="G1580" s="39" t="s">
        <v>3954</v>
      </c>
      <c r="H1580" s="12"/>
      <c r="L1580" s="12"/>
    </row>
    <row r="1581" spans="1:12" ht="15.75" customHeight="1" x14ac:dyDescent="0.3">
      <c r="A1581" s="29" t="s">
        <v>782</v>
      </c>
      <c r="B1581" s="50" t="str">
        <f>VLOOKUP(A1581,'Sales Order'!A$2:B$1029,1,0)</f>
        <v>SO0544</v>
      </c>
      <c r="C1581" s="29" t="s">
        <v>75</v>
      </c>
      <c r="D1581" s="50" t="str">
        <f>VLOOKUP(C1581,Product!A$2:B$21,1,0)</f>
        <v>PD0017</v>
      </c>
      <c r="E1581" s="36">
        <v>145</v>
      </c>
      <c r="F1581" s="38">
        <v>330455000</v>
      </c>
      <c r="G1581" s="39" t="s">
        <v>3955</v>
      </c>
      <c r="H1581" s="12"/>
      <c r="L1581" s="12"/>
    </row>
    <row r="1582" spans="1:12" ht="15.75" customHeight="1" x14ac:dyDescent="0.3">
      <c r="A1582" s="17" t="s">
        <v>783</v>
      </c>
      <c r="B1582" s="50" t="str">
        <f>VLOOKUP(A1582,'Sales Order'!A$2:B$1029,1,0)</f>
        <v>SO0545</v>
      </c>
      <c r="C1582" s="29" t="s">
        <v>78</v>
      </c>
      <c r="D1582" s="50" t="str">
        <f>VLOOKUP(C1582,Product!A$2:B$21,1,0)</f>
        <v>PD0018</v>
      </c>
      <c r="E1582" s="36">
        <v>149</v>
      </c>
      <c r="F1582" s="38">
        <v>60243680</v>
      </c>
      <c r="G1582" s="39" t="s">
        <v>3956</v>
      </c>
      <c r="H1582" s="12"/>
      <c r="L1582" s="12"/>
    </row>
    <row r="1583" spans="1:12" ht="15.75" customHeight="1" x14ac:dyDescent="0.3">
      <c r="A1583" s="29" t="s">
        <v>783</v>
      </c>
      <c r="B1583" s="50" t="str">
        <f>VLOOKUP(A1583,'Sales Order'!A$2:B$1029,1,0)</f>
        <v>SO0545</v>
      </c>
      <c r="C1583" s="29" t="s">
        <v>81</v>
      </c>
      <c r="D1583" s="50" t="str">
        <f>VLOOKUP(C1583,Product!A$2:B$21,1,0)</f>
        <v>PD0019</v>
      </c>
      <c r="E1583" s="36">
        <v>27</v>
      </c>
      <c r="F1583" s="38">
        <v>59187780</v>
      </c>
      <c r="G1583" s="39" t="s">
        <v>3957</v>
      </c>
      <c r="H1583" s="12"/>
      <c r="L1583" s="12"/>
    </row>
    <row r="1584" spans="1:12" ht="15.75" customHeight="1" x14ac:dyDescent="0.3">
      <c r="A1584" s="29" t="s">
        <v>783</v>
      </c>
      <c r="B1584" s="50" t="str">
        <f>VLOOKUP(A1584,'Sales Order'!A$2:B$1029,1,0)</f>
        <v>SO0545</v>
      </c>
      <c r="C1584" s="29" t="s">
        <v>52</v>
      </c>
      <c r="D1584" s="50" t="str">
        <f>VLOOKUP(C1584,Product!A$2:B$21,1,0)</f>
        <v>PD0010</v>
      </c>
      <c r="E1584" s="36">
        <v>132</v>
      </c>
      <c r="F1584" s="38">
        <v>40755000</v>
      </c>
      <c r="G1584" s="39" t="s">
        <v>3958</v>
      </c>
      <c r="H1584" s="12"/>
      <c r="L1584" s="12"/>
    </row>
    <row r="1585" spans="1:12" ht="15.75" customHeight="1" x14ac:dyDescent="0.3">
      <c r="A1585" s="17" t="s">
        <v>784</v>
      </c>
      <c r="B1585" s="50" t="str">
        <f>VLOOKUP(A1585,'Sales Order'!A$2:B$1029,1,0)</f>
        <v>SO0546</v>
      </c>
      <c r="C1585" s="29" t="s">
        <v>45</v>
      </c>
      <c r="D1585" s="50" t="str">
        <f>VLOOKUP(C1585,Product!A$2:B$21,1,0)</f>
        <v>PD0008</v>
      </c>
      <c r="E1585" s="36">
        <v>55</v>
      </c>
      <c r="F1585" s="38">
        <v>6392100</v>
      </c>
      <c r="G1585" s="39" t="s">
        <v>3959</v>
      </c>
      <c r="H1585" s="12"/>
      <c r="L1585" s="12"/>
    </row>
    <row r="1586" spans="1:12" ht="15.75" customHeight="1" x14ac:dyDescent="0.3">
      <c r="A1586" s="29" t="s">
        <v>784</v>
      </c>
      <c r="B1586" s="50" t="str">
        <f>VLOOKUP(A1586,'Sales Order'!A$2:B$1029,1,0)</f>
        <v>SO0546</v>
      </c>
      <c r="C1586" s="29" t="s">
        <v>61</v>
      </c>
      <c r="D1586" s="50" t="str">
        <f>VLOOKUP(C1586,Product!A$2:B$21,1,0)</f>
        <v>PD0013</v>
      </c>
      <c r="E1586" s="36">
        <v>115</v>
      </c>
      <c r="F1586" s="38">
        <v>50678200</v>
      </c>
      <c r="G1586" s="39" t="s">
        <v>3960</v>
      </c>
      <c r="H1586" s="12"/>
      <c r="L1586" s="12"/>
    </row>
    <row r="1587" spans="1:12" ht="15.75" customHeight="1" x14ac:dyDescent="0.3">
      <c r="A1587" s="29" t="s">
        <v>784</v>
      </c>
      <c r="B1587" s="50" t="str">
        <f>VLOOKUP(A1587,'Sales Order'!A$2:B$1029,1,0)</f>
        <v>SO0546</v>
      </c>
      <c r="C1587" s="29" t="s">
        <v>28</v>
      </c>
      <c r="D1587" s="50" t="str">
        <f>VLOOKUP(C1587,Product!A$2:B$21,1,0)</f>
        <v>PD0003</v>
      </c>
      <c r="E1587" s="36">
        <v>52</v>
      </c>
      <c r="F1587" s="38">
        <v>43086680</v>
      </c>
      <c r="G1587" s="39" t="s">
        <v>3961</v>
      </c>
      <c r="H1587" s="12"/>
      <c r="L1587" s="12"/>
    </row>
    <row r="1588" spans="1:12" ht="15.75" customHeight="1" x14ac:dyDescent="0.3">
      <c r="A1588" s="17" t="s">
        <v>785</v>
      </c>
      <c r="B1588" s="50" t="str">
        <f>VLOOKUP(A1588,'Sales Order'!A$2:B$1029,1,0)</f>
        <v>SO0547</v>
      </c>
      <c r="C1588" s="29" t="s">
        <v>48</v>
      </c>
      <c r="D1588" s="50" t="str">
        <f>VLOOKUP(C1588,Product!A$2:B$21,1,0)</f>
        <v>PD0009</v>
      </c>
      <c r="E1588" s="36">
        <v>69</v>
      </c>
      <c r="F1588" s="38">
        <v>7654860</v>
      </c>
      <c r="G1588" s="39" t="s">
        <v>3962</v>
      </c>
      <c r="H1588" s="12"/>
      <c r="L1588" s="12"/>
    </row>
    <row r="1589" spans="1:12" ht="15.75" customHeight="1" x14ac:dyDescent="0.3">
      <c r="A1589" s="29" t="s">
        <v>785</v>
      </c>
      <c r="B1589" s="50" t="str">
        <f>VLOOKUP(A1589,'Sales Order'!A$2:B$1029,1,0)</f>
        <v>SO0547</v>
      </c>
      <c r="C1589" s="29" t="s">
        <v>61</v>
      </c>
      <c r="D1589" s="50" t="str">
        <f>VLOOKUP(C1589,Product!A$2:B$21,1,0)</f>
        <v>PD0013</v>
      </c>
      <c r="E1589" s="36">
        <v>53</v>
      </c>
      <c r="F1589" s="38">
        <v>19547990</v>
      </c>
      <c r="G1589" s="39" t="s">
        <v>3963</v>
      </c>
      <c r="H1589" s="12"/>
      <c r="L1589" s="12"/>
    </row>
    <row r="1590" spans="1:12" ht="15.75" customHeight="1" x14ac:dyDescent="0.3">
      <c r="A1590" s="17" t="s">
        <v>786</v>
      </c>
      <c r="B1590" s="50" t="str">
        <f>VLOOKUP(A1590,'Sales Order'!A$2:B$1029,1,0)</f>
        <v>SO0548</v>
      </c>
      <c r="C1590" s="29" t="s">
        <v>55</v>
      </c>
      <c r="D1590" s="50" t="str">
        <f>VLOOKUP(C1590,Product!A$2:B$21,1,0)</f>
        <v>PD0011</v>
      </c>
      <c r="E1590" s="36">
        <v>44</v>
      </c>
      <c r="F1590" s="38">
        <v>94454360</v>
      </c>
      <c r="G1590" s="39" t="s">
        <v>3964</v>
      </c>
      <c r="H1590" s="12"/>
      <c r="L1590" s="12"/>
    </row>
    <row r="1591" spans="1:12" ht="15.75" customHeight="1" x14ac:dyDescent="0.3">
      <c r="A1591" s="29" t="s">
        <v>786</v>
      </c>
      <c r="B1591" s="50" t="str">
        <f>VLOOKUP(A1591,'Sales Order'!A$2:B$1029,1,0)</f>
        <v>SO0548</v>
      </c>
      <c r="C1591" s="29" t="s">
        <v>65</v>
      </c>
      <c r="D1591" s="50" t="str">
        <f>VLOOKUP(C1591,Product!A$2:B$21,1,0)</f>
        <v>PD0014</v>
      </c>
      <c r="E1591" s="36">
        <v>42</v>
      </c>
      <c r="F1591" s="38">
        <v>9980460</v>
      </c>
      <c r="G1591" s="39" t="s">
        <v>3965</v>
      </c>
      <c r="H1591" s="12"/>
      <c r="L1591" s="12"/>
    </row>
    <row r="1592" spans="1:12" ht="15.75" customHeight="1" x14ac:dyDescent="0.3">
      <c r="A1592" s="29" t="s">
        <v>786</v>
      </c>
      <c r="B1592" s="50" t="str">
        <f>VLOOKUP(A1592,'Sales Order'!A$2:B$1029,1,0)</f>
        <v>SO0548</v>
      </c>
      <c r="C1592" s="29" t="s">
        <v>58</v>
      </c>
      <c r="D1592" s="50" t="str">
        <f>VLOOKUP(C1592,Product!A$2:B$21,1,0)</f>
        <v>PD0012</v>
      </c>
      <c r="E1592" s="36">
        <v>70</v>
      </c>
      <c r="F1592" s="38">
        <v>343415100</v>
      </c>
      <c r="G1592" s="39" t="s">
        <v>3966</v>
      </c>
      <c r="H1592" s="12"/>
      <c r="L1592" s="12"/>
    </row>
    <row r="1593" spans="1:12" ht="15.75" customHeight="1" x14ac:dyDescent="0.3">
      <c r="A1593" s="29" t="s">
        <v>786</v>
      </c>
      <c r="B1593" s="50" t="str">
        <f>VLOOKUP(A1593,'Sales Order'!A$2:B$1029,1,0)</f>
        <v>SO0548</v>
      </c>
      <c r="C1593" s="29" t="s">
        <v>72</v>
      </c>
      <c r="D1593" s="50" t="str">
        <f>VLOOKUP(C1593,Product!A$2:B$21,1,0)</f>
        <v>PD0016</v>
      </c>
      <c r="E1593" s="36">
        <v>28</v>
      </c>
      <c r="F1593" s="38">
        <v>5681760</v>
      </c>
      <c r="G1593" s="39" t="s">
        <v>3967</v>
      </c>
      <c r="H1593" s="12"/>
      <c r="L1593" s="12"/>
    </row>
    <row r="1594" spans="1:12" ht="15.75" customHeight="1" x14ac:dyDescent="0.3">
      <c r="A1594" s="29" t="s">
        <v>786</v>
      </c>
      <c r="B1594" s="50" t="str">
        <f>VLOOKUP(A1594,'Sales Order'!A$2:B$1029,1,0)</f>
        <v>SO0548</v>
      </c>
      <c r="C1594" s="29" t="s">
        <v>61</v>
      </c>
      <c r="D1594" s="50" t="str">
        <f>VLOOKUP(C1594,Product!A$2:B$21,1,0)</f>
        <v>PD0013</v>
      </c>
      <c r="E1594" s="36">
        <v>114</v>
      </c>
      <c r="F1594" s="38">
        <v>42046620</v>
      </c>
      <c r="G1594" s="39" t="s">
        <v>3968</v>
      </c>
      <c r="H1594" s="12"/>
      <c r="L1594" s="12"/>
    </row>
    <row r="1595" spans="1:12" ht="15.75" customHeight="1" x14ac:dyDescent="0.3">
      <c r="A1595" s="17" t="s">
        <v>787</v>
      </c>
      <c r="B1595" s="50" t="str">
        <f>VLOOKUP(A1595,'Sales Order'!A$2:B$1029,1,0)</f>
        <v>SO0549</v>
      </c>
      <c r="C1595" s="29" t="s">
        <v>40</v>
      </c>
      <c r="D1595" s="50" t="str">
        <f>VLOOKUP(C1595,Product!A$2:B$21,1,0)</f>
        <v>PD0006</v>
      </c>
      <c r="E1595" s="36">
        <v>142</v>
      </c>
      <c r="F1595" s="38">
        <v>27897320</v>
      </c>
      <c r="G1595" s="39" t="s">
        <v>3969</v>
      </c>
      <c r="H1595" s="12"/>
      <c r="L1595" s="12"/>
    </row>
    <row r="1596" spans="1:12" ht="15.75" customHeight="1" x14ac:dyDescent="0.3">
      <c r="A1596" s="29" t="s">
        <v>787</v>
      </c>
      <c r="B1596" s="50" t="str">
        <f>VLOOKUP(A1596,'Sales Order'!A$2:B$1029,1,0)</f>
        <v>SO0549</v>
      </c>
      <c r="C1596" s="29" t="s">
        <v>61</v>
      </c>
      <c r="D1596" s="50" t="str">
        <f>VLOOKUP(C1596,Product!A$2:B$21,1,0)</f>
        <v>PD0013</v>
      </c>
      <c r="E1596" s="36">
        <v>84</v>
      </c>
      <c r="F1596" s="38">
        <v>36614760</v>
      </c>
      <c r="G1596" s="39" t="s">
        <v>3970</v>
      </c>
      <c r="H1596" s="12"/>
      <c r="L1596" s="12"/>
    </row>
    <row r="1597" spans="1:12" ht="15.75" customHeight="1" x14ac:dyDescent="0.3">
      <c r="A1597" s="29" t="s">
        <v>787</v>
      </c>
      <c r="B1597" s="50" t="str">
        <f>VLOOKUP(A1597,'Sales Order'!A$2:B$1029,1,0)</f>
        <v>SO0549</v>
      </c>
      <c r="C1597" s="29" t="s">
        <v>43</v>
      </c>
      <c r="D1597" s="50" t="str">
        <f>VLOOKUP(C1597,Product!A$2:B$21,1,0)</f>
        <v>PD0007</v>
      </c>
      <c r="E1597" s="36">
        <v>40</v>
      </c>
      <c r="F1597" s="38">
        <v>110080000</v>
      </c>
      <c r="G1597" s="39" t="s">
        <v>3971</v>
      </c>
      <c r="H1597" s="12"/>
      <c r="L1597" s="12"/>
    </row>
    <row r="1598" spans="1:12" ht="15.75" customHeight="1" x14ac:dyDescent="0.3">
      <c r="A1598" s="17" t="s">
        <v>788</v>
      </c>
      <c r="B1598" s="50" t="str">
        <f>VLOOKUP(A1598,'Sales Order'!A$2:B$1029,1,0)</f>
        <v>SO0550</v>
      </c>
      <c r="C1598" s="29" t="s">
        <v>55</v>
      </c>
      <c r="D1598" s="50" t="str">
        <f>VLOOKUP(C1598,Product!A$2:B$21,1,0)</f>
        <v>PD0011</v>
      </c>
      <c r="E1598" s="36">
        <v>62</v>
      </c>
      <c r="F1598" s="38">
        <v>138945100</v>
      </c>
      <c r="G1598" s="39" t="s">
        <v>3972</v>
      </c>
      <c r="H1598" s="12"/>
      <c r="L1598" s="12"/>
    </row>
    <row r="1599" spans="1:12" ht="15.75" customHeight="1" x14ac:dyDescent="0.3">
      <c r="A1599" s="17" t="s">
        <v>789</v>
      </c>
      <c r="B1599" s="50" t="str">
        <f>VLOOKUP(A1599,'Sales Order'!A$2:B$1029,1,0)</f>
        <v>SO0551</v>
      </c>
      <c r="C1599" s="29" t="s">
        <v>25</v>
      </c>
      <c r="D1599" s="50" t="str">
        <f>VLOOKUP(C1599,Product!A$2:B$21,1,0)</f>
        <v>PD0002</v>
      </c>
      <c r="E1599" s="36">
        <v>135</v>
      </c>
      <c r="F1599" s="38">
        <v>2160000</v>
      </c>
      <c r="G1599" s="39" t="s">
        <v>3973</v>
      </c>
      <c r="H1599" s="12"/>
      <c r="L1599" s="12"/>
    </row>
    <row r="1600" spans="1:12" ht="15.75" customHeight="1" x14ac:dyDescent="0.3">
      <c r="A1600" s="29" t="s">
        <v>789</v>
      </c>
      <c r="B1600" s="50" t="str">
        <f>VLOOKUP(A1600,'Sales Order'!A$2:B$1029,1,0)</f>
        <v>SO0551</v>
      </c>
      <c r="C1600" s="29" t="s">
        <v>72</v>
      </c>
      <c r="D1600" s="50" t="str">
        <f>VLOOKUP(C1600,Product!A$2:B$21,1,0)</f>
        <v>PD0016</v>
      </c>
      <c r="E1600" s="36">
        <v>139</v>
      </c>
      <c r="F1600" s="38">
        <v>29319270</v>
      </c>
      <c r="G1600" s="39" t="s">
        <v>3974</v>
      </c>
      <c r="H1600" s="12"/>
      <c r="L1600" s="12"/>
    </row>
    <row r="1601" spans="1:12" ht="15.75" customHeight="1" x14ac:dyDescent="0.3">
      <c r="A1601" s="17" t="s">
        <v>790</v>
      </c>
      <c r="B1601" s="50" t="str">
        <f>VLOOKUP(A1601,'Sales Order'!A$2:B$1029,1,0)</f>
        <v>SO0552</v>
      </c>
      <c r="C1601" s="29" t="s">
        <v>69</v>
      </c>
      <c r="D1601" s="50" t="str">
        <f>VLOOKUP(C1601,Product!A$2:B$21,1,0)</f>
        <v>PD0015</v>
      </c>
      <c r="E1601" s="36">
        <v>78</v>
      </c>
      <c r="F1601" s="38">
        <v>8480160</v>
      </c>
      <c r="G1601" s="39" t="s">
        <v>3975</v>
      </c>
      <c r="H1601" s="12"/>
      <c r="L1601" s="12"/>
    </row>
    <row r="1602" spans="1:12" ht="15.75" customHeight="1" x14ac:dyDescent="0.3">
      <c r="A1602" s="29" t="s">
        <v>790</v>
      </c>
      <c r="B1602" s="50" t="str">
        <f>VLOOKUP(A1602,'Sales Order'!A$2:B$1029,1,0)</f>
        <v>SO0552</v>
      </c>
      <c r="C1602" s="29" t="s">
        <v>55</v>
      </c>
      <c r="D1602" s="50" t="str">
        <f>VLOOKUP(C1602,Product!A$2:B$21,1,0)</f>
        <v>PD0011</v>
      </c>
      <c r="E1602" s="36">
        <v>137</v>
      </c>
      <c r="F1602" s="38">
        <v>303792020</v>
      </c>
      <c r="G1602" s="39" t="s">
        <v>3976</v>
      </c>
      <c r="H1602" s="12"/>
      <c r="L1602" s="12"/>
    </row>
    <row r="1603" spans="1:12" ht="15.75" customHeight="1" x14ac:dyDescent="0.3">
      <c r="A1603" s="17" t="s">
        <v>791</v>
      </c>
      <c r="B1603" s="50" t="str">
        <f>VLOOKUP(A1603,'Sales Order'!A$2:B$1029,1,0)</f>
        <v>SO0553</v>
      </c>
      <c r="C1603" s="29" t="s">
        <v>45</v>
      </c>
      <c r="D1603" s="50" t="str">
        <f>VLOOKUP(C1603,Product!A$2:B$21,1,0)</f>
        <v>PD0008</v>
      </c>
      <c r="E1603" s="36">
        <v>41</v>
      </c>
      <c r="F1603" s="38">
        <v>5437010</v>
      </c>
      <c r="G1603" s="39" t="s">
        <v>3977</v>
      </c>
      <c r="H1603" s="12"/>
      <c r="L1603" s="12"/>
    </row>
    <row r="1604" spans="1:12" ht="15.75" customHeight="1" x14ac:dyDescent="0.3">
      <c r="A1604" s="29" t="s">
        <v>791</v>
      </c>
      <c r="B1604" s="50" t="str">
        <f>VLOOKUP(A1604,'Sales Order'!A$2:B$1029,1,0)</f>
        <v>SO0553</v>
      </c>
      <c r="C1604" s="29" t="s">
        <v>48</v>
      </c>
      <c r="D1604" s="50" t="str">
        <f>VLOOKUP(C1604,Product!A$2:B$21,1,0)</f>
        <v>PD0009</v>
      </c>
      <c r="E1604" s="36">
        <v>44</v>
      </c>
      <c r="F1604" s="38">
        <v>4824600</v>
      </c>
      <c r="G1604" s="39" t="s">
        <v>3978</v>
      </c>
      <c r="H1604" s="12"/>
      <c r="L1604" s="12"/>
    </row>
    <row r="1605" spans="1:12" ht="15.75" customHeight="1" x14ac:dyDescent="0.3">
      <c r="A1605" s="17" t="s">
        <v>792</v>
      </c>
      <c r="B1605" s="50" t="str">
        <f>VLOOKUP(A1605,'Sales Order'!A$2:B$1029,1,0)</f>
        <v>SO0554</v>
      </c>
      <c r="C1605" s="29" t="s">
        <v>48</v>
      </c>
      <c r="D1605" s="50" t="str">
        <f>VLOOKUP(C1605,Product!A$2:B$21,1,0)</f>
        <v>PD0009</v>
      </c>
      <c r="E1605" s="36">
        <v>83</v>
      </c>
      <c r="F1605" s="38">
        <v>10171650</v>
      </c>
      <c r="G1605" s="39" t="s">
        <v>3979</v>
      </c>
      <c r="H1605" s="12"/>
      <c r="L1605" s="12"/>
    </row>
    <row r="1606" spans="1:12" ht="15.75" customHeight="1" x14ac:dyDescent="0.3">
      <c r="A1606" s="29" t="s">
        <v>792</v>
      </c>
      <c r="B1606" s="50" t="str">
        <f>VLOOKUP(A1606,'Sales Order'!A$2:B$1029,1,0)</f>
        <v>SO0554</v>
      </c>
      <c r="C1606" s="29" t="s">
        <v>72</v>
      </c>
      <c r="D1606" s="50" t="str">
        <f>VLOOKUP(C1606,Product!A$2:B$21,1,0)</f>
        <v>PD0016</v>
      </c>
      <c r="E1606" s="36">
        <v>127</v>
      </c>
      <c r="F1606" s="38">
        <v>27805380.000000004</v>
      </c>
      <c r="G1606" s="39" t="s">
        <v>3980</v>
      </c>
      <c r="H1606" s="12"/>
      <c r="L1606" s="12"/>
    </row>
    <row r="1607" spans="1:12" ht="15.75" customHeight="1" x14ac:dyDescent="0.3">
      <c r="A1607" s="29" t="s">
        <v>793</v>
      </c>
      <c r="B1607" s="50" t="str">
        <f>VLOOKUP(A1607,'Sales Order'!A$2:B$1029,1,0)</f>
        <v>SO0555</v>
      </c>
      <c r="C1607" s="29" t="s">
        <v>43</v>
      </c>
      <c r="D1607" s="50" t="str">
        <f>VLOOKUP(C1607,Product!A$2:B$21,1,0)</f>
        <v>PD0007</v>
      </c>
      <c r="E1607" s="36">
        <v>99</v>
      </c>
      <c r="F1607" s="38">
        <v>285120000</v>
      </c>
      <c r="G1607" s="39" t="s">
        <v>3981</v>
      </c>
      <c r="H1607" s="12"/>
      <c r="L1607" s="12"/>
    </row>
    <row r="1608" spans="1:12" ht="15.75" customHeight="1" x14ac:dyDescent="0.3">
      <c r="A1608" s="17" t="s">
        <v>794</v>
      </c>
      <c r="B1608" s="50" t="str">
        <f>VLOOKUP(A1608,'Sales Order'!A$2:B$1029,1,0)</f>
        <v>SO0556</v>
      </c>
      <c r="C1608" s="29" t="s">
        <v>81</v>
      </c>
      <c r="D1608" s="50" t="str">
        <f>VLOOKUP(C1608,Product!A$2:B$21,1,0)</f>
        <v>PD0019</v>
      </c>
      <c r="E1608" s="36">
        <v>95</v>
      </c>
      <c r="F1608" s="38">
        <v>215517950</v>
      </c>
      <c r="G1608" s="39" t="s">
        <v>3982</v>
      </c>
      <c r="H1608" s="12"/>
      <c r="L1608" s="12"/>
    </row>
    <row r="1609" spans="1:12" ht="15.75" customHeight="1" x14ac:dyDescent="0.3">
      <c r="A1609" s="17" t="s">
        <v>795</v>
      </c>
      <c r="B1609" s="50" t="str">
        <f>VLOOKUP(A1609,'Sales Order'!A$2:B$1029,1,0)</f>
        <v>SO0557</v>
      </c>
      <c r="C1609" s="29" t="s">
        <v>33</v>
      </c>
      <c r="D1609" s="50" t="str">
        <f>VLOOKUP(C1609,Product!A$2:B$21,1,0)</f>
        <v>PD0004</v>
      </c>
      <c r="E1609" s="36">
        <v>74</v>
      </c>
      <c r="F1609" s="38">
        <v>13349600.000000002</v>
      </c>
      <c r="G1609" s="39" t="s">
        <v>3983</v>
      </c>
      <c r="H1609" s="12"/>
      <c r="L1609" s="12"/>
    </row>
    <row r="1610" spans="1:12" ht="15.75" customHeight="1" x14ac:dyDescent="0.3">
      <c r="A1610" s="29" t="s">
        <v>795</v>
      </c>
      <c r="B1610" s="50" t="str">
        <f>VLOOKUP(A1610,'Sales Order'!A$2:B$1029,1,0)</f>
        <v>SO0557</v>
      </c>
      <c r="C1610" s="29" t="s">
        <v>35</v>
      </c>
      <c r="D1610" s="50" t="str">
        <f>VLOOKUP(C1610,Product!A$2:B$21,1,0)</f>
        <v>PD0005</v>
      </c>
      <c r="E1610" s="36">
        <v>33</v>
      </c>
      <c r="F1610" s="38">
        <v>64467150</v>
      </c>
      <c r="G1610" s="39" t="s">
        <v>3984</v>
      </c>
      <c r="H1610" s="12"/>
      <c r="L1610" s="12"/>
    </row>
    <row r="1611" spans="1:12" ht="15.75" customHeight="1" x14ac:dyDescent="0.3">
      <c r="A1611" s="29" t="s">
        <v>795</v>
      </c>
      <c r="B1611" s="50" t="str">
        <f>VLOOKUP(A1611,'Sales Order'!A$2:B$1029,1,0)</f>
        <v>SO0557</v>
      </c>
      <c r="C1611" s="29" t="s">
        <v>25</v>
      </c>
      <c r="D1611" s="50" t="str">
        <f>VLOOKUP(C1611,Product!A$2:B$21,1,0)</f>
        <v>PD0002</v>
      </c>
      <c r="E1611" s="36">
        <v>79</v>
      </c>
      <c r="F1611" s="38">
        <v>1248200</v>
      </c>
      <c r="G1611" s="39" t="s">
        <v>3985</v>
      </c>
      <c r="H1611" s="12"/>
      <c r="L1611" s="12"/>
    </row>
    <row r="1612" spans="1:12" ht="15.75" customHeight="1" x14ac:dyDescent="0.3">
      <c r="A1612" s="17" t="s">
        <v>796</v>
      </c>
      <c r="B1612" s="50" t="str">
        <f>VLOOKUP(A1612,'Sales Order'!A$2:B$1029,1,0)</f>
        <v>SO0558</v>
      </c>
      <c r="C1612" s="29" t="s">
        <v>83</v>
      </c>
      <c r="D1612" s="50" t="str">
        <f>VLOOKUP(C1612,Product!A$2:B$21,1,0)</f>
        <v>PD0020</v>
      </c>
      <c r="E1612" s="36">
        <v>25</v>
      </c>
      <c r="F1612" s="38">
        <v>6179250</v>
      </c>
      <c r="G1612" s="39" t="s">
        <v>3986</v>
      </c>
      <c r="H1612" s="12"/>
      <c r="L1612" s="12"/>
    </row>
    <row r="1613" spans="1:12" ht="15.75" customHeight="1" x14ac:dyDescent="0.3">
      <c r="A1613" s="29" t="s">
        <v>796</v>
      </c>
      <c r="B1613" s="50" t="str">
        <f>VLOOKUP(A1613,'Sales Order'!A$2:B$1029,1,0)</f>
        <v>SO0558</v>
      </c>
      <c r="C1613" s="29" t="s">
        <v>69</v>
      </c>
      <c r="D1613" s="50" t="str">
        <f>VLOOKUP(C1613,Product!A$2:B$21,1,0)</f>
        <v>PD0015</v>
      </c>
      <c r="E1613" s="36">
        <v>69</v>
      </c>
      <c r="F1613" s="38">
        <v>8814474</v>
      </c>
      <c r="G1613" s="39" t="s">
        <v>3987</v>
      </c>
      <c r="H1613" s="12"/>
      <c r="L1613" s="12"/>
    </row>
    <row r="1614" spans="1:12" ht="15.75" customHeight="1" x14ac:dyDescent="0.3">
      <c r="A1614" s="29" t="s">
        <v>796</v>
      </c>
      <c r="B1614" s="50" t="str">
        <f>VLOOKUP(A1614,'Sales Order'!A$2:B$1029,1,0)</f>
        <v>SO0558</v>
      </c>
      <c r="C1614" s="29" t="s">
        <v>33</v>
      </c>
      <c r="D1614" s="50" t="str">
        <f>VLOOKUP(C1614,Product!A$2:B$21,1,0)</f>
        <v>PD0004</v>
      </c>
      <c r="E1614" s="36">
        <v>129</v>
      </c>
      <c r="F1614" s="38">
        <v>23839200</v>
      </c>
      <c r="G1614" s="39" t="s">
        <v>3988</v>
      </c>
      <c r="H1614" s="12"/>
      <c r="L1614" s="12"/>
    </row>
    <row r="1615" spans="1:12" ht="15.75" customHeight="1" x14ac:dyDescent="0.3">
      <c r="A1615" s="17" t="s">
        <v>797</v>
      </c>
      <c r="B1615" s="50" t="str">
        <f>VLOOKUP(A1615,'Sales Order'!A$2:B$1029,1,0)</f>
        <v>SO0559</v>
      </c>
      <c r="C1615" s="29" t="s">
        <v>40</v>
      </c>
      <c r="D1615" s="50" t="str">
        <f>VLOOKUP(C1615,Product!A$2:B$21,1,0)</f>
        <v>PD0006</v>
      </c>
      <c r="E1615" s="36">
        <v>47</v>
      </c>
      <c r="F1615" s="38">
        <v>7367250</v>
      </c>
      <c r="G1615" s="39" t="s">
        <v>3989</v>
      </c>
      <c r="H1615" s="12"/>
      <c r="L1615" s="12"/>
    </row>
    <row r="1616" spans="1:12" ht="15.75" customHeight="1" x14ac:dyDescent="0.3">
      <c r="A1616" s="29" t="s">
        <v>797</v>
      </c>
      <c r="B1616" s="50" t="str">
        <f>VLOOKUP(A1616,'Sales Order'!A$2:B$1029,1,0)</f>
        <v>SO0559</v>
      </c>
      <c r="C1616" s="29" t="s">
        <v>83</v>
      </c>
      <c r="D1616" s="50" t="str">
        <f>VLOOKUP(C1616,Product!A$2:B$21,1,0)</f>
        <v>PD0020</v>
      </c>
      <c r="E1616" s="36">
        <v>113</v>
      </c>
      <c r="F1616" s="38">
        <v>29381130.000000004</v>
      </c>
      <c r="G1616" s="39" t="s">
        <v>3990</v>
      </c>
      <c r="H1616" s="12"/>
      <c r="L1616" s="12"/>
    </row>
    <row r="1617" spans="1:12" ht="15.75" customHeight="1" x14ac:dyDescent="0.3">
      <c r="A1617" s="17" t="s">
        <v>798</v>
      </c>
      <c r="B1617" s="50" t="str">
        <f>VLOOKUP(A1617,'Sales Order'!A$2:B$1029,1,0)</f>
        <v>SO0560</v>
      </c>
      <c r="C1617" s="29" t="s">
        <v>61</v>
      </c>
      <c r="D1617" s="50" t="str">
        <f>VLOOKUP(C1617,Product!A$2:B$21,1,0)</f>
        <v>PD0013</v>
      </c>
      <c r="E1617" s="36">
        <v>140</v>
      </c>
      <c r="F1617" s="38">
        <v>50965600</v>
      </c>
      <c r="G1617" s="39" t="s">
        <v>3991</v>
      </c>
      <c r="H1617" s="12"/>
      <c r="L1617" s="12"/>
    </row>
    <row r="1618" spans="1:12" ht="15.75" customHeight="1" x14ac:dyDescent="0.3">
      <c r="A1618" s="29" t="s">
        <v>798</v>
      </c>
      <c r="B1618" s="50" t="str">
        <f>VLOOKUP(A1618,'Sales Order'!A$2:B$1029,1,0)</f>
        <v>SO0560</v>
      </c>
      <c r="C1618" s="29" t="s">
        <v>43</v>
      </c>
      <c r="D1618" s="50" t="str">
        <f>VLOOKUP(C1618,Product!A$2:B$21,1,0)</f>
        <v>PD0007</v>
      </c>
      <c r="E1618" s="36">
        <v>30</v>
      </c>
      <c r="F1618" s="38">
        <v>74880000</v>
      </c>
      <c r="G1618" s="39" t="s">
        <v>3992</v>
      </c>
      <c r="H1618" s="12"/>
      <c r="L1618" s="12"/>
    </row>
    <row r="1619" spans="1:12" ht="15.75" customHeight="1" x14ac:dyDescent="0.3">
      <c r="A1619" s="17" t="s">
        <v>799</v>
      </c>
      <c r="B1619" s="50" t="str">
        <f>VLOOKUP(A1619,'Sales Order'!A$2:B$1029,1,0)</f>
        <v>SO0561</v>
      </c>
      <c r="C1619" s="29" t="s">
        <v>69</v>
      </c>
      <c r="D1619" s="50" t="str">
        <f>VLOOKUP(C1619,Product!A$2:B$21,1,0)</f>
        <v>PD0015</v>
      </c>
      <c r="E1619" s="36">
        <v>26</v>
      </c>
      <c r="F1619" s="38">
        <v>3003390</v>
      </c>
      <c r="G1619" s="39" t="s">
        <v>3993</v>
      </c>
      <c r="H1619" s="12"/>
      <c r="L1619" s="12"/>
    </row>
    <row r="1620" spans="1:12" ht="15.75" customHeight="1" x14ac:dyDescent="0.3">
      <c r="A1620" s="29" t="s">
        <v>799</v>
      </c>
      <c r="B1620" s="50" t="str">
        <f>VLOOKUP(A1620,'Sales Order'!A$2:B$1029,1,0)</f>
        <v>SO0561</v>
      </c>
      <c r="C1620" s="29" t="s">
        <v>55</v>
      </c>
      <c r="D1620" s="50" t="str">
        <f>VLOOKUP(C1620,Product!A$2:B$21,1,0)</f>
        <v>PD0011</v>
      </c>
      <c r="E1620" s="36">
        <v>78</v>
      </c>
      <c r="F1620" s="38">
        <v>145361580</v>
      </c>
      <c r="G1620" s="39" t="s">
        <v>3994</v>
      </c>
      <c r="H1620" s="12"/>
      <c r="L1620" s="12"/>
    </row>
    <row r="1621" spans="1:12" ht="15.75" customHeight="1" x14ac:dyDescent="0.3">
      <c r="A1621" s="17" t="s">
        <v>800</v>
      </c>
      <c r="B1621" s="50" t="str">
        <f>VLOOKUP(A1621,'Sales Order'!A$2:B$1029,1,0)</f>
        <v>SO0562</v>
      </c>
      <c r="C1621" s="29" t="s">
        <v>61</v>
      </c>
      <c r="D1621" s="50" t="str">
        <f>VLOOKUP(C1621,Product!A$2:B$21,1,0)</f>
        <v>PD0013</v>
      </c>
      <c r="E1621" s="36">
        <v>138</v>
      </c>
      <c r="F1621" s="38">
        <v>50237520</v>
      </c>
      <c r="G1621" s="39" t="s">
        <v>3995</v>
      </c>
      <c r="H1621" s="12"/>
      <c r="L1621" s="12"/>
    </row>
    <row r="1622" spans="1:12" ht="15.75" customHeight="1" x14ac:dyDescent="0.3">
      <c r="A1622" s="17" t="s">
        <v>801</v>
      </c>
      <c r="B1622" s="50" t="str">
        <f>VLOOKUP(A1622,'Sales Order'!A$2:B$1029,1,0)</f>
        <v>SO0563</v>
      </c>
      <c r="C1622" s="29" t="s">
        <v>43</v>
      </c>
      <c r="D1622" s="50" t="str">
        <f>VLOOKUP(C1622,Product!A$2:B$21,1,0)</f>
        <v>PD0007</v>
      </c>
      <c r="E1622" s="36">
        <v>84</v>
      </c>
      <c r="F1622" s="38">
        <v>231168000</v>
      </c>
      <c r="G1622" s="39" t="s">
        <v>3996</v>
      </c>
      <c r="H1622" s="12"/>
      <c r="L1622" s="12"/>
    </row>
    <row r="1623" spans="1:12" ht="15.75" customHeight="1" x14ac:dyDescent="0.3">
      <c r="A1623" s="29" t="s">
        <v>801</v>
      </c>
      <c r="B1623" s="50" t="str">
        <f>VLOOKUP(A1623,'Sales Order'!A$2:B$1029,1,0)</f>
        <v>SO0563</v>
      </c>
      <c r="C1623" s="29" t="s">
        <v>48</v>
      </c>
      <c r="D1623" s="50" t="str">
        <f>VLOOKUP(C1623,Product!A$2:B$21,1,0)</f>
        <v>PD0009</v>
      </c>
      <c r="E1623" s="36">
        <v>57</v>
      </c>
      <c r="F1623" s="38">
        <v>6397110</v>
      </c>
      <c r="G1623" s="39" t="s">
        <v>3997</v>
      </c>
      <c r="H1623" s="12"/>
      <c r="L1623" s="12"/>
    </row>
    <row r="1624" spans="1:12" ht="15.75" customHeight="1" x14ac:dyDescent="0.3">
      <c r="A1624" s="17" t="s">
        <v>802</v>
      </c>
      <c r="B1624" s="50" t="str">
        <f>VLOOKUP(A1624,'Sales Order'!A$2:B$1029,1,0)</f>
        <v>SO0564</v>
      </c>
      <c r="C1624" s="29" t="s">
        <v>81</v>
      </c>
      <c r="D1624" s="50" t="str">
        <f>VLOOKUP(C1624,Product!A$2:B$21,1,0)</f>
        <v>PD0019</v>
      </c>
      <c r="E1624" s="36">
        <v>78</v>
      </c>
      <c r="F1624" s="38">
        <v>151104720</v>
      </c>
      <c r="G1624" s="39" t="s">
        <v>3998</v>
      </c>
      <c r="H1624" s="12"/>
      <c r="L1624" s="12"/>
    </row>
    <row r="1625" spans="1:12" ht="15.75" customHeight="1" x14ac:dyDescent="0.3">
      <c r="A1625" s="17" t="s">
        <v>803</v>
      </c>
      <c r="B1625" s="50" t="str">
        <f>VLOOKUP(A1625,'Sales Order'!A$2:B$1029,1,0)</f>
        <v>SO0565</v>
      </c>
      <c r="C1625" s="29" t="s">
        <v>75</v>
      </c>
      <c r="D1625" s="50" t="str">
        <f>VLOOKUP(C1625,Product!A$2:B$21,1,0)</f>
        <v>PD0017</v>
      </c>
      <c r="E1625" s="36">
        <v>129</v>
      </c>
      <c r="F1625" s="38">
        <v>287154000</v>
      </c>
      <c r="G1625" s="39" t="s">
        <v>3999</v>
      </c>
      <c r="H1625" s="12"/>
      <c r="L1625" s="12"/>
    </row>
    <row r="1626" spans="1:12" ht="15.75" customHeight="1" x14ac:dyDescent="0.3">
      <c r="A1626" s="29" t="s">
        <v>803</v>
      </c>
      <c r="B1626" s="50" t="str">
        <f>VLOOKUP(A1626,'Sales Order'!A$2:B$1029,1,0)</f>
        <v>SO0565</v>
      </c>
      <c r="C1626" s="29" t="s">
        <v>65</v>
      </c>
      <c r="D1626" s="50" t="str">
        <f>VLOOKUP(C1626,Product!A$2:B$21,1,0)</f>
        <v>PD0014</v>
      </c>
      <c r="E1626" s="36">
        <v>39</v>
      </c>
      <c r="F1626" s="38">
        <v>9475830</v>
      </c>
      <c r="G1626" s="39" t="s">
        <v>4000</v>
      </c>
      <c r="H1626" s="12"/>
      <c r="L1626" s="12"/>
    </row>
    <row r="1627" spans="1:12" ht="15.75" customHeight="1" x14ac:dyDescent="0.3">
      <c r="A1627" s="29" t="s">
        <v>803</v>
      </c>
      <c r="B1627" s="50" t="str">
        <f>VLOOKUP(A1627,'Sales Order'!A$2:B$1029,1,0)</f>
        <v>SO0565</v>
      </c>
      <c r="C1627" s="29" t="s">
        <v>25</v>
      </c>
      <c r="D1627" s="50" t="str">
        <f>VLOOKUP(C1627,Product!A$2:B$21,1,0)</f>
        <v>PD0002</v>
      </c>
      <c r="E1627" s="36">
        <v>120</v>
      </c>
      <c r="F1627" s="38">
        <v>2112000</v>
      </c>
      <c r="G1627" s="39" t="s">
        <v>4001</v>
      </c>
      <c r="H1627" s="12"/>
      <c r="L1627" s="12"/>
    </row>
    <row r="1628" spans="1:12" ht="15.75" customHeight="1" x14ac:dyDescent="0.3">
      <c r="A1628" s="17" t="s">
        <v>804</v>
      </c>
      <c r="B1628" s="50" t="str">
        <f>VLOOKUP(A1628,'Sales Order'!A$2:B$1029,1,0)</f>
        <v>SO0566</v>
      </c>
      <c r="C1628" s="29" t="s">
        <v>83</v>
      </c>
      <c r="D1628" s="50" t="str">
        <f>VLOOKUP(C1628,Product!A$2:B$21,1,0)</f>
        <v>PD0020</v>
      </c>
      <c r="E1628" s="36">
        <v>111</v>
      </c>
      <c r="F1628" s="38">
        <v>32424210</v>
      </c>
      <c r="G1628" s="39" t="s">
        <v>4002</v>
      </c>
      <c r="H1628" s="12"/>
      <c r="L1628" s="12"/>
    </row>
    <row r="1629" spans="1:12" ht="15.75" customHeight="1" x14ac:dyDescent="0.3">
      <c r="A1629" s="29" t="s">
        <v>804</v>
      </c>
      <c r="B1629" s="50" t="str">
        <f>VLOOKUP(A1629,'Sales Order'!A$2:B$1029,1,0)</f>
        <v>SO0566</v>
      </c>
      <c r="C1629" s="29" t="s">
        <v>25</v>
      </c>
      <c r="D1629" s="50" t="str">
        <f>VLOOKUP(C1629,Product!A$2:B$21,1,0)</f>
        <v>PD0002</v>
      </c>
      <c r="E1629" s="36">
        <v>42</v>
      </c>
      <c r="F1629" s="38">
        <v>739200</v>
      </c>
      <c r="G1629" s="39" t="s">
        <v>4003</v>
      </c>
      <c r="H1629" s="12"/>
      <c r="L1629" s="12"/>
    </row>
    <row r="1630" spans="1:12" ht="15.75" customHeight="1" x14ac:dyDescent="0.3">
      <c r="A1630" s="29" t="s">
        <v>804</v>
      </c>
      <c r="B1630" s="50" t="str">
        <f>VLOOKUP(A1630,'Sales Order'!A$2:B$1029,1,0)</f>
        <v>SO0566</v>
      </c>
      <c r="C1630" s="29" t="s">
        <v>33</v>
      </c>
      <c r="D1630" s="50" t="str">
        <f>VLOOKUP(C1630,Product!A$2:B$21,1,0)</f>
        <v>PD0004</v>
      </c>
      <c r="E1630" s="36">
        <v>65</v>
      </c>
      <c r="F1630" s="38">
        <v>12441000</v>
      </c>
      <c r="G1630" s="39" t="s">
        <v>4004</v>
      </c>
      <c r="H1630" s="12"/>
      <c r="L1630" s="12"/>
    </row>
    <row r="1631" spans="1:12" ht="15.75" customHeight="1" x14ac:dyDescent="0.3">
      <c r="A1631" s="17" t="s">
        <v>805</v>
      </c>
      <c r="B1631" s="50" t="str">
        <f>VLOOKUP(A1631,'Sales Order'!A$2:B$1029,1,0)</f>
        <v>SO0567</v>
      </c>
      <c r="C1631" s="29" t="s">
        <v>25</v>
      </c>
      <c r="D1631" s="50" t="str">
        <f>VLOOKUP(C1631,Product!A$2:B$21,1,0)</f>
        <v>PD0002</v>
      </c>
      <c r="E1631" s="36">
        <v>41</v>
      </c>
      <c r="F1631" s="38">
        <v>623200</v>
      </c>
      <c r="G1631" s="39" t="s">
        <v>4005</v>
      </c>
      <c r="H1631" s="12"/>
      <c r="L1631" s="12"/>
    </row>
    <row r="1632" spans="1:12" ht="15.75" customHeight="1" x14ac:dyDescent="0.3">
      <c r="A1632" s="29" t="s">
        <v>805</v>
      </c>
      <c r="B1632" s="50" t="str">
        <f>VLOOKUP(A1632,'Sales Order'!A$2:B$1029,1,0)</f>
        <v>SO0567</v>
      </c>
      <c r="C1632" s="29" t="s">
        <v>83</v>
      </c>
      <c r="D1632" s="50" t="str">
        <f>VLOOKUP(C1632,Product!A$2:B$21,1,0)</f>
        <v>PD0020</v>
      </c>
      <c r="E1632" s="36">
        <v>105</v>
      </c>
      <c r="F1632" s="38">
        <v>29660400</v>
      </c>
      <c r="G1632" s="39" t="s">
        <v>4006</v>
      </c>
      <c r="H1632" s="12"/>
      <c r="L1632" s="12"/>
    </row>
    <row r="1633" spans="1:12" ht="15.75" customHeight="1" x14ac:dyDescent="0.3">
      <c r="A1633" s="29" t="s">
        <v>805</v>
      </c>
      <c r="B1633" s="50" t="str">
        <f>VLOOKUP(A1633,'Sales Order'!A$2:B$1029,1,0)</f>
        <v>SO0567</v>
      </c>
      <c r="C1633" s="29" t="s">
        <v>35</v>
      </c>
      <c r="D1633" s="50" t="str">
        <f>VLOOKUP(C1633,Product!A$2:B$21,1,0)</f>
        <v>PD0005</v>
      </c>
      <c r="E1633" s="36">
        <v>83</v>
      </c>
      <c r="F1633" s="38">
        <v>142104300</v>
      </c>
      <c r="G1633" s="39" t="s">
        <v>4007</v>
      </c>
      <c r="H1633" s="12"/>
      <c r="L1633" s="12"/>
    </row>
    <row r="1634" spans="1:12" ht="15.75" customHeight="1" x14ac:dyDescent="0.3">
      <c r="A1634" s="29" t="s">
        <v>805</v>
      </c>
      <c r="B1634" s="50" t="str">
        <f>VLOOKUP(A1634,'Sales Order'!A$2:B$1029,1,0)</f>
        <v>SO0567</v>
      </c>
      <c r="C1634" s="29" t="s">
        <v>58</v>
      </c>
      <c r="D1634" s="50" t="str">
        <f>VLOOKUP(C1634,Product!A$2:B$21,1,0)</f>
        <v>PD0012</v>
      </c>
      <c r="E1634" s="36">
        <v>119</v>
      </c>
      <c r="F1634" s="38">
        <v>597226490</v>
      </c>
      <c r="G1634" s="39" t="s">
        <v>4008</v>
      </c>
      <c r="H1634" s="12"/>
      <c r="L1634" s="12"/>
    </row>
    <row r="1635" spans="1:12" ht="15.75" customHeight="1" x14ac:dyDescent="0.3">
      <c r="A1635" s="17" t="s">
        <v>806</v>
      </c>
      <c r="B1635" s="50" t="str">
        <f>VLOOKUP(A1635,'Sales Order'!A$2:B$1029,1,0)</f>
        <v>SO0568</v>
      </c>
      <c r="C1635" s="29" t="s">
        <v>45</v>
      </c>
      <c r="D1635" s="50" t="str">
        <f>VLOOKUP(C1635,Product!A$2:B$21,1,0)</f>
        <v>PD0008</v>
      </c>
      <c r="E1635" s="36">
        <v>30</v>
      </c>
      <c r="F1635" s="38">
        <v>4157099.9999999995</v>
      </c>
      <c r="G1635" s="39" t="s">
        <v>4009</v>
      </c>
      <c r="H1635" s="12"/>
      <c r="L1635" s="12"/>
    </row>
    <row r="1636" spans="1:12" ht="15.75" customHeight="1" x14ac:dyDescent="0.3">
      <c r="A1636" s="29" t="s">
        <v>806</v>
      </c>
      <c r="B1636" s="50" t="str">
        <f>VLOOKUP(A1636,'Sales Order'!A$2:B$1029,1,0)</f>
        <v>SO0568</v>
      </c>
      <c r="C1636" s="29" t="s">
        <v>78</v>
      </c>
      <c r="D1636" s="50" t="str">
        <f>VLOOKUP(C1636,Product!A$2:B$21,1,0)</f>
        <v>PD0018</v>
      </c>
      <c r="E1636" s="36">
        <v>54</v>
      </c>
      <c r="F1636" s="38">
        <v>23844240</v>
      </c>
      <c r="G1636" s="39" t="s">
        <v>4010</v>
      </c>
      <c r="H1636" s="12"/>
      <c r="L1636" s="12"/>
    </row>
    <row r="1637" spans="1:12" ht="15.75" customHeight="1" x14ac:dyDescent="0.3">
      <c r="A1637" s="17" t="s">
        <v>807</v>
      </c>
      <c r="B1637" s="50" t="str">
        <f>VLOOKUP(A1637,'Sales Order'!A$2:B$1029,1,0)</f>
        <v>SO0569</v>
      </c>
      <c r="C1637" s="29" t="s">
        <v>33</v>
      </c>
      <c r="D1637" s="50" t="str">
        <f>VLOOKUP(C1637,Product!A$2:B$21,1,0)</f>
        <v>PD0004</v>
      </c>
      <c r="E1637" s="36">
        <v>101</v>
      </c>
      <c r="F1637" s="38">
        <v>21109000</v>
      </c>
      <c r="G1637" s="39" t="s">
        <v>4011</v>
      </c>
      <c r="H1637" s="12"/>
      <c r="L1637" s="12"/>
    </row>
    <row r="1638" spans="1:12" ht="15.75" customHeight="1" x14ac:dyDescent="0.3">
      <c r="A1638" s="29" t="s">
        <v>807</v>
      </c>
      <c r="B1638" s="50" t="str">
        <f>VLOOKUP(A1638,'Sales Order'!A$2:B$1029,1,0)</f>
        <v>SO0569</v>
      </c>
      <c r="C1638" s="29" t="s">
        <v>65</v>
      </c>
      <c r="D1638" s="50" t="str">
        <f>VLOOKUP(C1638,Product!A$2:B$21,1,0)</f>
        <v>PD0014</v>
      </c>
      <c r="E1638" s="36">
        <v>29</v>
      </c>
      <c r="F1638" s="38">
        <v>6658980</v>
      </c>
      <c r="G1638" s="39" t="s">
        <v>4012</v>
      </c>
      <c r="H1638" s="12"/>
      <c r="L1638" s="12"/>
    </row>
    <row r="1639" spans="1:12" ht="15.75" customHeight="1" x14ac:dyDescent="0.3">
      <c r="A1639" s="29" t="s">
        <v>807</v>
      </c>
      <c r="B1639" s="50" t="str">
        <f>VLOOKUP(A1639,'Sales Order'!A$2:B$1029,1,0)</f>
        <v>SO0569</v>
      </c>
      <c r="C1639" s="29" t="s">
        <v>83</v>
      </c>
      <c r="D1639" s="50" t="str">
        <f>VLOOKUP(C1639,Product!A$2:B$21,1,0)</f>
        <v>PD0020</v>
      </c>
      <c r="E1639" s="36">
        <v>69</v>
      </c>
      <c r="F1639" s="38">
        <v>21041550</v>
      </c>
      <c r="G1639" s="39" t="s">
        <v>4013</v>
      </c>
      <c r="H1639" s="12"/>
      <c r="L1639" s="12"/>
    </row>
    <row r="1640" spans="1:12" ht="15.75" customHeight="1" x14ac:dyDescent="0.3">
      <c r="A1640" s="29" t="s">
        <v>808</v>
      </c>
      <c r="B1640" s="50" t="str">
        <f>VLOOKUP(A1640,'Sales Order'!A$2:B$1029,1,0)</f>
        <v>SO0570</v>
      </c>
      <c r="C1640" s="29" t="s">
        <v>78</v>
      </c>
      <c r="D1640" s="50" t="str">
        <f>VLOOKUP(C1640,Product!A$2:B$21,1,0)</f>
        <v>PD0018</v>
      </c>
      <c r="E1640" s="36">
        <v>86</v>
      </c>
      <c r="F1640" s="38">
        <v>35686560</v>
      </c>
      <c r="G1640" s="39" t="s">
        <v>4014</v>
      </c>
      <c r="H1640" s="12"/>
      <c r="L1640" s="12"/>
    </row>
    <row r="1641" spans="1:12" ht="15.75" customHeight="1" x14ac:dyDescent="0.3">
      <c r="A1641" s="29" t="s">
        <v>808</v>
      </c>
      <c r="B1641" s="50" t="str">
        <f>VLOOKUP(A1641,'Sales Order'!A$2:B$1029,1,0)</f>
        <v>SO0570</v>
      </c>
      <c r="C1641" s="29" t="s">
        <v>61</v>
      </c>
      <c r="D1641" s="50" t="str">
        <f>VLOOKUP(C1641,Product!A$2:B$21,1,0)</f>
        <v>PD0013</v>
      </c>
      <c r="E1641" s="36">
        <v>77</v>
      </c>
      <c r="F1641" s="38">
        <v>29506400</v>
      </c>
      <c r="G1641" s="39" t="s">
        <v>4015</v>
      </c>
      <c r="H1641" s="12"/>
      <c r="L1641" s="12"/>
    </row>
    <row r="1642" spans="1:12" ht="15.75" customHeight="1" x14ac:dyDescent="0.3">
      <c r="A1642" s="29" t="s">
        <v>808</v>
      </c>
      <c r="B1642" s="50" t="str">
        <f>VLOOKUP(A1642,'Sales Order'!A$2:B$1029,1,0)</f>
        <v>SO0570</v>
      </c>
      <c r="C1642" s="29" t="s">
        <v>33</v>
      </c>
      <c r="D1642" s="50" t="str">
        <f>VLOOKUP(C1642,Product!A$2:B$21,1,0)</f>
        <v>PD0004</v>
      </c>
      <c r="E1642" s="36">
        <v>136</v>
      </c>
      <c r="F1642" s="38">
        <v>28124800</v>
      </c>
      <c r="G1642" s="39" t="s">
        <v>4016</v>
      </c>
      <c r="H1642" s="12"/>
      <c r="L1642" s="12"/>
    </row>
    <row r="1643" spans="1:12" ht="15.75" customHeight="1" x14ac:dyDescent="0.3">
      <c r="A1643" s="29" t="s">
        <v>808</v>
      </c>
      <c r="B1643" s="50" t="str">
        <f>VLOOKUP(A1643,'Sales Order'!A$2:B$1029,1,0)</f>
        <v>SO0570</v>
      </c>
      <c r="C1643" s="29" t="s">
        <v>58</v>
      </c>
      <c r="D1643" s="50" t="str">
        <f>VLOOKUP(C1643,Product!A$2:B$21,1,0)</f>
        <v>PD0012</v>
      </c>
      <c r="E1643" s="36">
        <v>139</v>
      </c>
      <c r="F1643" s="38">
        <v>603542170</v>
      </c>
      <c r="G1643" s="39" t="s">
        <v>4017</v>
      </c>
      <c r="H1643" s="12"/>
      <c r="L1643" s="12"/>
    </row>
    <row r="1644" spans="1:12" ht="15.75" customHeight="1" x14ac:dyDescent="0.3">
      <c r="A1644" s="17" t="s">
        <v>809</v>
      </c>
      <c r="B1644" s="50" t="str">
        <f>VLOOKUP(A1644,'Sales Order'!A$2:B$1029,1,0)</f>
        <v>SO0571</v>
      </c>
      <c r="C1644" s="29" t="s">
        <v>40</v>
      </c>
      <c r="D1644" s="50" t="str">
        <f>VLOOKUP(C1644,Product!A$2:B$21,1,0)</f>
        <v>PD0006</v>
      </c>
      <c r="E1644" s="36">
        <v>114</v>
      </c>
      <c r="F1644" s="38">
        <v>18107760</v>
      </c>
      <c r="G1644" s="39" t="s">
        <v>4018</v>
      </c>
      <c r="H1644" s="12"/>
      <c r="L1644" s="12"/>
    </row>
    <row r="1645" spans="1:12" ht="15.75" customHeight="1" x14ac:dyDescent="0.3">
      <c r="A1645" s="29" t="s">
        <v>809</v>
      </c>
      <c r="B1645" s="50" t="str">
        <f>VLOOKUP(A1645,'Sales Order'!A$2:B$1029,1,0)</f>
        <v>SO0571</v>
      </c>
      <c r="C1645" s="29" t="s">
        <v>52</v>
      </c>
      <c r="D1645" s="50" t="str">
        <f>VLOOKUP(C1645,Product!A$2:B$21,1,0)</f>
        <v>PD0010</v>
      </c>
      <c r="E1645" s="36">
        <v>36</v>
      </c>
      <c r="F1645" s="38">
        <v>9243000</v>
      </c>
      <c r="G1645" s="39" t="s">
        <v>4019</v>
      </c>
      <c r="H1645" s="12"/>
      <c r="L1645" s="12"/>
    </row>
    <row r="1646" spans="1:12" ht="15.75" customHeight="1" x14ac:dyDescent="0.3">
      <c r="A1646" s="29" t="s">
        <v>809</v>
      </c>
      <c r="B1646" s="50" t="str">
        <f>VLOOKUP(A1646,'Sales Order'!A$2:B$1029,1,0)</f>
        <v>SO0571</v>
      </c>
      <c r="C1646" s="29" t="s">
        <v>55</v>
      </c>
      <c r="D1646" s="50" t="str">
        <f>VLOOKUP(C1646,Product!A$2:B$21,1,0)</f>
        <v>PD0011</v>
      </c>
      <c r="E1646" s="36">
        <v>37</v>
      </c>
      <c r="F1646" s="38">
        <v>78554700</v>
      </c>
      <c r="G1646" s="39" t="s">
        <v>4020</v>
      </c>
      <c r="H1646" s="12"/>
      <c r="L1646" s="12"/>
    </row>
    <row r="1647" spans="1:12" ht="15.75" customHeight="1" x14ac:dyDescent="0.3">
      <c r="A1647" s="29" t="s">
        <v>809</v>
      </c>
      <c r="B1647" s="50" t="str">
        <f>VLOOKUP(A1647,'Sales Order'!A$2:B$1029,1,0)</f>
        <v>SO0571</v>
      </c>
      <c r="C1647" s="29" t="s">
        <v>28</v>
      </c>
      <c r="D1647" s="50" t="str">
        <f>VLOOKUP(C1647,Product!A$2:B$21,1,0)</f>
        <v>PD0003</v>
      </c>
      <c r="E1647" s="36">
        <v>61</v>
      </c>
      <c r="F1647" s="38">
        <v>49408170</v>
      </c>
      <c r="G1647" s="39" t="s">
        <v>4021</v>
      </c>
      <c r="H1647" s="12"/>
      <c r="L1647" s="12"/>
    </row>
    <row r="1648" spans="1:12" ht="15.75" customHeight="1" x14ac:dyDescent="0.3">
      <c r="A1648" s="17" t="s">
        <v>810</v>
      </c>
      <c r="B1648" s="50" t="str">
        <f>VLOOKUP(A1648,'Sales Order'!A$2:B$1029,1,0)</f>
        <v>SO0572</v>
      </c>
      <c r="C1648" s="29" t="s">
        <v>72</v>
      </c>
      <c r="D1648" s="50" t="str">
        <f>VLOOKUP(C1648,Product!A$2:B$21,1,0)</f>
        <v>PD0016</v>
      </c>
      <c r="E1648" s="36">
        <v>58</v>
      </c>
      <c r="F1648" s="38">
        <v>13317960</v>
      </c>
      <c r="G1648" s="39" t="s">
        <v>4022</v>
      </c>
      <c r="H1648" s="12"/>
      <c r="L1648" s="12"/>
    </row>
    <row r="1649" spans="1:12" ht="15.75" customHeight="1" x14ac:dyDescent="0.3">
      <c r="A1649" s="29" t="s">
        <v>810</v>
      </c>
      <c r="B1649" s="50" t="str">
        <f>VLOOKUP(A1649,'Sales Order'!A$2:B$1029,1,0)</f>
        <v>SO0572</v>
      </c>
      <c r="C1649" s="29" t="s">
        <v>65</v>
      </c>
      <c r="D1649" s="50" t="str">
        <f>VLOOKUP(C1649,Product!A$2:B$21,1,0)</f>
        <v>PD0014</v>
      </c>
      <c r="E1649" s="36">
        <v>61</v>
      </c>
      <c r="F1649" s="38">
        <v>15146909.999999998</v>
      </c>
      <c r="G1649" s="39" t="s">
        <v>4023</v>
      </c>
      <c r="H1649" s="12"/>
      <c r="L1649" s="12"/>
    </row>
    <row r="1650" spans="1:12" ht="15.75" customHeight="1" x14ac:dyDescent="0.3">
      <c r="A1650" s="17" t="s">
        <v>811</v>
      </c>
      <c r="B1650" s="50" t="str">
        <f>VLOOKUP(A1650,'Sales Order'!A$2:B$1029,1,0)</f>
        <v>SO0573</v>
      </c>
      <c r="C1650" s="29" t="s">
        <v>65</v>
      </c>
      <c r="D1650" s="50" t="str">
        <f>VLOOKUP(C1650,Product!A$2:B$21,1,0)</f>
        <v>PD0014</v>
      </c>
      <c r="E1650" s="36">
        <v>43</v>
      </c>
      <c r="F1650" s="38">
        <v>10332900</v>
      </c>
      <c r="G1650" s="39" t="s">
        <v>4024</v>
      </c>
      <c r="H1650" s="12"/>
      <c r="L1650" s="12"/>
    </row>
    <row r="1651" spans="1:12" ht="15.75" customHeight="1" x14ac:dyDescent="0.3">
      <c r="A1651" s="29" t="s">
        <v>811</v>
      </c>
      <c r="B1651" s="50" t="str">
        <f>VLOOKUP(A1651,'Sales Order'!A$2:B$1029,1,0)</f>
        <v>SO0573</v>
      </c>
      <c r="C1651" s="29" t="s">
        <v>58</v>
      </c>
      <c r="D1651" s="50" t="str">
        <f>VLOOKUP(C1651,Product!A$2:B$21,1,0)</f>
        <v>PD0012</v>
      </c>
      <c r="E1651" s="36">
        <v>115</v>
      </c>
      <c r="F1651" s="38">
        <v>499333450</v>
      </c>
      <c r="G1651" s="39" t="s">
        <v>4025</v>
      </c>
      <c r="H1651" s="12"/>
      <c r="L1651" s="12"/>
    </row>
    <row r="1652" spans="1:12" ht="15.75" customHeight="1" x14ac:dyDescent="0.3">
      <c r="A1652" s="29" t="s">
        <v>811</v>
      </c>
      <c r="B1652" s="50" t="str">
        <f>VLOOKUP(A1652,'Sales Order'!A$2:B$1029,1,0)</f>
        <v>SO0573</v>
      </c>
      <c r="C1652" s="29" t="s">
        <v>28</v>
      </c>
      <c r="D1652" s="50" t="str">
        <f>VLOOKUP(C1652,Product!A$2:B$21,1,0)</f>
        <v>PD0003</v>
      </c>
      <c r="E1652" s="36">
        <v>97</v>
      </c>
      <c r="F1652" s="38">
        <v>74954810</v>
      </c>
      <c r="G1652" s="39" t="s">
        <v>4026</v>
      </c>
      <c r="H1652" s="12"/>
      <c r="L1652" s="12"/>
    </row>
    <row r="1653" spans="1:12" ht="15.75" customHeight="1" x14ac:dyDescent="0.3">
      <c r="A1653" s="29" t="s">
        <v>812</v>
      </c>
      <c r="B1653" s="50" t="str">
        <f>VLOOKUP(A1653,'Sales Order'!A$2:B$1029,1,0)</f>
        <v>SO0574</v>
      </c>
      <c r="C1653" s="29" t="s">
        <v>69</v>
      </c>
      <c r="D1653" s="50" t="str">
        <f>VLOOKUP(C1653,Product!A$2:B$21,1,0)</f>
        <v>PD0015</v>
      </c>
      <c r="E1653" s="36">
        <v>63</v>
      </c>
      <c r="F1653" s="38">
        <v>6849360</v>
      </c>
      <c r="G1653" s="39" t="s">
        <v>4027</v>
      </c>
      <c r="H1653" s="12"/>
      <c r="L1653" s="12"/>
    </row>
    <row r="1654" spans="1:12" ht="15.75" customHeight="1" x14ac:dyDescent="0.3">
      <c r="A1654" s="29" t="s">
        <v>812</v>
      </c>
      <c r="B1654" s="50" t="str">
        <f>VLOOKUP(A1654,'Sales Order'!A$2:B$1029,1,0)</f>
        <v>SO0574</v>
      </c>
      <c r="C1654" s="29" t="s">
        <v>52</v>
      </c>
      <c r="D1654" s="50" t="str">
        <f>VLOOKUP(C1654,Product!A$2:B$21,1,0)</f>
        <v>PD0010</v>
      </c>
      <c r="E1654" s="36">
        <v>39</v>
      </c>
      <c r="F1654" s="38">
        <v>12041250</v>
      </c>
      <c r="G1654" s="39" t="s">
        <v>4028</v>
      </c>
      <c r="H1654" s="12"/>
      <c r="L1654" s="12"/>
    </row>
    <row r="1655" spans="1:12" ht="15.75" customHeight="1" x14ac:dyDescent="0.3">
      <c r="A1655" s="29" t="s">
        <v>812</v>
      </c>
      <c r="B1655" s="50" t="str">
        <f>VLOOKUP(A1655,'Sales Order'!A$2:B$1029,1,0)</f>
        <v>SO0574</v>
      </c>
      <c r="C1655" s="29" t="s">
        <v>83</v>
      </c>
      <c r="D1655" s="50" t="str">
        <f>VLOOKUP(C1655,Product!A$2:B$21,1,0)</f>
        <v>PD0020</v>
      </c>
      <c r="E1655" s="36">
        <v>104</v>
      </c>
      <c r="F1655" s="38">
        <v>25371840</v>
      </c>
      <c r="G1655" s="39" t="s">
        <v>4029</v>
      </c>
      <c r="H1655" s="12"/>
      <c r="L1655" s="12"/>
    </row>
    <row r="1656" spans="1:12" ht="15.75" customHeight="1" x14ac:dyDescent="0.3">
      <c r="A1656" s="29" t="s">
        <v>813</v>
      </c>
      <c r="B1656" s="50" t="str">
        <f>VLOOKUP(A1656,'Sales Order'!A$2:B$1029,1,0)</f>
        <v>SO0575</v>
      </c>
      <c r="C1656" s="29" t="s">
        <v>52</v>
      </c>
      <c r="D1656" s="50" t="str">
        <f>VLOOKUP(C1656,Product!A$2:B$21,1,0)</f>
        <v>PD0010</v>
      </c>
      <c r="E1656" s="36">
        <v>73</v>
      </c>
      <c r="F1656" s="38">
        <v>22064250</v>
      </c>
      <c r="G1656" s="39" t="s">
        <v>4030</v>
      </c>
      <c r="H1656" s="12"/>
      <c r="L1656" s="12"/>
    </row>
    <row r="1657" spans="1:12" ht="15.75" customHeight="1" x14ac:dyDescent="0.3">
      <c r="A1657" s="17" t="s">
        <v>814</v>
      </c>
      <c r="B1657" s="50" t="str">
        <f>VLOOKUP(A1657,'Sales Order'!A$2:B$1029,1,0)</f>
        <v>SO0576</v>
      </c>
      <c r="C1657" s="29" t="s">
        <v>81</v>
      </c>
      <c r="D1657" s="50" t="str">
        <f>VLOOKUP(C1657,Product!A$2:B$21,1,0)</f>
        <v>PD0019</v>
      </c>
      <c r="E1657" s="36">
        <v>27</v>
      </c>
      <c r="F1657" s="38">
        <v>65381850</v>
      </c>
      <c r="G1657" s="39" t="s">
        <v>4031</v>
      </c>
      <c r="H1657" s="12"/>
      <c r="L1657" s="12"/>
    </row>
    <row r="1658" spans="1:12" ht="15.75" customHeight="1" x14ac:dyDescent="0.3">
      <c r="A1658" s="29" t="s">
        <v>814</v>
      </c>
      <c r="B1658" s="50" t="str">
        <f>VLOOKUP(A1658,'Sales Order'!A$2:B$1029,1,0)</f>
        <v>SO0576</v>
      </c>
      <c r="C1658" s="29" t="s">
        <v>25</v>
      </c>
      <c r="D1658" s="50" t="str">
        <f>VLOOKUP(C1658,Product!A$2:B$21,1,0)</f>
        <v>PD0002</v>
      </c>
      <c r="E1658" s="36">
        <v>73</v>
      </c>
      <c r="F1658" s="38">
        <v>1255600</v>
      </c>
      <c r="G1658" s="39" t="s">
        <v>4032</v>
      </c>
      <c r="H1658" s="12"/>
      <c r="L1658" s="12"/>
    </row>
    <row r="1659" spans="1:12" ht="15.75" customHeight="1" x14ac:dyDescent="0.3">
      <c r="A1659" s="17" t="s">
        <v>815</v>
      </c>
      <c r="B1659" s="50" t="str">
        <f>VLOOKUP(A1659,'Sales Order'!A$2:B$1029,1,0)</f>
        <v>SO0577</v>
      </c>
      <c r="C1659" s="29" t="s">
        <v>43</v>
      </c>
      <c r="D1659" s="50" t="str">
        <f>VLOOKUP(C1659,Product!A$2:B$21,1,0)</f>
        <v>PD0007</v>
      </c>
      <c r="E1659" s="36">
        <v>136</v>
      </c>
      <c r="F1659" s="38">
        <v>413440000</v>
      </c>
      <c r="G1659" s="39" t="s">
        <v>4033</v>
      </c>
      <c r="H1659" s="12"/>
      <c r="L1659" s="12"/>
    </row>
    <row r="1660" spans="1:12" ht="15.75" customHeight="1" x14ac:dyDescent="0.3">
      <c r="A1660" s="29" t="s">
        <v>815</v>
      </c>
      <c r="B1660" s="50" t="str">
        <f>VLOOKUP(A1660,'Sales Order'!A$2:B$1029,1,0)</f>
        <v>SO0577</v>
      </c>
      <c r="C1660" s="29" t="s">
        <v>55</v>
      </c>
      <c r="D1660" s="50" t="str">
        <f>VLOOKUP(C1660,Product!A$2:B$21,1,0)</f>
        <v>PD0011</v>
      </c>
      <c r="E1660" s="36">
        <v>91</v>
      </c>
      <c r="F1660" s="38">
        <v>191055410</v>
      </c>
      <c r="G1660" s="39" t="s">
        <v>4034</v>
      </c>
      <c r="H1660" s="12"/>
      <c r="L1660" s="12"/>
    </row>
    <row r="1661" spans="1:12" ht="15.75" customHeight="1" x14ac:dyDescent="0.3">
      <c r="A1661" s="17" t="s">
        <v>816</v>
      </c>
      <c r="B1661" s="50" t="str">
        <f>VLOOKUP(A1661,'Sales Order'!A$2:B$1029,1,0)</f>
        <v>SO0578</v>
      </c>
      <c r="C1661" s="29" t="s">
        <v>75</v>
      </c>
      <c r="D1661" s="50" t="str">
        <f>VLOOKUP(C1661,Product!A$2:B$21,1,0)</f>
        <v>PD0017</v>
      </c>
      <c r="E1661" s="36">
        <v>144</v>
      </c>
      <c r="F1661" s="38">
        <v>343440000</v>
      </c>
      <c r="G1661" s="39" t="s">
        <v>4035</v>
      </c>
      <c r="H1661" s="12"/>
      <c r="L1661" s="12"/>
    </row>
    <row r="1662" spans="1:12" ht="15.75" customHeight="1" x14ac:dyDescent="0.3">
      <c r="A1662" s="29" t="s">
        <v>816</v>
      </c>
      <c r="B1662" s="50" t="str">
        <f>VLOOKUP(A1662,'Sales Order'!A$2:B$1029,1,0)</f>
        <v>SO0578</v>
      </c>
      <c r="C1662" s="29" t="s">
        <v>19</v>
      </c>
      <c r="D1662" s="50" t="str">
        <f>VLOOKUP(C1662,Product!A$2:B$21,1,0)</f>
        <v>PD0001</v>
      </c>
      <c r="E1662" s="36">
        <v>115</v>
      </c>
      <c r="F1662" s="38">
        <v>22621650</v>
      </c>
      <c r="G1662" s="39" t="s">
        <v>4036</v>
      </c>
      <c r="H1662" s="12"/>
      <c r="L1662" s="12"/>
    </row>
    <row r="1663" spans="1:12" ht="15.75" customHeight="1" x14ac:dyDescent="0.3">
      <c r="A1663" s="29" t="s">
        <v>816</v>
      </c>
      <c r="B1663" s="50" t="str">
        <f>VLOOKUP(A1663,'Sales Order'!A$2:B$1029,1,0)</f>
        <v>SO0578</v>
      </c>
      <c r="C1663" s="29" t="s">
        <v>69</v>
      </c>
      <c r="D1663" s="50" t="str">
        <f>VLOOKUP(C1663,Product!A$2:B$21,1,0)</f>
        <v>PD0015</v>
      </c>
      <c r="E1663" s="36">
        <v>122</v>
      </c>
      <c r="F1663" s="38">
        <v>15585012</v>
      </c>
      <c r="G1663" s="39" t="s">
        <v>4037</v>
      </c>
      <c r="H1663" s="12"/>
      <c r="L1663" s="12"/>
    </row>
    <row r="1664" spans="1:12" ht="15.75" customHeight="1" x14ac:dyDescent="0.3">
      <c r="A1664" s="17" t="s">
        <v>817</v>
      </c>
      <c r="B1664" s="50" t="str">
        <f>VLOOKUP(A1664,'Sales Order'!A$2:B$1029,1,0)</f>
        <v>SO0579</v>
      </c>
      <c r="C1664" s="29" t="s">
        <v>33</v>
      </c>
      <c r="D1664" s="50" t="str">
        <f>VLOOKUP(C1664,Product!A$2:B$21,1,0)</f>
        <v>PD0004</v>
      </c>
      <c r="E1664" s="36">
        <v>28</v>
      </c>
      <c r="F1664" s="38">
        <v>5544000</v>
      </c>
      <c r="G1664" s="39" t="s">
        <v>4038</v>
      </c>
      <c r="H1664" s="12"/>
      <c r="L1664" s="12"/>
    </row>
    <row r="1665" spans="1:12" ht="15.75" customHeight="1" x14ac:dyDescent="0.3">
      <c r="A1665" s="29" t="s">
        <v>817</v>
      </c>
      <c r="B1665" s="50" t="str">
        <f>VLOOKUP(A1665,'Sales Order'!A$2:B$1029,1,0)</f>
        <v>SO0579</v>
      </c>
      <c r="C1665" s="29" t="s">
        <v>78</v>
      </c>
      <c r="D1665" s="50" t="str">
        <f>VLOOKUP(C1665,Product!A$2:B$21,1,0)</f>
        <v>PD0018</v>
      </c>
      <c r="E1665" s="36">
        <v>47</v>
      </c>
      <c r="F1665" s="38">
        <v>23253720</v>
      </c>
      <c r="G1665" s="39" t="s">
        <v>4039</v>
      </c>
      <c r="H1665" s="12"/>
      <c r="L1665" s="12"/>
    </row>
    <row r="1666" spans="1:12" ht="15.75" customHeight="1" x14ac:dyDescent="0.3">
      <c r="A1666" s="29" t="s">
        <v>817</v>
      </c>
      <c r="B1666" s="50" t="str">
        <f>VLOOKUP(A1666,'Sales Order'!A$2:B$1029,1,0)</f>
        <v>SO0579</v>
      </c>
      <c r="C1666" s="29" t="s">
        <v>72</v>
      </c>
      <c r="D1666" s="50" t="str">
        <f>VLOOKUP(C1666,Product!A$2:B$21,1,0)</f>
        <v>PD0016</v>
      </c>
      <c r="E1666" s="36">
        <v>149</v>
      </c>
      <c r="F1666" s="38">
        <v>34611210</v>
      </c>
      <c r="G1666" s="39" t="s">
        <v>4040</v>
      </c>
      <c r="H1666" s="12"/>
      <c r="L1666" s="12"/>
    </row>
    <row r="1667" spans="1:12" ht="15.75" customHeight="1" x14ac:dyDescent="0.3">
      <c r="A1667" s="29" t="s">
        <v>817</v>
      </c>
      <c r="B1667" s="50" t="str">
        <f>VLOOKUP(A1667,'Sales Order'!A$2:B$1029,1,0)</f>
        <v>SO0579</v>
      </c>
      <c r="C1667" s="29" t="s">
        <v>28</v>
      </c>
      <c r="D1667" s="50" t="str">
        <f>VLOOKUP(C1667,Product!A$2:B$21,1,0)</f>
        <v>PD0003</v>
      </c>
      <c r="E1667" s="36">
        <v>32</v>
      </c>
      <c r="F1667" s="38">
        <v>22344000</v>
      </c>
      <c r="G1667" s="39" t="s">
        <v>4041</v>
      </c>
      <c r="H1667" s="12"/>
      <c r="L1667" s="12"/>
    </row>
    <row r="1668" spans="1:12" ht="15.75" customHeight="1" x14ac:dyDescent="0.3">
      <c r="A1668" s="29" t="s">
        <v>817</v>
      </c>
      <c r="B1668" s="50" t="str">
        <f>VLOOKUP(A1668,'Sales Order'!A$2:B$1029,1,0)</f>
        <v>SO0579</v>
      </c>
      <c r="C1668" s="29" t="s">
        <v>83</v>
      </c>
      <c r="D1668" s="50" t="str">
        <f>VLOOKUP(C1668,Product!A$2:B$21,1,0)</f>
        <v>PD0020</v>
      </c>
      <c r="E1668" s="36">
        <v>37</v>
      </c>
      <c r="F1668" s="38">
        <v>9145290</v>
      </c>
      <c r="G1668" s="39" t="s">
        <v>4042</v>
      </c>
      <c r="H1668" s="12"/>
      <c r="L1668" s="12"/>
    </row>
    <row r="1669" spans="1:12" ht="15.75" customHeight="1" x14ac:dyDescent="0.3">
      <c r="A1669" s="29" t="s">
        <v>817</v>
      </c>
      <c r="B1669" s="50" t="str">
        <f>VLOOKUP(A1669,'Sales Order'!A$2:B$1029,1,0)</f>
        <v>SO0579</v>
      </c>
      <c r="C1669" s="29" t="s">
        <v>45</v>
      </c>
      <c r="D1669" s="50" t="str">
        <f>VLOOKUP(C1669,Product!A$2:B$21,1,0)</f>
        <v>PD0008</v>
      </c>
      <c r="E1669" s="36">
        <v>73</v>
      </c>
      <c r="F1669" s="38">
        <v>8592830</v>
      </c>
      <c r="G1669" s="39" t="s">
        <v>4043</v>
      </c>
      <c r="H1669" s="12"/>
      <c r="L1669" s="12"/>
    </row>
    <row r="1670" spans="1:12" ht="15.75" customHeight="1" x14ac:dyDescent="0.3">
      <c r="A1670" s="29" t="s">
        <v>817</v>
      </c>
      <c r="B1670" s="50" t="str">
        <f>VLOOKUP(A1670,'Sales Order'!A$2:B$1029,1,0)</f>
        <v>SO0579</v>
      </c>
      <c r="C1670" s="29" t="s">
        <v>58</v>
      </c>
      <c r="D1670" s="50" t="str">
        <f>VLOOKUP(C1670,Product!A$2:B$21,1,0)</f>
        <v>PD0012</v>
      </c>
      <c r="E1670" s="36">
        <v>72</v>
      </c>
      <c r="F1670" s="38">
        <v>332926560</v>
      </c>
      <c r="G1670" s="39" t="s">
        <v>4044</v>
      </c>
      <c r="H1670" s="12"/>
      <c r="L1670" s="12"/>
    </row>
    <row r="1671" spans="1:12" ht="15.75" customHeight="1" x14ac:dyDescent="0.3">
      <c r="A1671" s="17" t="s">
        <v>818</v>
      </c>
      <c r="B1671" s="50" t="str">
        <f>VLOOKUP(A1671,'Sales Order'!A$2:B$1029,1,0)</f>
        <v>SO0580</v>
      </c>
      <c r="C1671" s="29" t="s">
        <v>48</v>
      </c>
      <c r="D1671" s="50" t="str">
        <f>VLOOKUP(C1671,Product!A$2:B$21,1,0)</f>
        <v>PD0009</v>
      </c>
      <c r="E1671" s="36">
        <v>102</v>
      </c>
      <c r="F1671" s="38">
        <v>12236940</v>
      </c>
      <c r="G1671" s="39" t="s">
        <v>4045</v>
      </c>
      <c r="H1671" s="12"/>
      <c r="L1671" s="12"/>
    </row>
    <row r="1672" spans="1:12" ht="15.75" customHeight="1" x14ac:dyDescent="0.3">
      <c r="A1672" s="17" t="s">
        <v>819</v>
      </c>
      <c r="B1672" s="50" t="str">
        <f>VLOOKUP(A1672,'Sales Order'!A$2:B$1029,1,0)</f>
        <v>SO0581</v>
      </c>
      <c r="C1672" s="29" t="s">
        <v>69</v>
      </c>
      <c r="D1672" s="50" t="str">
        <f>VLOOKUP(C1672,Product!A$2:B$21,1,0)</f>
        <v>PD0015</v>
      </c>
      <c r="E1672" s="36">
        <v>129</v>
      </c>
      <c r="F1672" s="38">
        <v>16303922.999999998</v>
      </c>
      <c r="G1672" s="39" t="s">
        <v>4046</v>
      </c>
      <c r="H1672" s="12"/>
      <c r="L1672" s="12"/>
    </row>
    <row r="1673" spans="1:12" ht="15.75" customHeight="1" x14ac:dyDescent="0.3">
      <c r="A1673" s="29" t="s">
        <v>819</v>
      </c>
      <c r="B1673" s="50" t="str">
        <f>VLOOKUP(A1673,'Sales Order'!A$2:B$1029,1,0)</f>
        <v>SO0581</v>
      </c>
      <c r="C1673" s="29" t="s">
        <v>83</v>
      </c>
      <c r="D1673" s="50" t="str">
        <f>VLOOKUP(C1673,Product!A$2:B$21,1,0)</f>
        <v>PD0020</v>
      </c>
      <c r="E1673" s="36">
        <v>61</v>
      </c>
      <c r="F1673" s="38">
        <v>16252230</v>
      </c>
      <c r="G1673" s="39" t="s">
        <v>4047</v>
      </c>
      <c r="H1673" s="12"/>
      <c r="L1673" s="12"/>
    </row>
    <row r="1674" spans="1:12" ht="15.75" customHeight="1" x14ac:dyDescent="0.3">
      <c r="A1674" s="17" t="s">
        <v>820</v>
      </c>
      <c r="B1674" s="50" t="str">
        <f>VLOOKUP(A1674,'Sales Order'!A$2:B$1029,1,0)</f>
        <v>SO0582</v>
      </c>
      <c r="C1674" s="29" t="s">
        <v>40</v>
      </c>
      <c r="D1674" s="50" t="str">
        <f>VLOOKUP(C1674,Product!A$2:B$21,1,0)</f>
        <v>PD0006</v>
      </c>
      <c r="E1674" s="36">
        <v>106</v>
      </c>
      <c r="F1674" s="38">
        <v>17501660</v>
      </c>
      <c r="G1674" s="39" t="s">
        <v>4048</v>
      </c>
      <c r="H1674" s="12"/>
      <c r="L1674" s="12"/>
    </row>
    <row r="1675" spans="1:12" ht="15.75" customHeight="1" x14ac:dyDescent="0.3">
      <c r="A1675" s="29" t="s">
        <v>820</v>
      </c>
      <c r="B1675" s="50" t="str">
        <f>VLOOKUP(A1675,'Sales Order'!A$2:B$1029,1,0)</f>
        <v>SO0582</v>
      </c>
      <c r="C1675" s="29" t="s">
        <v>35</v>
      </c>
      <c r="D1675" s="50" t="str">
        <f>VLOOKUP(C1675,Product!A$2:B$21,1,0)</f>
        <v>PD0005</v>
      </c>
      <c r="E1675" s="36">
        <v>103</v>
      </c>
      <c r="F1675" s="38">
        <v>205737350</v>
      </c>
      <c r="G1675" s="39" t="s">
        <v>4049</v>
      </c>
      <c r="H1675" s="12"/>
      <c r="L1675" s="12"/>
    </row>
    <row r="1676" spans="1:12" ht="15.75" customHeight="1" x14ac:dyDescent="0.3">
      <c r="A1676" s="17" t="s">
        <v>821</v>
      </c>
      <c r="B1676" s="50" t="str">
        <f>VLOOKUP(A1676,'Sales Order'!A$2:B$1029,1,0)</f>
        <v>SO0583</v>
      </c>
      <c r="C1676" s="29" t="s">
        <v>78</v>
      </c>
      <c r="D1676" s="50" t="str">
        <f>VLOOKUP(C1676,Product!A$2:B$21,1,0)</f>
        <v>PD0018</v>
      </c>
      <c r="E1676" s="36">
        <v>74</v>
      </c>
      <c r="F1676" s="38">
        <v>31888080.000000004</v>
      </c>
      <c r="G1676" s="39" t="s">
        <v>4050</v>
      </c>
      <c r="H1676" s="12"/>
      <c r="L1676" s="12"/>
    </row>
    <row r="1677" spans="1:12" ht="15.75" customHeight="1" x14ac:dyDescent="0.3">
      <c r="A1677" s="17" t="s">
        <v>822</v>
      </c>
      <c r="B1677" s="50" t="str">
        <f>VLOOKUP(A1677,'Sales Order'!A$2:B$1029,1,0)</f>
        <v>SO0584</v>
      </c>
      <c r="C1677" s="29" t="s">
        <v>19</v>
      </c>
      <c r="D1677" s="50" t="str">
        <f>VLOOKUP(C1677,Product!A$2:B$21,1,0)</f>
        <v>PD0001</v>
      </c>
      <c r="E1677" s="36">
        <v>65</v>
      </c>
      <c r="F1677" s="38">
        <v>12786150</v>
      </c>
      <c r="G1677" s="39" t="s">
        <v>4051</v>
      </c>
      <c r="H1677" s="12"/>
      <c r="L1677" s="12"/>
    </row>
    <row r="1678" spans="1:12" ht="15.75" customHeight="1" x14ac:dyDescent="0.3">
      <c r="A1678" s="17" t="s">
        <v>823</v>
      </c>
      <c r="B1678" s="50" t="str">
        <f>VLOOKUP(A1678,'Sales Order'!A$2:B$1029,1,0)</f>
        <v>SO0585</v>
      </c>
      <c r="C1678" s="29" t="s">
        <v>55</v>
      </c>
      <c r="D1678" s="50" t="str">
        <f>VLOOKUP(C1678,Product!A$2:B$21,1,0)</f>
        <v>PD0011</v>
      </c>
      <c r="E1678" s="36">
        <v>28</v>
      </c>
      <c r="F1678" s="38">
        <v>52841600</v>
      </c>
      <c r="G1678" s="39" t="s">
        <v>4052</v>
      </c>
      <c r="H1678" s="12"/>
      <c r="L1678" s="12"/>
    </row>
    <row r="1679" spans="1:12" ht="15.75" customHeight="1" x14ac:dyDescent="0.3">
      <c r="A1679" s="29" t="s">
        <v>823</v>
      </c>
      <c r="B1679" s="50" t="str">
        <f>VLOOKUP(A1679,'Sales Order'!A$2:B$1029,1,0)</f>
        <v>SO0585</v>
      </c>
      <c r="C1679" s="29" t="s">
        <v>78</v>
      </c>
      <c r="D1679" s="50" t="str">
        <f>VLOOKUP(C1679,Product!A$2:B$21,1,0)</f>
        <v>PD0018</v>
      </c>
      <c r="E1679" s="36">
        <v>135</v>
      </c>
      <c r="F1679" s="38">
        <v>64638000</v>
      </c>
      <c r="G1679" s="39" t="s">
        <v>4053</v>
      </c>
      <c r="H1679" s="12"/>
      <c r="L1679" s="12"/>
    </row>
    <row r="1680" spans="1:12" ht="15.75" customHeight="1" x14ac:dyDescent="0.3">
      <c r="A1680" s="29" t="s">
        <v>823</v>
      </c>
      <c r="B1680" s="50" t="str">
        <f>VLOOKUP(A1680,'Sales Order'!A$2:B$1029,1,0)</f>
        <v>SO0585</v>
      </c>
      <c r="C1680" s="29" t="s">
        <v>25</v>
      </c>
      <c r="D1680" s="50" t="str">
        <f>VLOOKUP(C1680,Product!A$2:B$21,1,0)</f>
        <v>PD0002</v>
      </c>
      <c r="E1680" s="36">
        <v>142</v>
      </c>
      <c r="F1680" s="38">
        <v>2215200</v>
      </c>
      <c r="G1680" s="39" t="s">
        <v>4054</v>
      </c>
      <c r="H1680" s="12"/>
      <c r="L1680" s="12"/>
    </row>
    <row r="1681" spans="1:12" ht="15.75" customHeight="1" x14ac:dyDescent="0.3">
      <c r="A1681" s="17" t="s">
        <v>824</v>
      </c>
      <c r="B1681" s="50" t="str">
        <f>VLOOKUP(A1681,'Sales Order'!A$2:B$1029,1,0)</f>
        <v>SO0586</v>
      </c>
      <c r="C1681" s="29" t="s">
        <v>83</v>
      </c>
      <c r="D1681" s="50" t="str">
        <f>VLOOKUP(C1681,Product!A$2:B$21,1,0)</f>
        <v>PD0020</v>
      </c>
      <c r="E1681" s="36">
        <v>56</v>
      </c>
      <c r="F1681" s="38">
        <v>16897440</v>
      </c>
      <c r="G1681" s="39" t="s">
        <v>4055</v>
      </c>
      <c r="H1681" s="12"/>
      <c r="L1681" s="12"/>
    </row>
    <row r="1682" spans="1:12" ht="15.75" customHeight="1" x14ac:dyDescent="0.3">
      <c r="A1682" s="17" t="s">
        <v>825</v>
      </c>
      <c r="B1682" s="50" t="str">
        <f>VLOOKUP(A1682,'Sales Order'!A$2:B$1029,1,0)</f>
        <v>SO0587</v>
      </c>
      <c r="C1682" s="29" t="s">
        <v>43</v>
      </c>
      <c r="D1682" s="50" t="str">
        <f>VLOOKUP(C1682,Product!A$2:B$21,1,0)</f>
        <v>PD0007</v>
      </c>
      <c r="E1682" s="36">
        <v>78</v>
      </c>
      <c r="F1682" s="38">
        <v>237120000</v>
      </c>
      <c r="G1682" s="39" t="s">
        <v>4056</v>
      </c>
      <c r="H1682" s="12"/>
      <c r="L1682" s="12"/>
    </row>
    <row r="1683" spans="1:12" ht="15.75" customHeight="1" x14ac:dyDescent="0.3">
      <c r="A1683" s="29" t="s">
        <v>825</v>
      </c>
      <c r="B1683" s="50" t="str">
        <f>VLOOKUP(A1683,'Sales Order'!A$2:B$1029,1,0)</f>
        <v>SO0587</v>
      </c>
      <c r="C1683" s="29" t="s">
        <v>83</v>
      </c>
      <c r="D1683" s="50" t="str">
        <f>VLOOKUP(C1683,Product!A$2:B$21,1,0)</f>
        <v>PD0020</v>
      </c>
      <c r="E1683" s="36">
        <v>104</v>
      </c>
      <c r="F1683" s="38">
        <v>26373360</v>
      </c>
      <c r="G1683" s="39" t="s">
        <v>4057</v>
      </c>
      <c r="H1683" s="12"/>
      <c r="L1683" s="12"/>
    </row>
    <row r="1684" spans="1:12" ht="15.75" customHeight="1" x14ac:dyDescent="0.3">
      <c r="A1684" s="17" t="s">
        <v>826</v>
      </c>
      <c r="B1684" s="50" t="str">
        <f>VLOOKUP(A1684,'Sales Order'!A$2:B$1029,1,0)</f>
        <v>SO0588</v>
      </c>
      <c r="C1684" s="29" t="s">
        <v>40</v>
      </c>
      <c r="D1684" s="50" t="str">
        <f>VLOOKUP(C1684,Product!A$2:B$21,1,0)</f>
        <v>PD0006</v>
      </c>
      <c r="E1684" s="36">
        <v>117</v>
      </c>
      <c r="F1684" s="38">
        <v>20295990</v>
      </c>
      <c r="G1684" s="39" t="s">
        <v>4058</v>
      </c>
      <c r="H1684" s="12"/>
      <c r="L1684" s="12"/>
    </row>
    <row r="1685" spans="1:12" ht="15.75" customHeight="1" x14ac:dyDescent="0.3">
      <c r="A1685" s="29" t="s">
        <v>826</v>
      </c>
      <c r="B1685" s="50" t="str">
        <f>VLOOKUP(A1685,'Sales Order'!A$2:B$1029,1,0)</f>
        <v>SO0588</v>
      </c>
      <c r="C1685" s="29" t="s">
        <v>55</v>
      </c>
      <c r="D1685" s="50" t="str">
        <f>VLOOKUP(C1685,Product!A$2:B$21,1,0)</f>
        <v>PD0011</v>
      </c>
      <c r="E1685" s="36">
        <v>46</v>
      </c>
      <c r="F1685" s="38">
        <v>94407180</v>
      </c>
      <c r="G1685" s="39" t="s">
        <v>4059</v>
      </c>
      <c r="H1685" s="12"/>
      <c r="L1685" s="12"/>
    </row>
    <row r="1686" spans="1:12" ht="15.75" customHeight="1" x14ac:dyDescent="0.3">
      <c r="A1686" s="29" t="s">
        <v>826</v>
      </c>
      <c r="B1686" s="50" t="str">
        <f>VLOOKUP(A1686,'Sales Order'!A$2:B$1029,1,0)</f>
        <v>SO0588</v>
      </c>
      <c r="C1686" s="29" t="s">
        <v>61</v>
      </c>
      <c r="D1686" s="50" t="str">
        <f>VLOOKUP(C1686,Product!A$2:B$21,1,0)</f>
        <v>PD0013</v>
      </c>
      <c r="E1686" s="36">
        <v>65</v>
      </c>
      <c r="F1686" s="38">
        <v>27087450</v>
      </c>
      <c r="G1686" s="39" t="s">
        <v>4060</v>
      </c>
      <c r="H1686" s="12"/>
      <c r="L1686" s="12"/>
    </row>
    <row r="1687" spans="1:12" ht="15.75" customHeight="1" x14ac:dyDescent="0.3">
      <c r="A1687" s="17" t="s">
        <v>827</v>
      </c>
      <c r="B1687" s="50" t="str">
        <f>VLOOKUP(A1687,'Sales Order'!A$2:B$1029,1,0)</f>
        <v>SO0589</v>
      </c>
      <c r="C1687" s="29" t="s">
        <v>65</v>
      </c>
      <c r="D1687" s="50" t="str">
        <f>VLOOKUP(C1687,Product!A$2:B$21,1,0)</f>
        <v>PD0014</v>
      </c>
      <c r="E1687" s="36">
        <v>143</v>
      </c>
      <c r="F1687" s="38">
        <v>35126520</v>
      </c>
      <c r="G1687" s="39" t="s">
        <v>4061</v>
      </c>
      <c r="H1687" s="12"/>
      <c r="L1687" s="12"/>
    </row>
    <row r="1688" spans="1:12" ht="15.75" customHeight="1" x14ac:dyDescent="0.3">
      <c r="A1688" s="29" t="s">
        <v>827</v>
      </c>
      <c r="B1688" s="50" t="str">
        <f>VLOOKUP(A1688,'Sales Order'!A$2:B$1029,1,0)</f>
        <v>SO0589</v>
      </c>
      <c r="C1688" s="29" t="s">
        <v>72</v>
      </c>
      <c r="D1688" s="50" t="str">
        <f>VLOOKUP(C1688,Product!A$2:B$21,1,0)</f>
        <v>PD0016</v>
      </c>
      <c r="E1688" s="36">
        <v>139</v>
      </c>
      <c r="F1688" s="38">
        <v>34143960</v>
      </c>
      <c r="G1688" s="39" t="s">
        <v>4062</v>
      </c>
      <c r="H1688" s="12"/>
      <c r="L1688" s="12"/>
    </row>
    <row r="1689" spans="1:12" ht="15.75" customHeight="1" x14ac:dyDescent="0.3">
      <c r="A1689" s="29" t="s">
        <v>827</v>
      </c>
      <c r="B1689" s="50" t="str">
        <f>VLOOKUP(A1689,'Sales Order'!A$2:B$1029,1,0)</f>
        <v>SO0589</v>
      </c>
      <c r="C1689" s="29" t="s">
        <v>40</v>
      </c>
      <c r="D1689" s="50" t="str">
        <f>VLOOKUP(C1689,Product!A$2:B$21,1,0)</f>
        <v>PD0006</v>
      </c>
      <c r="E1689" s="36">
        <v>26</v>
      </c>
      <c r="F1689" s="38">
        <v>4618900</v>
      </c>
      <c r="G1689" s="39" t="s">
        <v>4063</v>
      </c>
      <c r="H1689" s="12"/>
      <c r="L1689" s="12"/>
    </row>
    <row r="1690" spans="1:12" ht="15.75" customHeight="1" x14ac:dyDescent="0.3">
      <c r="A1690" s="17" t="s">
        <v>828</v>
      </c>
      <c r="B1690" s="50" t="str">
        <f>VLOOKUP(A1690,'Sales Order'!A$2:B$1029,1,0)</f>
        <v>SO0590</v>
      </c>
      <c r="C1690" s="29" t="s">
        <v>69</v>
      </c>
      <c r="D1690" s="50" t="str">
        <f>VLOOKUP(C1690,Product!A$2:B$21,1,0)</f>
        <v>PD0015</v>
      </c>
      <c r="E1690" s="36">
        <v>48</v>
      </c>
      <c r="F1690" s="38">
        <v>5414256</v>
      </c>
      <c r="G1690" s="39" t="s">
        <v>4064</v>
      </c>
      <c r="H1690" s="12"/>
      <c r="L1690" s="12"/>
    </row>
    <row r="1691" spans="1:12" ht="15.75" customHeight="1" x14ac:dyDescent="0.3">
      <c r="A1691" s="29" t="s">
        <v>828</v>
      </c>
      <c r="B1691" s="50" t="str">
        <f>VLOOKUP(A1691,'Sales Order'!A$2:B$1029,1,0)</f>
        <v>SO0590</v>
      </c>
      <c r="C1691" s="29" t="s">
        <v>28</v>
      </c>
      <c r="D1691" s="50" t="str">
        <f>VLOOKUP(C1691,Product!A$2:B$21,1,0)</f>
        <v>PD0003</v>
      </c>
      <c r="E1691" s="36">
        <v>124</v>
      </c>
      <c r="F1691" s="38">
        <v>91200760</v>
      </c>
      <c r="G1691" s="39" t="s">
        <v>4065</v>
      </c>
      <c r="H1691" s="12"/>
      <c r="L1691" s="12"/>
    </row>
    <row r="1692" spans="1:12" ht="15.75" customHeight="1" x14ac:dyDescent="0.3">
      <c r="A1692" s="17" t="s">
        <v>829</v>
      </c>
      <c r="B1692" s="50" t="str">
        <f>VLOOKUP(A1692,'Sales Order'!A$2:B$1029,1,0)</f>
        <v>SO0591</v>
      </c>
      <c r="C1692" s="29" t="s">
        <v>33</v>
      </c>
      <c r="D1692" s="50" t="str">
        <f>VLOOKUP(C1692,Product!A$2:B$21,1,0)</f>
        <v>PD0004</v>
      </c>
      <c r="E1692" s="36">
        <v>83</v>
      </c>
      <c r="F1692" s="38">
        <v>17347000</v>
      </c>
      <c r="G1692" s="39" t="s">
        <v>4066</v>
      </c>
      <c r="H1692" s="12"/>
      <c r="L1692" s="12"/>
    </row>
    <row r="1693" spans="1:12" ht="15.75" customHeight="1" x14ac:dyDescent="0.3">
      <c r="A1693" s="17" t="s">
        <v>830</v>
      </c>
      <c r="B1693" s="50" t="str">
        <f>VLOOKUP(A1693,'Sales Order'!A$2:B$1029,1,0)</f>
        <v>SO0592</v>
      </c>
      <c r="C1693" s="29" t="s">
        <v>19</v>
      </c>
      <c r="D1693" s="50" t="str">
        <f>VLOOKUP(C1693,Product!A$2:B$21,1,0)</f>
        <v>PD0001</v>
      </c>
      <c r="E1693" s="36">
        <v>148</v>
      </c>
      <c r="F1693" s="38">
        <v>30218640.000000004</v>
      </c>
      <c r="G1693" s="39" t="s">
        <v>4067</v>
      </c>
      <c r="H1693" s="12"/>
      <c r="L1693" s="12"/>
    </row>
    <row r="1694" spans="1:12" ht="15.75" customHeight="1" x14ac:dyDescent="0.3">
      <c r="A1694" s="29" t="s">
        <v>830</v>
      </c>
      <c r="B1694" s="50" t="str">
        <f>VLOOKUP(A1694,'Sales Order'!A$2:B$1029,1,0)</f>
        <v>SO0592</v>
      </c>
      <c r="C1694" s="29" t="s">
        <v>35</v>
      </c>
      <c r="D1694" s="50" t="str">
        <f>VLOOKUP(C1694,Product!A$2:B$21,1,0)</f>
        <v>PD0005</v>
      </c>
      <c r="E1694" s="36">
        <v>125</v>
      </c>
      <c r="F1694" s="38">
        <v>238706250</v>
      </c>
      <c r="G1694" s="39" t="s">
        <v>4068</v>
      </c>
      <c r="H1694" s="12"/>
      <c r="L1694" s="12"/>
    </row>
    <row r="1695" spans="1:12" ht="15.75" customHeight="1" x14ac:dyDescent="0.3">
      <c r="A1695" s="17" t="s">
        <v>831</v>
      </c>
      <c r="B1695" s="50" t="str">
        <f>VLOOKUP(A1695,'Sales Order'!A$2:B$1029,1,0)</f>
        <v>SO0593</v>
      </c>
      <c r="C1695" s="29" t="s">
        <v>45</v>
      </c>
      <c r="D1695" s="50" t="str">
        <f>VLOOKUP(C1695,Product!A$2:B$21,1,0)</f>
        <v>PD0008</v>
      </c>
      <c r="E1695" s="36">
        <v>117</v>
      </c>
      <c r="F1695" s="38">
        <v>13074750</v>
      </c>
      <c r="G1695" s="39" t="s">
        <v>4069</v>
      </c>
      <c r="H1695" s="12"/>
      <c r="L1695" s="12"/>
    </row>
    <row r="1696" spans="1:12" ht="15.75" customHeight="1" x14ac:dyDescent="0.3">
      <c r="A1696" s="29" t="s">
        <v>831</v>
      </c>
      <c r="B1696" s="50" t="str">
        <f>VLOOKUP(A1696,'Sales Order'!A$2:B$1029,1,0)</f>
        <v>SO0593</v>
      </c>
      <c r="C1696" s="29" t="s">
        <v>61</v>
      </c>
      <c r="D1696" s="50" t="str">
        <f>VLOOKUP(C1696,Product!A$2:B$21,1,0)</f>
        <v>PD0013</v>
      </c>
      <c r="E1696" s="36">
        <v>128</v>
      </c>
      <c r="F1696" s="38">
        <v>52115200</v>
      </c>
      <c r="G1696" s="39" t="s">
        <v>4070</v>
      </c>
      <c r="H1696" s="12"/>
      <c r="L1696" s="12"/>
    </row>
    <row r="1697" spans="1:12" ht="15.75" customHeight="1" x14ac:dyDescent="0.3">
      <c r="A1697" s="17" t="s">
        <v>832</v>
      </c>
      <c r="B1697" s="50" t="str">
        <f>VLOOKUP(A1697,'Sales Order'!A$2:B$1029,1,0)</f>
        <v>SO0594</v>
      </c>
      <c r="C1697" s="29" t="s">
        <v>65</v>
      </c>
      <c r="D1697" s="50" t="str">
        <f>VLOOKUP(C1697,Product!A$2:B$21,1,0)</f>
        <v>PD0014</v>
      </c>
      <c r="E1697" s="36">
        <v>133</v>
      </c>
      <c r="F1697" s="38">
        <v>28053690</v>
      </c>
      <c r="G1697" s="39" t="s">
        <v>4071</v>
      </c>
      <c r="H1697" s="12"/>
      <c r="L1697" s="12"/>
    </row>
    <row r="1698" spans="1:12" ht="15.75" customHeight="1" x14ac:dyDescent="0.3">
      <c r="A1698" s="17" t="s">
        <v>833</v>
      </c>
      <c r="B1698" s="50" t="str">
        <f>VLOOKUP(A1698,'Sales Order'!A$2:B$1029,1,0)</f>
        <v>SO0595</v>
      </c>
      <c r="C1698" s="29" t="s">
        <v>55</v>
      </c>
      <c r="D1698" s="50" t="str">
        <f>VLOOKUP(C1698,Product!A$2:B$21,1,0)</f>
        <v>PD0011</v>
      </c>
      <c r="E1698" s="36">
        <v>43</v>
      </c>
      <c r="F1698" s="38">
        <v>96365150</v>
      </c>
      <c r="G1698" s="39" t="s">
        <v>4072</v>
      </c>
      <c r="H1698" s="12"/>
      <c r="L1698" s="12"/>
    </row>
    <row r="1699" spans="1:12" ht="15.75" customHeight="1" x14ac:dyDescent="0.3">
      <c r="A1699" s="29" t="s">
        <v>833</v>
      </c>
      <c r="B1699" s="50" t="str">
        <f>VLOOKUP(A1699,'Sales Order'!A$2:B$1029,1,0)</f>
        <v>SO0595</v>
      </c>
      <c r="C1699" s="29" t="s">
        <v>48</v>
      </c>
      <c r="D1699" s="50" t="str">
        <f>VLOOKUP(C1699,Product!A$2:B$21,1,0)</f>
        <v>PD0009</v>
      </c>
      <c r="E1699" s="36">
        <v>31</v>
      </c>
      <c r="F1699" s="38">
        <v>3479130</v>
      </c>
      <c r="G1699" s="39" t="s">
        <v>4073</v>
      </c>
      <c r="H1699" s="12"/>
      <c r="L1699" s="12"/>
    </row>
    <row r="1700" spans="1:12" ht="15.75" customHeight="1" x14ac:dyDescent="0.3">
      <c r="A1700" s="29" t="s">
        <v>833</v>
      </c>
      <c r="B1700" s="50" t="str">
        <f>VLOOKUP(A1700,'Sales Order'!A$2:B$1029,1,0)</f>
        <v>SO0595</v>
      </c>
      <c r="C1700" s="29" t="s">
        <v>78</v>
      </c>
      <c r="D1700" s="50" t="str">
        <f>VLOOKUP(C1700,Product!A$2:B$21,1,0)</f>
        <v>PD0018</v>
      </c>
      <c r="E1700" s="36">
        <v>106</v>
      </c>
      <c r="F1700" s="38">
        <v>52444560</v>
      </c>
      <c r="G1700" s="39" t="s">
        <v>4074</v>
      </c>
      <c r="H1700" s="12"/>
      <c r="L1700" s="12"/>
    </row>
    <row r="1701" spans="1:12" ht="15.75" customHeight="1" x14ac:dyDescent="0.3">
      <c r="A1701" s="17" t="s">
        <v>834</v>
      </c>
      <c r="B1701" s="50" t="str">
        <f>VLOOKUP(A1701,'Sales Order'!A$2:B$1029,1,0)</f>
        <v>SO0596</v>
      </c>
      <c r="C1701" s="29" t="s">
        <v>75</v>
      </c>
      <c r="D1701" s="50" t="str">
        <f>VLOOKUP(C1701,Product!A$2:B$21,1,0)</f>
        <v>PD0017</v>
      </c>
      <c r="E1701" s="36">
        <v>105</v>
      </c>
      <c r="F1701" s="38">
        <v>255990000</v>
      </c>
      <c r="G1701" s="39" t="s">
        <v>4075</v>
      </c>
      <c r="H1701" s="12"/>
      <c r="L1701" s="12"/>
    </row>
    <row r="1702" spans="1:12" ht="15.75" customHeight="1" x14ac:dyDescent="0.3">
      <c r="A1702" s="29" t="s">
        <v>834</v>
      </c>
      <c r="B1702" s="50" t="str">
        <f>VLOOKUP(A1702,'Sales Order'!A$2:B$1029,1,0)</f>
        <v>SO0596</v>
      </c>
      <c r="C1702" s="29" t="s">
        <v>25</v>
      </c>
      <c r="D1702" s="50" t="str">
        <f>VLOOKUP(C1702,Product!A$2:B$21,1,0)</f>
        <v>PD0002</v>
      </c>
      <c r="E1702" s="36">
        <v>148</v>
      </c>
      <c r="F1702" s="38">
        <v>2604800</v>
      </c>
      <c r="G1702" s="39" t="s">
        <v>4076</v>
      </c>
      <c r="H1702" s="12"/>
      <c r="L1702" s="12"/>
    </row>
    <row r="1703" spans="1:12" ht="15.75" customHeight="1" x14ac:dyDescent="0.3">
      <c r="A1703" s="29" t="s">
        <v>834</v>
      </c>
      <c r="B1703" s="50" t="str">
        <f>VLOOKUP(A1703,'Sales Order'!A$2:B$1029,1,0)</f>
        <v>SO0596</v>
      </c>
      <c r="C1703" s="29" t="s">
        <v>69</v>
      </c>
      <c r="D1703" s="50" t="str">
        <f>VLOOKUP(C1703,Product!A$2:B$21,1,0)</f>
        <v>PD0015</v>
      </c>
      <c r="E1703" s="36">
        <v>134</v>
      </c>
      <c r="F1703" s="38">
        <v>16025328</v>
      </c>
      <c r="G1703" s="39" t="s">
        <v>4077</v>
      </c>
      <c r="H1703" s="12"/>
      <c r="L1703" s="12"/>
    </row>
    <row r="1704" spans="1:12" ht="15.75" customHeight="1" x14ac:dyDescent="0.3">
      <c r="A1704" s="29" t="s">
        <v>835</v>
      </c>
      <c r="B1704" s="50" t="str">
        <f>VLOOKUP(A1704,'Sales Order'!A$2:B$1029,1,0)</f>
        <v>SO0597</v>
      </c>
      <c r="C1704" s="29" t="s">
        <v>33</v>
      </c>
      <c r="D1704" s="50" t="str">
        <f>VLOOKUP(C1704,Product!A$2:B$21,1,0)</f>
        <v>PD0004</v>
      </c>
      <c r="E1704" s="36">
        <v>67</v>
      </c>
      <c r="F1704" s="38">
        <v>13855600</v>
      </c>
      <c r="G1704" s="39" t="s">
        <v>4078</v>
      </c>
      <c r="H1704" s="12"/>
      <c r="L1704" s="12"/>
    </row>
    <row r="1705" spans="1:12" ht="15.75" customHeight="1" x14ac:dyDescent="0.3">
      <c r="A1705" s="17" t="s">
        <v>836</v>
      </c>
      <c r="B1705" s="50" t="str">
        <f>VLOOKUP(A1705,'Sales Order'!A$2:B$1029,1,0)</f>
        <v>SO0598</v>
      </c>
      <c r="C1705" s="29" t="s">
        <v>52</v>
      </c>
      <c r="D1705" s="50" t="str">
        <f>VLOOKUP(C1705,Product!A$2:B$21,1,0)</f>
        <v>PD0010</v>
      </c>
      <c r="E1705" s="36">
        <v>145</v>
      </c>
      <c r="F1705" s="38">
        <v>44768750</v>
      </c>
      <c r="G1705" s="39" t="s">
        <v>4079</v>
      </c>
      <c r="H1705" s="12"/>
      <c r="L1705" s="12"/>
    </row>
    <row r="1706" spans="1:12" ht="15.75" customHeight="1" x14ac:dyDescent="0.3">
      <c r="A1706" s="29" t="s">
        <v>836</v>
      </c>
      <c r="B1706" s="50" t="str">
        <f>VLOOKUP(A1706,'Sales Order'!A$2:B$1029,1,0)</f>
        <v>SO0598</v>
      </c>
      <c r="C1706" s="29" t="s">
        <v>55</v>
      </c>
      <c r="D1706" s="50" t="str">
        <f>VLOOKUP(C1706,Product!A$2:B$21,1,0)</f>
        <v>PD0011</v>
      </c>
      <c r="E1706" s="36">
        <v>64</v>
      </c>
      <c r="F1706" s="38">
        <v>132858880</v>
      </c>
      <c r="G1706" s="39" t="s">
        <v>4080</v>
      </c>
      <c r="H1706" s="12"/>
      <c r="L1706" s="12"/>
    </row>
    <row r="1707" spans="1:12" ht="15.75" customHeight="1" x14ac:dyDescent="0.3">
      <c r="A1707" s="29" t="s">
        <v>836</v>
      </c>
      <c r="B1707" s="50" t="str">
        <f>VLOOKUP(A1707,'Sales Order'!A$2:B$1029,1,0)</f>
        <v>SO0598</v>
      </c>
      <c r="C1707" s="29" t="s">
        <v>40</v>
      </c>
      <c r="D1707" s="50" t="str">
        <f>VLOOKUP(C1707,Product!A$2:B$21,1,0)</f>
        <v>PD0006</v>
      </c>
      <c r="E1707" s="36">
        <v>105</v>
      </c>
      <c r="F1707" s="38">
        <v>20408850</v>
      </c>
      <c r="G1707" s="39" t="s">
        <v>4081</v>
      </c>
      <c r="H1707" s="12"/>
      <c r="L1707" s="12"/>
    </row>
    <row r="1708" spans="1:12" ht="15.75" customHeight="1" x14ac:dyDescent="0.3">
      <c r="A1708" s="29" t="s">
        <v>836</v>
      </c>
      <c r="B1708" s="50" t="str">
        <f>VLOOKUP(A1708,'Sales Order'!A$2:B$1029,1,0)</f>
        <v>SO0598</v>
      </c>
      <c r="C1708" s="29" t="s">
        <v>58</v>
      </c>
      <c r="D1708" s="50" t="str">
        <f>VLOOKUP(C1708,Product!A$2:B$21,1,0)</f>
        <v>PD0012</v>
      </c>
      <c r="E1708" s="36">
        <v>146</v>
      </c>
      <c r="F1708" s="38">
        <v>708032840</v>
      </c>
      <c r="G1708" s="39" t="s">
        <v>4082</v>
      </c>
      <c r="H1708" s="12"/>
      <c r="L1708" s="12"/>
    </row>
    <row r="1709" spans="1:12" ht="15.75" customHeight="1" x14ac:dyDescent="0.3">
      <c r="A1709" s="17" t="s">
        <v>837</v>
      </c>
      <c r="B1709" s="50" t="str">
        <f>VLOOKUP(A1709,'Sales Order'!A$2:B$1029,1,0)</f>
        <v>SO0599</v>
      </c>
      <c r="C1709" s="29" t="s">
        <v>58</v>
      </c>
      <c r="D1709" s="50" t="str">
        <f>VLOOKUP(C1709,Product!A$2:B$21,1,0)</f>
        <v>PD0012</v>
      </c>
      <c r="E1709" s="36">
        <v>109</v>
      </c>
      <c r="F1709" s="38">
        <v>516306840</v>
      </c>
      <c r="G1709" s="39" t="s">
        <v>4083</v>
      </c>
      <c r="H1709" s="12"/>
      <c r="L1709" s="12"/>
    </row>
    <row r="1710" spans="1:12" ht="15.75" customHeight="1" x14ac:dyDescent="0.3">
      <c r="A1710" s="29" t="s">
        <v>837</v>
      </c>
      <c r="B1710" s="50" t="str">
        <f>VLOOKUP(A1710,'Sales Order'!A$2:B$1029,1,0)</f>
        <v>SO0599</v>
      </c>
      <c r="C1710" s="29" t="s">
        <v>25</v>
      </c>
      <c r="D1710" s="50" t="str">
        <f>VLOOKUP(C1710,Product!A$2:B$21,1,0)</f>
        <v>PD0002</v>
      </c>
      <c r="E1710" s="36">
        <v>113</v>
      </c>
      <c r="F1710" s="38">
        <v>1762800</v>
      </c>
      <c r="G1710" s="39" t="s">
        <v>4084</v>
      </c>
      <c r="H1710" s="12"/>
      <c r="L1710" s="12"/>
    </row>
    <row r="1711" spans="1:12" ht="15.75" customHeight="1" x14ac:dyDescent="0.3">
      <c r="A1711" s="29" t="s">
        <v>837</v>
      </c>
      <c r="B1711" s="50" t="str">
        <f>VLOOKUP(A1711,'Sales Order'!A$2:B$1029,1,0)</f>
        <v>SO0599</v>
      </c>
      <c r="C1711" s="29" t="s">
        <v>81</v>
      </c>
      <c r="D1711" s="50" t="str">
        <f>VLOOKUP(C1711,Product!A$2:B$21,1,0)</f>
        <v>PD0019</v>
      </c>
      <c r="E1711" s="36">
        <v>108</v>
      </c>
      <c r="F1711" s="38">
        <v>209221920</v>
      </c>
      <c r="G1711" s="39" t="s">
        <v>4085</v>
      </c>
      <c r="H1711" s="12"/>
      <c r="L1711" s="12"/>
    </row>
    <row r="1712" spans="1:12" ht="15.75" customHeight="1" x14ac:dyDescent="0.3">
      <c r="A1712" s="29" t="s">
        <v>837</v>
      </c>
      <c r="B1712" s="50" t="str">
        <f>VLOOKUP(A1712,'Sales Order'!A$2:B$1029,1,0)</f>
        <v>SO0599</v>
      </c>
      <c r="C1712" s="29" t="s">
        <v>78</v>
      </c>
      <c r="D1712" s="50" t="str">
        <f>VLOOKUP(C1712,Product!A$2:B$21,1,0)</f>
        <v>PD0018</v>
      </c>
      <c r="E1712" s="36">
        <v>109</v>
      </c>
      <c r="F1712" s="38">
        <v>46970280</v>
      </c>
      <c r="G1712" s="39" t="s">
        <v>4086</v>
      </c>
      <c r="H1712" s="12"/>
      <c r="L1712" s="12"/>
    </row>
    <row r="1713" spans="1:12" ht="15.75" customHeight="1" x14ac:dyDescent="0.3">
      <c r="A1713" s="17" t="s">
        <v>838</v>
      </c>
      <c r="B1713" s="50" t="str">
        <f>VLOOKUP(A1713,'Sales Order'!A$2:B$1029,1,0)</f>
        <v>SO0600</v>
      </c>
      <c r="C1713" s="29" t="s">
        <v>45</v>
      </c>
      <c r="D1713" s="50" t="str">
        <f>VLOOKUP(C1713,Product!A$2:B$21,1,0)</f>
        <v>PD0008</v>
      </c>
      <c r="E1713" s="36">
        <v>97</v>
      </c>
      <c r="F1713" s="38">
        <v>10984280</v>
      </c>
      <c r="G1713" s="39" t="s">
        <v>4087</v>
      </c>
      <c r="H1713" s="12"/>
      <c r="L1713" s="12"/>
    </row>
    <row r="1714" spans="1:12" ht="15.75" customHeight="1" x14ac:dyDescent="0.3">
      <c r="A1714" s="29" t="s">
        <v>838</v>
      </c>
      <c r="B1714" s="50" t="str">
        <f>VLOOKUP(A1714,'Sales Order'!A$2:B$1029,1,0)</f>
        <v>SO0600</v>
      </c>
      <c r="C1714" s="29" t="s">
        <v>83</v>
      </c>
      <c r="D1714" s="50" t="str">
        <f>VLOOKUP(C1714,Product!A$2:B$21,1,0)</f>
        <v>PD0020</v>
      </c>
      <c r="E1714" s="36">
        <v>91</v>
      </c>
      <c r="F1714" s="38">
        <v>21908250</v>
      </c>
      <c r="G1714" s="39" t="s">
        <v>4088</v>
      </c>
      <c r="H1714" s="12"/>
      <c r="L1714" s="12"/>
    </row>
    <row r="1715" spans="1:12" ht="15.75" customHeight="1" x14ac:dyDescent="0.3">
      <c r="A1715" s="17" t="s">
        <v>839</v>
      </c>
      <c r="B1715" s="50" t="str">
        <f>VLOOKUP(A1715,'Sales Order'!A$2:B$1029,1,0)</f>
        <v>SO0601</v>
      </c>
      <c r="C1715" s="29" t="s">
        <v>78</v>
      </c>
      <c r="D1715" s="50" t="str">
        <f>VLOOKUP(C1715,Product!A$2:B$21,1,0)</f>
        <v>PD0018</v>
      </c>
      <c r="E1715" s="36">
        <v>82</v>
      </c>
      <c r="F1715" s="38">
        <v>34026720</v>
      </c>
      <c r="G1715" s="39" t="s">
        <v>4089</v>
      </c>
      <c r="H1715" s="12"/>
      <c r="L1715" s="12"/>
    </row>
    <row r="1716" spans="1:12" ht="15.75" customHeight="1" x14ac:dyDescent="0.3">
      <c r="A1716" s="29" t="s">
        <v>839</v>
      </c>
      <c r="B1716" s="50" t="str">
        <f>VLOOKUP(A1716,'Sales Order'!A$2:B$1029,1,0)</f>
        <v>SO0601</v>
      </c>
      <c r="C1716" s="29" t="s">
        <v>72</v>
      </c>
      <c r="D1716" s="50" t="str">
        <f>VLOOKUP(C1716,Product!A$2:B$21,1,0)</f>
        <v>PD0016</v>
      </c>
      <c r="E1716" s="36">
        <v>75</v>
      </c>
      <c r="F1716" s="38">
        <v>16821000</v>
      </c>
      <c r="G1716" s="39" t="s">
        <v>4090</v>
      </c>
      <c r="H1716" s="12"/>
      <c r="L1716" s="12"/>
    </row>
    <row r="1717" spans="1:12" ht="15.75" customHeight="1" x14ac:dyDescent="0.3">
      <c r="A1717" s="17" t="s">
        <v>840</v>
      </c>
      <c r="B1717" s="50" t="str">
        <f>VLOOKUP(A1717,'Sales Order'!A$2:B$1029,1,0)</f>
        <v>SO0602</v>
      </c>
      <c r="C1717" s="29" t="s">
        <v>69</v>
      </c>
      <c r="D1717" s="50" t="str">
        <f>VLOOKUP(C1717,Product!A$2:B$21,1,0)</f>
        <v>PD0015</v>
      </c>
      <c r="E1717" s="36">
        <v>110</v>
      </c>
      <c r="F1717" s="38">
        <v>11959200</v>
      </c>
      <c r="G1717" s="39" t="s">
        <v>4091</v>
      </c>
      <c r="H1717" s="12"/>
      <c r="L1717" s="12"/>
    </row>
    <row r="1718" spans="1:12" ht="15.75" customHeight="1" x14ac:dyDescent="0.3">
      <c r="A1718" s="17" t="s">
        <v>841</v>
      </c>
      <c r="B1718" s="50" t="str">
        <f>VLOOKUP(A1718,'Sales Order'!A$2:B$1029,1,0)</f>
        <v>SO0603</v>
      </c>
      <c r="C1718" s="29" t="s">
        <v>19</v>
      </c>
      <c r="D1718" s="50" t="str">
        <f>VLOOKUP(C1718,Product!A$2:B$21,1,0)</f>
        <v>PD0001</v>
      </c>
      <c r="E1718" s="36">
        <v>143</v>
      </c>
      <c r="F1718" s="38">
        <v>30622020</v>
      </c>
      <c r="G1718" s="39" t="s">
        <v>4092</v>
      </c>
      <c r="H1718" s="12"/>
      <c r="L1718" s="12"/>
    </row>
    <row r="1719" spans="1:12" ht="15.75" customHeight="1" x14ac:dyDescent="0.3">
      <c r="A1719" s="29" t="s">
        <v>841</v>
      </c>
      <c r="B1719" s="50" t="str">
        <f>VLOOKUP(A1719,'Sales Order'!A$2:B$1029,1,0)</f>
        <v>SO0603</v>
      </c>
      <c r="C1719" s="29" t="s">
        <v>40</v>
      </c>
      <c r="D1719" s="50" t="str">
        <f>VLOOKUP(C1719,Product!A$2:B$21,1,0)</f>
        <v>PD0006</v>
      </c>
      <c r="E1719" s="36">
        <v>105</v>
      </c>
      <c r="F1719" s="38">
        <v>17556000</v>
      </c>
      <c r="G1719" s="39" t="s">
        <v>4093</v>
      </c>
      <c r="H1719" s="12"/>
      <c r="L1719" s="12"/>
    </row>
    <row r="1720" spans="1:12" ht="15.75" customHeight="1" x14ac:dyDescent="0.3">
      <c r="A1720" s="29" t="s">
        <v>841</v>
      </c>
      <c r="B1720" s="50" t="str">
        <f>VLOOKUP(A1720,'Sales Order'!A$2:B$1029,1,0)</f>
        <v>SO0603</v>
      </c>
      <c r="C1720" s="29" t="s">
        <v>28</v>
      </c>
      <c r="D1720" s="50" t="str">
        <f>VLOOKUP(C1720,Product!A$2:B$21,1,0)</f>
        <v>PD0003</v>
      </c>
      <c r="E1720" s="36">
        <v>97</v>
      </c>
      <c r="F1720" s="38">
        <v>74051740</v>
      </c>
      <c r="G1720" s="39" t="s">
        <v>4094</v>
      </c>
      <c r="H1720" s="12"/>
      <c r="L1720" s="12"/>
    </row>
    <row r="1721" spans="1:12" ht="15.75" customHeight="1" x14ac:dyDescent="0.3">
      <c r="A1721" s="17" t="s">
        <v>842</v>
      </c>
      <c r="B1721" s="50" t="str">
        <f>VLOOKUP(A1721,'Sales Order'!A$2:B$1029,1,0)</f>
        <v>SO0604</v>
      </c>
      <c r="C1721" s="29" t="s">
        <v>81</v>
      </c>
      <c r="D1721" s="50" t="str">
        <f>VLOOKUP(C1721,Product!A$2:B$21,1,0)</f>
        <v>PD0019</v>
      </c>
      <c r="E1721" s="36">
        <v>102</v>
      </c>
      <c r="F1721" s="38">
        <v>223598280</v>
      </c>
      <c r="G1721" s="39" t="s">
        <v>4095</v>
      </c>
      <c r="H1721" s="12"/>
      <c r="L1721" s="12"/>
    </row>
    <row r="1722" spans="1:12" ht="15.75" customHeight="1" x14ac:dyDescent="0.3">
      <c r="A1722" s="29" t="s">
        <v>842</v>
      </c>
      <c r="B1722" s="50" t="str">
        <f>VLOOKUP(A1722,'Sales Order'!A$2:B$1029,1,0)</f>
        <v>SO0604</v>
      </c>
      <c r="C1722" s="29" t="s">
        <v>35</v>
      </c>
      <c r="D1722" s="50" t="str">
        <f>VLOOKUP(C1722,Product!A$2:B$21,1,0)</f>
        <v>PD0005</v>
      </c>
      <c r="E1722" s="36">
        <v>108</v>
      </c>
      <c r="F1722" s="38">
        <v>189648000</v>
      </c>
      <c r="G1722" s="39" t="s">
        <v>4096</v>
      </c>
      <c r="H1722" s="12"/>
      <c r="L1722" s="12"/>
    </row>
    <row r="1723" spans="1:12" ht="15.75" customHeight="1" x14ac:dyDescent="0.3">
      <c r="A1723" s="17" t="s">
        <v>843</v>
      </c>
      <c r="B1723" s="50" t="str">
        <f>VLOOKUP(A1723,'Sales Order'!A$2:B$1029,1,0)</f>
        <v>SO0605</v>
      </c>
      <c r="C1723" s="29" t="s">
        <v>61</v>
      </c>
      <c r="D1723" s="50" t="str">
        <f>VLOOKUP(C1723,Product!A$2:B$21,1,0)</f>
        <v>PD0013</v>
      </c>
      <c r="E1723" s="36">
        <v>91</v>
      </c>
      <c r="F1723" s="38">
        <v>39665990</v>
      </c>
      <c r="G1723" s="39" t="s">
        <v>4097</v>
      </c>
      <c r="H1723" s="12"/>
      <c r="L1723" s="12"/>
    </row>
    <row r="1724" spans="1:12" ht="15.75" customHeight="1" x14ac:dyDescent="0.3">
      <c r="A1724" s="29" t="s">
        <v>843</v>
      </c>
      <c r="B1724" s="50" t="str">
        <f>VLOOKUP(A1724,'Sales Order'!A$2:B$1029,1,0)</f>
        <v>SO0605</v>
      </c>
      <c r="C1724" s="29" t="s">
        <v>33</v>
      </c>
      <c r="D1724" s="50" t="str">
        <f>VLOOKUP(C1724,Product!A$2:B$21,1,0)</f>
        <v>PD0004</v>
      </c>
      <c r="E1724" s="36">
        <v>29</v>
      </c>
      <c r="F1724" s="38">
        <v>5742000</v>
      </c>
      <c r="G1724" s="39" t="s">
        <v>4098</v>
      </c>
      <c r="H1724" s="12"/>
      <c r="L1724" s="12"/>
    </row>
    <row r="1725" spans="1:12" ht="15.75" customHeight="1" x14ac:dyDescent="0.3">
      <c r="A1725" s="29" t="s">
        <v>843</v>
      </c>
      <c r="B1725" s="50" t="str">
        <f>VLOOKUP(A1725,'Sales Order'!A$2:B$1029,1,0)</f>
        <v>SO0605</v>
      </c>
      <c r="C1725" s="29" t="s">
        <v>55</v>
      </c>
      <c r="D1725" s="50" t="str">
        <f>VLOOKUP(C1725,Product!A$2:B$21,1,0)</f>
        <v>PD0011</v>
      </c>
      <c r="E1725" s="36">
        <v>138</v>
      </c>
      <c r="F1725" s="38">
        <v>244156500</v>
      </c>
      <c r="G1725" s="39" t="s">
        <v>4099</v>
      </c>
      <c r="H1725" s="12"/>
      <c r="L1725" s="12"/>
    </row>
    <row r="1726" spans="1:12" ht="15.75" customHeight="1" x14ac:dyDescent="0.3">
      <c r="A1726" s="17" t="s">
        <v>844</v>
      </c>
      <c r="B1726" s="50" t="str">
        <f>VLOOKUP(A1726,'Sales Order'!A$2:B$1029,1,0)</f>
        <v>SO0606</v>
      </c>
      <c r="C1726" s="29" t="s">
        <v>28</v>
      </c>
      <c r="D1726" s="50" t="str">
        <f>VLOOKUP(C1726,Product!A$2:B$21,1,0)</f>
        <v>PD0003</v>
      </c>
      <c r="E1726" s="36">
        <v>147</v>
      </c>
      <c r="F1726" s="38">
        <v>128645580</v>
      </c>
      <c r="G1726" s="39" t="s">
        <v>4100</v>
      </c>
      <c r="H1726" s="12"/>
      <c r="L1726" s="12"/>
    </row>
    <row r="1727" spans="1:12" ht="15.75" customHeight="1" x14ac:dyDescent="0.3">
      <c r="A1727" s="29" t="s">
        <v>844</v>
      </c>
      <c r="B1727" s="50" t="str">
        <f>VLOOKUP(A1727,'Sales Order'!A$2:B$1029,1,0)</f>
        <v>SO0606</v>
      </c>
      <c r="C1727" s="29" t="s">
        <v>83</v>
      </c>
      <c r="D1727" s="50" t="str">
        <f>VLOOKUP(C1727,Product!A$2:B$21,1,0)</f>
        <v>PD0020</v>
      </c>
      <c r="E1727" s="36">
        <v>48</v>
      </c>
      <c r="F1727" s="38">
        <v>11710080</v>
      </c>
      <c r="G1727" s="39" t="s">
        <v>4101</v>
      </c>
      <c r="H1727" s="12"/>
      <c r="L1727" s="12"/>
    </row>
    <row r="1728" spans="1:12" ht="15.75" customHeight="1" x14ac:dyDescent="0.3">
      <c r="A1728" s="29" t="s">
        <v>845</v>
      </c>
      <c r="B1728" s="50" t="str">
        <f>VLOOKUP(A1728,'Sales Order'!A$2:B$1029,1,0)</f>
        <v>SO0607</v>
      </c>
      <c r="C1728" s="29" t="s">
        <v>52</v>
      </c>
      <c r="D1728" s="50" t="str">
        <f>VLOOKUP(C1728,Product!A$2:B$21,1,0)</f>
        <v>PD0010</v>
      </c>
      <c r="E1728" s="36">
        <v>86</v>
      </c>
      <c r="F1728" s="38">
        <v>23198500</v>
      </c>
      <c r="G1728" s="39" t="s">
        <v>4102</v>
      </c>
      <c r="H1728" s="12"/>
      <c r="L1728" s="12"/>
    </row>
    <row r="1729" spans="1:12" ht="15.75" customHeight="1" x14ac:dyDescent="0.3">
      <c r="A1729" s="29" t="s">
        <v>845</v>
      </c>
      <c r="B1729" s="50" t="str">
        <f>VLOOKUP(A1729,'Sales Order'!A$2:B$1029,1,0)</f>
        <v>SO0607</v>
      </c>
      <c r="C1729" s="29" t="s">
        <v>25</v>
      </c>
      <c r="D1729" s="50" t="str">
        <f>VLOOKUP(C1729,Product!A$2:B$21,1,0)</f>
        <v>PD0002</v>
      </c>
      <c r="E1729" s="36">
        <v>130</v>
      </c>
      <c r="F1729" s="38">
        <v>2002000</v>
      </c>
      <c r="G1729" s="39" t="s">
        <v>4103</v>
      </c>
      <c r="H1729" s="12"/>
      <c r="L1729" s="12"/>
    </row>
    <row r="1730" spans="1:12" ht="15.75" customHeight="1" x14ac:dyDescent="0.3">
      <c r="A1730" s="17" t="s">
        <v>846</v>
      </c>
      <c r="B1730" s="50" t="str">
        <f>VLOOKUP(A1730,'Sales Order'!A$2:B$1029,1,0)</f>
        <v>SO0608</v>
      </c>
      <c r="C1730" s="29" t="s">
        <v>58</v>
      </c>
      <c r="D1730" s="50" t="str">
        <f>VLOOKUP(C1730,Product!A$2:B$21,1,0)</f>
        <v>PD0012</v>
      </c>
      <c r="E1730" s="36">
        <v>141</v>
      </c>
      <c r="F1730" s="38">
        <v>723540090</v>
      </c>
      <c r="G1730" s="39" t="s">
        <v>4104</v>
      </c>
      <c r="H1730" s="12"/>
      <c r="L1730" s="12"/>
    </row>
    <row r="1731" spans="1:12" ht="15.75" customHeight="1" x14ac:dyDescent="0.3">
      <c r="A1731" s="17" t="s">
        <v>847</v>
      </c>
      <c r="B1731" s="50" t="str">
        <f>VLOOKUP(A1731,'Sales Order'!A$2:B$1029,1,0)</f>
        <v>SO0609</v>
      </c>
      <c r="C1731" s="29" t="s">
        <v>33</v>
      </c>
      <c r="D1731" s="50" t="str">
        <f>VLOOKUP(C1731,Product!A$2:B$21,1,0)</f>
        <v>PD0004</v>
      </c>
      <c r="E1731" s="36">
        <v>106</v>
      </c>
      <c r="F1731" s="38">
        <v>19588800</v>
      </c>
      <c r="G1731" s="39" t="s">
        <v>4105</v>
      </c>
      <c r="H1731" s="12"/>
      <c r="L1731" s="12"/>
    </row>
    <row r="1732" spans="1:12" ht="15.75" customHeight="1" x14ac:dyDescent="0.3">
      <c r="A1732" s="29" t="s">
        <v>847</v>
      </c>
      <c r="B1732" s="50" t="str">
        <f>VLOOKUP(A1732,'Sales Order'!A$2:B$1029,1,0)</f>
        <v>SO0609</v>
      </c>
      <c r="C1732" s="29" t="s">
        <v>43</v>
      </c>
      <c r="D1732" s="50" t="str">
        <f>VLOOKUP(C1732,Product!A$2:B$21,1,0)</f>
        <v>PD0007</v>
      </c>
      <c r="E1732" s="36">
        <v>42</v>
      </c>
      <c r="F1732" s="38">
        <v>126336000</v>
      </c>
      <c r="G1732" s="39" t="s">
        <v>4106</v>
      </c>
      <c r="H1732" s="12"/>
      <c r="L1732" s="12"/>
    </row>
    <row r="1733" spans="1:12" ht="15.75" customHeight="1" x14ac:dyDescent="0.3">
      <c r="A1733" s="29" t="s">
        <v>847</v>
      </c>
      <c r="B1733" s="50" t="str">
        <f>VLOOKUP(A1733,'Sales Order'!A$2:B$1029,1,0)</f>
        <v>SO0609</v>
      </c>
      <c r="C1733" s="29" t="s">
        <v>52</v>
      </c>
      <c r="D1733" s="50" t="str">
        <f>VLOOKUP(C1733,Product!A$2:B$21,1,0)</f>
        <v>PD0010</v>
      </c>
      <c r="E1733" s="36">
        <v>57</v>
      </c>
      <c r="F1733" s="38">
        <v>13893750</v>
      </c>
      <c r="G1733" s="39" t="s">
        <v>4107</v>
      </c>
      <c r="H1733" s="12"/>
      <c r="L1733" s="12"/>
    </row>
    <row r="1734" spans="1:12" ht="15.75" customHeight="1" x14ac:dyDescent="0.3">
      <c r="A1734" s="29" t="s">
        <v>847</v>
      </c>
      <c r="B1734" s="50" t="str">
        <f>VLOOKUP(A1734,'Sales Order'!A$2:B$1029,1,0)</f>
        <v>SO0609</v>
      </c>
      <c r="C1734" s="29" t="s">
        <v>65</v>
      </c>
      <c r="D1734" s="50" t="str">
        <f>VLOOKUP(C1734,Product!A$2:B$21,1,0)</f>
        <v>PD0014</v>
      </c>
      <c r="E1734" s="36">
        <v>73</v>
      </c>
      <c r="F1734" s="38">
        <v>14813160</v>
      </c>
      <c r="G1734" s="39" t="s">
        <v>4108</v>
      </c>
      <c r="H1734" s="12"/>
      <c r="L1734" s="12"/>
    </row>
    <row r="1735" spans="1:12" ht="15.75" customHeight="1" x14ac:dyDescent="0.3">
      <c r="A1735" s="29" t="s">
        <v>847</v>
      </c>
      <c r="B1735" s="50" t="str">
        <f>VLOOKUP(A1735,'Sales Order'!A$2:B$1029,1,0)</f>
        <v>SO0609</v>
      </c>
      <c r="C1735" s="29" t="s">
        <v>72</v>
      </c>
      <c r="D1735" s="50" t="str">
        <f>VLOOKUP(C1735,Product!A$2:B$21,1,0)</f>
        <v>PD0016</v>
      </c>
      <c r="E1735" s="36">
        <v>125</v>
      </c>
      <c r="F1735" s="38">
        <v>30037500</v>
      </c>
      <c r="G1735" s="39" t="s">
        <v>4109</v>
      </c>
      <c r="H1735" s="12"/>
      <c r="L1735" s="12"/>
    </row>
    <row r="1736" spans="1:12" ht="15.75" customHeight="1" x14ac:dyDescent="0.3">
      <c r="A1736" s="17" t="s">
        <v>848</v>
      </c>
      <c r="B1736" s="50" t="str">
        <f>VLOOKUP(A1736,'Sales Order'!A$2:B$1029,1,0)</f>
        <v>SO0610</v>
      </c>
      <c r="C1736" s="29" t="s">
        <v>83</v>
      </c>
      <c r="D1736" s="50" t="str">
        <f>VLOOKUP(C1736,Product!A$2:B$21,1,0)</f>
        <v>PD0020</v>
      </c>
      <c r="E1736" s="36">
        <v>137</v>
      </c>
      <c r="F1736" s="38">
        <v>40019070</v>
      </c>
      <c r="G1736" s="39" t="s">
        <v>4110</v>
      </c>
      <c r="H1736" s="12"/>
      <c r="L1736" s="12"/>
    </row>
    <row r="1737" spans="1:12" ht="15.75" customHeight="1" x14ac:dyDescent="0.3">
      <c r="A1737" s="29" t="s">
        <v>848</v>
      </c>
      <c r="B1737" s="50" t="str">
        <f>VLOOKUP(A1737,'Sales Order'!A$2:B$1029,1,0)</f>
        <v>SO0610</v>
      </c>
      <c r="C1737" s="29" t="s">
        <v>25</v>
      </c>
      <c r="D1737" s="50" t="str">
        <f>VLOOKUP(C1737,Product!A$2:B$21,1,0)</f>
        <v>PD0002</v>
      </c>
      <c r="E1737" s="36">
        <v>127</v>
      </c>
      <c r="F1737" s="38">
        <v>2260600</v>
      </c>
      <c r="G1737" s="39" t="s">
        <v>4111</v>
      </c>
      <c r="H1737" s="12"/>
      <c r="L1737" s="12"/>
    </row>
    <row r="1738" spans="1:12" ht="15.75" customHeight="1" x14ac:dyDescent="0.3">
      <c r="A1738" s="29" t="s">
        <v>848</v>
      </c>
      <c r="B1738" s="50" t="str">
        <f>VLOOKUP(A1738,'Sales Order'!A$2:B$1029,1,0)</f>
        <v>SO0610</v>
      </c>
      <c r="C1738" s="29" t="s">
        <v>78</v>
      </c>
      <c r="D1738" s="50" t="str">
        <f>VLOOKUP(C1738,Product!A$2:B$21,1,0)</f>
        <v>PD0018</v>
      </c>
      <c r="E1738" s="36">
        <v>106</v>
      </c>
      <c r="F1738" s="38">
        <v>53008480</v>
      </c>
      <c r="G1738" s="39" t="s">
        <v>4112</v>
      </c>
      <c r="H1738" s="12"/>
      <c r="L1738" s="12"/>
    </row>
    <row r="1739" spans="1:12" ht="15.75" customHeight="1" x14ac:dyDescent="0.3">
      <c r="A1739" s="17" t="s">
        <v>849</v>
      </c>
      <c r="B1739" s="50" t="str">
        <f>VLOOKUP(A1739,'Sales Order'!A$2:B$1029,1,0)</f>
        <v>SO0611</v>
      </c>
      <c r="C1739" s="29" t="s">
        <v>35</v>
      </c>
      <c r="D1739" s="50" t="str">
        <f>VLOOKUP(C1739,Product!A$2:B$21,1,0)</f>
        <v>PD0005</v>
      </c>
      <c r="E1739" s="36">
        <v>118</v>
      </c>
      <c r="F1739" s="38">
        <v>207208000</v>
      </c>
      <c r="G1739" s="39" t="s">
        <v>4113</v>
      </c>
      <c r="H1739" s="12"/>
      <c r="L1739" s="12"/>
    </row>
    <row r="1740" spans="1:12" ht="15.75" customHeight="1" x14ac:dyDescent="0.3">
      <c r="A1740" s="29" t="s">
        <v>849</v>
      </c>
      <c r="B1740" s="50" t="str">
        <f>VLOOKUP(A1740,'Sales Order'!A$2:B$1029,1,0)</f>
        <v>SO0611</v>
      </c>
      <c r="C1740" s="29" t="s">
        <v>43</v>
      </c>
      <c r="D1740" s="50" t="str">
        <f>VLOOKUP(C1740,Product!A$2:B$21,1,0)</f>
        <v>PD0007</v>
      </c>
      <c r="E1740" s="36">
        <v>139</v>
      </c>
      <c r="F1740" s="38">
        <v>342496000</v>
      </c>
      <c r="G1740" s="39" t="s">
        <v>4114</v>
      </c>
      <c r="H1740" s="12"/>
      <c r="L1740" s="12"/>
    </row>
    <row r="1741" spans="1:12" ht="15.75" customHeight="1" x14ac:dyDescent="0.3">
      <c r="A1741" s="17" t="s">
        <v>850</v>
      </c>
      <c r="B1741" s="50" t="str">
        <f>VLOOKUP(A1741,'Sales Order'!A$2:B$1029,1,0)</f>
        <v>SO0612</v>
      </c>
      <c r="C1741" s="29" t="s">
        <v>69</v>
      </c>
      <c r="D1741" s="50" t="str">
        <f>VLOOKUP(C1741,Product!A$2:B$21,1,0)</f>
        <v>PD0015</v>
      </c>
      <c r="E1741" s="36">
        <v>111</v>
      </c>
      <c r="F1741" s="38">
        <v>14179806</v>
      </c>
      <c r="G1741" s="39" t="s">
        <v>4115</v>
      </c>
      <c r="H1741" s="12"/>
      <c r="L1741" s="12"/>
    </row>
    <row r="1742" spans="1:12" ht="15.75" customHeight="1" x14ac:dyDescent="0.3">
      <c r="A1742" s="29" t="s">
        <v>850</v>
      </c>
      <c r="B1742" s="50" t="str">
        <f>VLOOKUP(A1742,'Sales Order'!A$2:B$1029,1,0)</f>
        <v>SO0612</v>
      </c>
      <c r="C1742" s="29" t="s">
        <v>83</v>
      </c>
      <c r="D1742" s="50" t="str">
        <f>VLOOKUP(C1742,Product!A$2:B$21,1,0)</f>
        <v>PD0020</v>
      </c>
      <c r="E1742" s="36">
        <v>97</v>
      </c>
      <c r="F1742" s="38">
        <v>27400560</v>
      </c>
      <c r="G1742" s="39" t="s">
        <v>4116</v>
      </c>
      <c r="H1742" s="12"/>
      <c r="L1742" s="12"/>
    </row>
    <row r="1743" spans="1:12" ht="15.75" customHeight="1" x14ac:dyDescent="0.3">
      <c r="A1743" s="29" t="s">
        <v>850</v>
      </c>
      <c r="B1743" s="50" t="str">
        <f>VLOOKUP(A1743,'Sales Order'!A$2:B$1029,1,0)</f>
        <v>SO0612</v>
      </c>
      <c r="C1743" s="29" t="s">
        <v>45</v>
      </c>
      <c r="D1743" s="50" t="str">
        <f>VLOOKUP(C1743,Product!A$2:B$21,1,0)</f>
        <v>PD0008</v>
      </c>
      <c r="E1743" s="36">
        <v>85</v>
      </c>
      <c r="F1743" s="38">
        <v>11651800</v>
      </c>
      <c r="G1743" s="39" t="s">
        <v>4117</v>
      </c>
      <c r="H1743" s="12"/>
      <c r="L1743" s="12"/>
    </row>
    <row r="1744" spans="1:12" ht="15.75" customHeight="1" x14ac:dyDescent="0.3">
      <c r="A1744" s="17" t="s">
        <v>851</v>
      </c>
      <c r="B1744" s="50" t="str">
        <f>VLOOKUP(A1744,'Sales Order'!A$2:B$1029,1,0)</f>
        <v>SO0613</v>
      </c>
      <c r="C1744" s="29" t="s">
        <v>58</v>
      </c>
      <c r="D1744" s="50" t="str">
        <f>VLOOKUP(C1744,Product!A$2:B$21,1,0)</f>
        <v>PD0012</v>
      </c>
      <c r="E1744" s="36">
        <v>79</v>
      </c>
      <c r="F1744" s="38">
        <v>414297330</v>
      </c>
      <c r="G1744" s="39" t="s">
        <v>4118</v>
      </c>
      <c r="H1744" s="12"/>
      <c r="L1744" s="12"/>
    </row>
    <row r="1745" spans="1:12" ht="15.75" customHeight="1" x14ac:dyDescent="0.3">
      <c r="A1745" s="29" t="s">
        <v>851</v>
      </c>
      <c r="B1745" s="50" t="str">
        <f>VLOOKUP(A1745,'Sales Order'!A$2:B$1029,1,0)</f>
        <v>SO0613</v>
      </c>
      <c r="C1745" s="29" t="s">
        <v>55</v>
      </c>
      <c r="D1745" s="50" t="str">
        <f>VLOOKUP(C1745,Product!A$2:B$21,1,0)</f>
        <v>PD0011</v>
      </c>
      <c r="E1745" s="36">
        <v>98</v>
      </c>
      <c r="F1745" s="38">
        <v>205751980</v>
      </c>
      <c r="G1745" s="39" t="s">
        <v>4119</v>
      </c>
      <c r="H1745" s="12"/>
      <c r="L1745" s="12"/>
    </row>
    <row r="1746" spans="1:12" ht="15.75" customHeight="1" x14ac:dyDescent="0.3">
      <c r="A1746" s="17" t="s">
        <v>852</v>
      </c>
      <c r="B1746" s="50" t="str">
        <f>VLOOKUP(A1746,'Sales Order'!A$2:B$1029,1,0)</f>
        <v>SO0614</v>
      </c>
      <c r="C1746" s="29" t="s">
        <v>48</v>
      </c>
      <c r="D1746" s="50" t="str">
        <f>VLOOKUP(C1746,Product!A$2:B$21,1,0)</f>
        <v>PD0009</v>
      </c>
      <c r="E1746" s="36">
        <v>126</v>
      </c>
      <c r="F1746" s="38">
        <v>12515580</v>
      </c>
      <c r="G1746" s="39" t="s">
        <v>4120</v>
      </c>
      <c r="H1746" s="12"/>
      <c r="L1746" s="12"/>
    </row>
    <row r="1747" spans="1:12" ht="15.75" customHeight="1" x14ac:dyDescent="0.3">
      <c r="A1747" s="29" t="s">
        <v>852</v>
      </c>
      <c r="B1747" s="50" t="str">
        <f>VLOOKUP(A1747,'Sales Order'!A$2:B$1029,1,0)</f>
        <v>SO0614</v>
      </c>
      <c r="C1747" s="29" t="s">
        <v>83</v>
      </c>
      <c r="D1747" s="50" t="str">
        <f>VLOOKUP(C1747,Product!A$2:B$21,1,0)</f>
        <v>PD0020</v>
      </c>
      <c r="E1747" s="36">
        <v>36</v>
      </c>
      <c r="F1747" s="38">
        <v>9475920</v>
      </c>
      <c r="G1747" s="39" t="s">
        <v>4121</v>
      </c>
      <c r="H1747" s="12"/>
      <c r="L1747" s="12"/>
    </row>
    <row r="1748" spans="1:12" ht="15.75" customHeight="1" x14ac:dyDescent="0.3">
      <c r="A1748" s="29" t="s">
        <v>852</v>
      </c>
      <c r="B1748" s="50" t="str">
        <f>VLOOKUP(A1748,'Sales Order'!A$2:B$1029,1,0)</f>
        <v>SO0614</v>
      </c>
      <c r="C1748" s="29" t="s">
        <v>28</v>
      </c>
      <c r="D1748" s="50" t="str">
        <f>VLOOKUP(C1748,Product!A$2:B$21,1,0)</f>
        <v>PD0003</v>
      </c>
      <c r="E1748" s="36">
        <v>59</v>
      </c>
      <c r="F1748" s="38">
        <v>51633260</v>
      </c>
      <c r="G1748" s="39" t="s">
        <v>4122</v>
      </c>
      <c r="H1748" s="12"/>
      <c r="L1748" s="12"/>
    </row>
    <row r="1749" spans="1:12" ht="15.75" customHeight="1" x14ac:dyDescent="0.3">
      <c r="A1749" s="29" t="s">
        <v>852</v>
      </c>
      <c r="B1749" s="50" t="str">
        <f>VLOOKUP(A1749,'Sales Order'!A$2:B$1029,1,0)</f>
        <v>SO0614</v>
      </c>
      <c r="C1749" s="29" t="s">
        <v>61</v>
      </c>
      <c r="D1749" s="50" t="str">
        <f>VLOOKUP(C1749,Product!A$2:B$21,1,0)</f>
        <v>PD0013</v>
      </c>
      <c r="E1749" s="36">
        <v>122</v>
      </c>
      <c r="F1749" s="38">
        <v>49672300</v>
      </c>
      <c r="G1749" s="39" t="s">
        <v>4123</v>
      </c>
      <c r="H1749" s="12"/>
      <c r="L1749" s="12"/>
    </row>
    <row r="1750" spans="1:12" ht="15.75" customHeight="1" x14ac:dyDescent="0.3">
      <c r="A1750" s="29" t="s">
        <v>852</v>
      </c>
      <c r="B1750" s="50" t="str">
        <f>VLOOKUP(A1750,'Sales Order'!A$2:B$1029,1,0)</f>
        <v>SO0614</v>
      </c>
      <c r="C1750" s="29" t="s">
        <v>33</v>
      </c>
      <c r="D1750" s="50" t="str">
        <f>VLOOKUP(C1750,Product!A$2:B$21,1,0)</f>
        <v>PD0004</v>
      </c>
      <c r="E1750" s="36">
        <v>59</v>
      </c>
      <c r="F1750" s="38">
        <v>11682000</v>
      </c>
      <c r="G1750" s="39" t="s">
        <v>4124</v>
      </c>
      <c r="H1750" s="12"/>
      <c r="L1750" s="12"/>
    </row>
    <row r="1751" spans="1:12" ht="15.75" customHeight="1" x14ac:dyDescent="0.3">
      <c r="A1751" s="29" t="s">
        <v>852</v>
      </c>
      <c r="B1751" s="50" t="str">
        <f>VLOOKUP(A1751,'Sales Order'!A$2:B$1029,1,0)</f>
        <v>SO0614</v>
      </c>
      <c r="C1751" s="29" t="s">
        <v>69</v>
      </c>
      <c r="D1751" s="50" t="str">
        <f>VLOOKUP(C1751,Product!A$2:B$21,1,0)</f>
        <v>PD0015</v>
      </c>
      <c r="E1751" s="36">
        <v>43</v>
      </c>
      <c r="F1751" s="38">
        <v>4733397</v>
      </c>
      <c r="G1751" s="39" t="s">
        <v>4125</v>
      </c>
      <c r="H1751" s="12"/>
      <c r="L1751" s="12"/>
    </row>
    <row r="1752" spans="1:12" ht="15.75" customHeight="1" x14ac:dyDescent="0.3">
      <c r="A1752" s="29" t="s">
        <v>852</v>
      </c>
      <c r="B1752" s="50" t="str">
        <f>VLOOKUP(A1752,'Sales Order'!A$2:B$1029,1,0)</f>
        <v>SO0614</v>
      </c>
      <c r="C1752" s="29" t="s">
        <v>72</v>
      </c>
      <c r="D1752" s="50" t="str">
        <f>VLOOKUP(C1752,Product!A$2:B$21,1,0)</f>
        <v>PD0016</v>
      </c>
      <c r="E1752" s="36">
        <v>67</v>
      </c>
      <c r="F1752" s="38">
        <v>14132310</v>
      </c>
      <c r="G1752" s="39" t="s">
        <v>4126</v>
      </c>
      <c r="H1752" s="12"/>
      <c r="L1752" s="12"/>
    </row>
    <row r="1753" spans="1:12" ht="15.75" customHeight="1" x14ac:dyDescent="0.3">
      <c r="A1753" s="17" t="s">
        <v>854</v>
      </c>
      <c r="B1753" s="50" t="str">
        <f>VLOOKUP(A1753,'Sales Order'!A$2:B$1029,1,0)</f>
        <v>SO0616</v>
      </c>
      <c r="C1753" s="29" t="s">
        <v>48</v>
      </c>
      <c r="D1753" s="50" t="str">
        <f>VLOOKUP(C1753,Product!A$2:B$21,1,0)</f>
        <v>PD0009</v>
      </c>
      <c r="E1753" s="36">
        <v>130</v>
      </c>
      <c r="F1753" s="38">
        <v>14254500</v>
      </c>
      <c r="G1753" s="39" t="s">
        <v>4127</v>
      </c>
      <c r="H1753" s="12"/>
      <c r="L1753" s="12"/>
    </row>
    <row r="1754" spans="1:12" ht="15.75" customHeight="1" x14ac:dyDescent="0.3">
      <c r="A1754" s="29" t="s">
        <v>854</v>
      </c>
      <c r="B1754" s="50" t="str">
        <f>VLOOKUP(A1754,'Sales Order'!A$2:B$1029,1,0)</f>
        <v>SO0616</v>
      </c>
      <c r="C1754" s="29" t="s">
        <v>35</v>
      </c>
      <c r="D1754" s="50" t="str">
        <f>VLOOKUP(C1754,Product!A$2:B$21,1,0)</f>
        <v>PD0005</v>
      </c>
      <c r="E1754" s="36">
        <v>67</v>
      </c>
      <c r="F1754" s="38">
        <v>132358500</v>
      </c>
      <c r="G1754" s="39" t="s">
        <v>4128</v>
      </c>
      <c r="H1754" s="12"/>
      <c r="L1754" s="12"/>
    </row>
    <row r="1755" spans="1:12" ht="15.75" customHeight="1" x14ac:dyDescent="0.3">
      <c r="A1755" s="29" t="s">
        <v>854</v>
      </c>
      <c r="B1755" s="50" t="str">
        <f>VLOOKUP(A1755,'Sales Order'!A$2:B$1029,1,0)</f>
        <v>SO0616</v>
      </c>
      <c r="C1755" s="29" t="s">
        <v>40</v>
      </c>
      <c r="D1755" s="50" t="str">
        <f>VLOOKUP(C1755,Product!A$2:B$21,1,0)</f>
        <v>PD0006</v>
      </c>
      <c r="E1755" s="36">
        <v>111</v>
      </c>
      <c r="F1755" s="38">
        <v>18559200</v>
      </c>
      <c r="G1755" s="39" t="s">
        <v>4129</v>
      </c>
      <c r="H1755" s="12"/>
      <c r="L1755" s="12"/>
    </row>
    <row r="1756" spans="1:12" ht="15.75" customHeight="1" x14ac:dyDescent="0.3">
      <c r="A1756" s="17" t="s">
        <v>855</v>
      </c>
      <c r="B1756" s="50" t="str">
        <f>VLOOKUP(A1756,'Sales Order'!A$2:B$1029,1,0)</f>
        <v>SO0617</v>
      </c>
      <c r="C1756" s="29" t="s">
        <v>48</v>
      </c>
      <c r="D1756" s="50" t="str">
        <f>VLOOKUP(C1756,Product!A$2:B$21,1,0)</f>
        <v>PD0009</v>
      </c>
      <c r="E1756" s="36">
        <v>147</v>
      </c>
      <c r="F1756" s="38">
        <v>15360030.000000002</v>
      </c>
      <c r="G1756" s="39" t="s">
        <v>4130</v>
      </c>
      <c r="H1756" s="12"/>
      <c r="L1756" s="12"/>
    </row>
    <row r="1757" spans="1:12" ht="15.75" customHeight="1" x14ac:dyDescent="0.3">
      <c r="A1757" s="29" t="s">
        <v>855</v>
      </c>
      <c r="B1757" s="50" t="str">
        <f>VLOOKUP(A1757,'Sales Order'!A$2:B$1029,1,0)</f>
        <v>SO0617</v>
      </c>
      <c r="C1757" s="29" t="s">
        <v>83</v>
      </c>
      <c r="D1757" s="50" t="str">
        <f>VLOOKUP(C1757,Product!A$2:B$21,1,0)</f>
        <v>PD0020</v>
      </c>
      <c r="E1757" s="36">
        <v>91</v>
      </c>
      <c r="F1757" s="38">
        <v>22492470</v>
      </c>
      <c r="G1757" s="39" t="s">
        <v>4131</v>
      </c>
      <c r="H1757" s="12"/>
      <c r="L1757" s="12"/>
    </row>
    <row r="1758" spans="1:12" ht="15.75" customHeight="1" x14ac:dyDescent="0.3">
      <c r="A1758" s="17" t="s">
        <v>856</v>
      </c>
      <c r="B1758" s="50" t="str">
        <f>VLOOKUP(A1758,'Sales Order'!A$2:B$1029,1,0)</f>
        <v>SO0618</v>
      </c>
      <c r="C1758" s="29" t="s">
        <v>25</v>
      </c>
      <c r="D1758" s="50" t="str">
        <f>VLOOKUP(C1758,Product!A$2:B$21,1,0)</f>
        <v>PD0002</v>
      </c>
      <c r="E1758" s="36">
        <v>150</v>
      </c>
      <c r="F1758" s="38">
        <v>2250000</v>
      </c>
      <c r="G1758" s="39" t="s">
        <v>4132</v>
      </c>
      <c r="H1758" s="12"/>
      <c r="L1758" s="12"/>
    </row>
    <row r="1759" spans="1:12" ht="15.75" customHeight="1" x14ac:dyDescent="0.3">
      <c r="A1759" s="29" t="s">
        <v>856</v>
      </c>
      <c r="B1759" s="50" t="str">
        <f>VLOOKUP(A1759,'Sales Order'!A$2:B$1029,1,0)</f>
        <v>SO0618</v>
      </c>
      <c r="C1759" s="29" t="s">
        <v>43</v>
      </c>
      <c r="D1759" s="50" t="str">
        <f>VLOOKUP(C1759,Product!A$2:B$21,1,0)</f>
        <v>PD0007</v>
      </c>
      <c r="E1759" s="36">
        <v>143</v>
      </c>
      <c r="F1759" s="38">
        <v>430144000</v>
      </c>
      <c r="G1759" s="39" t="s">
        <v>4133</v>
      </c>
      <c r="H1759" s="12"/>
      <c r="L1759" s="12"/>
    </row>
    <row r="1760" spans="1:12" ht="15.75" customHeight="1" x14ac:dyDescent="0.3">
      <c r="A1760" s="17" t="s">
        <v>857</v>
      </c>
      <c r="B1760" s="50" t="str">
        <f>VLOOKUP(A1760,'Sales Order'!A$2:B$1029,1,0)</f>
        <v>SO0619</v>
      </c>
      <c r="C1760" s="29" t="s">
        <v>72</v>
      </c>
      <c r="D1760" s="50" t="str">
        <f>VLOOKUP(C1760,Product!A$2:B$21,1,0)</f>
        <v>PD0016</v>
      </c>
      <c r="E1760" s="36">
        <v>94</v>
      </c>
      <c r="F1760" s="38">
        <v>21584280</v>
      </c>
      <c r="G1760" s="39" t="s">
        <v>4134</v>
      </c>
      <c r="H1760" s="12"/>
      <c r="L1760" s="12"/>
    </row>
    <row r="1761" spans="1:12" ht="15.75" customHeight="1" x14ac:dyDescent="0.3">
      <c r="A1761" s="17" t="s">
        <v>860</v>
      </c>
      <c r="B1761" s="50" t="str">
        <f>VLOOKUP(A1761,'Sales Order'!A$2:B$1029,1,0)</f>
        <v>SO0622</v>
      </c>
      <c r="C1761" s="29" t="s">
        <v>75</v>
      </c>
      <c r="D1761" s="50" t="str">
        <f>VLOOKUP(C1761,Product!A$2:B$21,1,0)</f>
        <v>PD0017</v>
      </c>
      <c r="E1761" s="36">
        <v>103</v>
      </c>
      <c r="F1761" s="38">
        <v>207442000</v>
      </c>
      <c r="G1761" s="39" t="s">
        <v>4135</v>
      </c>
      <c r="H1761" s="12"/>
      <c r="L1761" s="12"/>
    </row>
    <row r="1762" spans="1:12" ht="15.75" customHeight="1" x14ac:dyDescent="0.3">
      <c r="A1762" s="17" t="s">
        <v>861</v>
      </c>
      <c r="B1762" s="50" t="str">
        <f>VLOOKUP(A1762,'Sales Order'!A$2:B$1029,1,0)</f>
        <v>SO0623</v>
      </c>
      <c r="C1762" s="29" t="s">
        <v>81</v>
      </c>
      <c r="D1762" s="50" t="str">
        <f>VLOOKUP(C1762,Product!A$2:B$21,1,0)</f>
        <v>PD0019</v>
      </c>
      <c r="E1762" s="36">
        <v>135</v>
      </c>
      <c r="F1762" s="38">
        <v>326909250</v>
      </c>
      <c r="G1762" s="39" t="s">
        <v>4136</v>
      </c>
      <c r="H1762" s="12"/>
      <c r="L1762" s="12"/>
    </row>
    <row r="1763" spans="1:12" ht="15.75" customHeight="1" x14ac:dyDescent="0.3">
      <c r="A1763" s="29" t="s">
        <v>861</v>
      </c>
      <c r="B1763" s="50" t="str">
        <f>VLOOKUP(A1763,'Sales Order'!A$2:B$1029,1,0)</f>
        <v>SO0623</v>
      </c>
      <c r="C1763" s="29" t="s">
        <v>33</v>
      </c>
      <c r="D1763" s="50" t="str">
        <f>VLOOKUP(C1763,Product!A$2:B$21,1,0)</f>
        <v>PD0004</v>
      </c>
      <c r="E1763" s="36">
        <v>42</v>
      </c>
      <c r="F1763" s="38">
        <v>7392000</v>
      </c>
      <c r="G1763" s="39" t="s">
        <v>4137</v>
      </c>
      <c r="H1763" s="12"/>
      <c r="L1763" s="12"/>
    </row>
    <row r="1764" spans="1:12" ht="15.75" customHeight="1" x14ac:dyDescent="0.3">
      <c r="A1764" s="17" t="s">
        <v>862</v>
      </c>
      <c r="B1764" s="50" t="str">
        <f>VLOOKUP(A1764,'Sales Order'!A$2:B$1029,1,0)</f>
        <v>SO0624</v>
      </c>
      <c r="C1764" s="29" t="s">
        <v>40</v>
      </c>
      <c r="D1764" s="50" t="str">
        <f>VLOOKUP(C1764,Product!A$2:B$21,1,0)</f>
        <v>PD0006</v>
      </c>
      <c r="E1764" s="36">
        <v>75</v>
      </c>
      <c r="F1764" s="38">
        <v>14264250</v>
      </c>
      <c r="G1764" s="39" t="s">
        <v>4138</v>
      </c>
      <c r="H1764" s="12"/>
      <c r="L1764" s="12"/>
    </row>
    <row r="1765" spans="1:12" ht="15.75" customHeight="1" x14ac:dyDescent="0.3">
      <c r="A1765" s="29" t="s">
        <v>862</v>
      </c>
      <c r="B1765" s="50" t="str">
        <f>VLOOKUP(A1765,'Sales Order'!A$2:B$1029,1,0)</f>
        <v>SO0624</v>
      </c>
      <c r="C1765" s="29" t="s">
        <v>83</v>
      </c>
      <c r="D1765" s="50" t="str">
        <f>VLOOKUP(C1765,Product!A$2:B$21,1,0)</f>
        <v>PD0020</v>
      </c>
      <c r="E1765" s="36">
        <v>100</v>
      </c>
      <c r="F1765" s="38">
        <v>26643000</v>
      </c>
      <c r="G1765" s="39" t="s">
        <v>4139</v>
      </c>
      <c r="H1765" s="12"/>
      <c r="L1765" s="12"/>
    </row>
    <row r="1766" spans="1:12" ht="15.75" customHeight="1" x14ac:dyDescent="0.3">
      <c r="A1766" s="29" t="s">
        <v>862</v>
      </c>
      <c r="B1766" s="50" t="str">
        <f>VLOOKUP(A1766,'Sales Order'!A$2:B$1029,1,0)</f>
        <v>SO0624</v>
      </c>
      <c r="C1766" s="29" t="s">
        <v>58</v>
      </c>
      <c r="D1766" s="50" t="str">
        <f>VLOOKUP(C1766,Product!A$2:B$21,1,0)</f>
        <v>PD0012</v>
      </c>
      <c r="E1766" s="36">
        <v>49</v>
      </c>
      <c r="F1766" s="38">
        <v>226575020.00000003</v>
      </c>
      <c r="G1766" s="39" t="s">
        <v>4140</v>
      </c>
      <c r="H1766" s="12"/>
      <c r="L1766" s="12"/>
    </row>
    <row r="1767" spans="1:12" ht="15.75" customHeight="1" x14ac:dyDescent="0.3">
      <c r="A1767" s="17" t="s">
        <v>863</v>
      </c>
      <c r="B1767" s="50" t="str">
        <f>VLOOKUP(A1767,'Sales Order'!A$2:B$1029,1,0)</f>
        <v>SO0625</v>
      </c>
      <c r="C1767" s="29" t="s">
        <v>75</v>
      </c>
      <c r="D1767" s="50" t="str">
        <f>VLOOKUP(C1767,Product!A$2:B$21,1,0)</f>
        <v>PD0017</v>
      </c>
      <c r="E1767" s="36">
        <v>48</v>
      </c>
      <c r="F1767" s="38">
        <v>106848000</v>
      </c>
      <c r="G1767" s="39" t="s">
        <v>4141</v>
      </c>
      <c r="H1767" s="12"/>
      <c r="L1767" s="12"/>
    </row>
    <row r="1768" spans="1:12" ht="15.75" customHeight="1" x14ac:dyDescent="0.3">
      <c r="A1768" s="29" t="s">
        <v>863</v>
      </c>
      <c r="B1768" s="50" t="str">
        <f>VLOOKUP(A1768,'Sales Order'!A$2:B$1029,1,0)</f>
        <v>SO0625</v>
      </c>
      <c r="C1768" s="29" t="s">
        <v>48</v>
      </c>
      <c r="D1768" s="50" t="str">
        <f>VLOOKUP(C1768,Product!A$2:B$21,1,0)</f>
        <v>PD0009</v>
      </c>
      <c r="E1768" s="36">
        <v>84</v>
      </c>
      <c r="F1768" s="38">
        <v>8127000</v>
      </c>
      <c r="G1768" s="39" t="s">
        <v>4142</v>
      </c>
      <c r="H1768" s="12"/>
      <c r="L1768" s="12"/>
    </row>
    <row r="1769" spans="1:12" ht="15.75" customHeight="1" x14ac:dyDescent="0.3">
      <c r="A1769" s="29" t="s">
        <v>863</v>
      </c>
      <c r="B1769" s="50" t="str">
        <f>VLOOKUP(A1769,'Sales Order'!A$2:B$1029,1,0)</f>
        <v>SO0625</v>
      </c>
      <c r="C1769" s="29" t="s">
        <v>40</v>
      </c>
      <c r="D1769" s="50" t="str">
        <f>VLOOKUP(C1769,Product!A$2:B$21,1,0)</f>
        <v>PD0006</v>
      </c>
      <c r="E1769" s="36">
        <v>75</v>
      </c>
      <c r="F1769" s="38">
        <v>14577749.999999998</v>
      </c>
      <c r="G1769" s="39" t="s">
        <v>4143</v>
      </c>
      <c r="H1769" s="12"/>
      <c r="L1769" s="12"/>
    </row>
    <row r="1770" spans="1:12" ht="15.75" customHeight="1" x14ac:dyDescent="0.3">
      <c r="A1770" s="29" t="s">
        <v>863</v>
      </c>
      <c r="B1770" s="50" t="str">
        <f>VLOOKUP(A1770,'Sales Order'!A$2:B$1029,1,0)</f>
        <v>SO0625</v>
      </c>
      <c r="C1770" s="29" t="s">
        <v>52</v>
      </c>
      <c r="D1770" s="50" t="str">
        <f>VLOOKUP(C1770,Product!A$2:B$21,1,0)</f>
        <v>PD0010</v>
      </c>
      <c r="E1770" s="36">
        <v>142</v>
      </c>
      <c r="F1770" s="38">
        <v>40612000</v>
      </c>
      <c r="G1770" s="39" t="s">
        <v>4144</v>
      </c>
      <c r="H1770" s="12"/>
      <c r="L1770" s="12"/>
    </row>
    <row r="1771" spans="1:12" ht="15.75" customHeight="1" x14ac:dyDescent="0.3">
      <c r="A1771" s="17" t="s">
        <v>864</v>
      </c>
      <c r="B1771" s="50" t="str">
        <f>VLOOKUP(A1771,'Sales Order'!A$2:B$1029,1,0)</f>
        <v>SO0626</v>
      </c>
      <c r="C1771" s="29" t="s">
        <v>45</v>
      </c>
      <c r="D1771" s="50" t="str">
        <f>VLOOKUP(C1771,Product!A$2:B$21,1,0)</f>
        <v>PD0008</v>
      </c>
      <c r="E1771" s="36">
        <v>147</v>
      </c>
      <c r="F1771" s="38">
        <v>17084340</v>
      </c>
      <c r="G1771" s="39" t="s">
        <v>4145</v>
      </c>
      <c r="H1771" s="12"/>
      <c r="L1771" s="12"/>
    </row>
    <row r="1772" spans="1:12" ht="15.75" customHeight="1" x14ac:dyDescent="0.3">
      <c r="A1772" s="29" t="s">
        <v>864</v>
      </c>
      <c r="B1772" s="50" t="str">
        <f>VLOOKUP(A1772,'Sales Order'!A$2:B$1029,1,0)</f>
        <v>SO0626</v>
      </c>
      <c r="C1772" s="29" t="s">
        <v>43</v>
      </c>
      <c r="D1772" s="50" t="str">
        <f>VLOOKUP(C1772,Product!A$2:B$21,1,0)</f>
        <v>PD0007</v>
      </c>
      <c r="E1772" s="36">
        <v>122</v>
      </c>
      <c r="F1772" s="38">
        <v>366976000</v>
      </c>
      <c r="G1772" s="39" t="s">
        <v>4146</v>
      </c>
      <c r="H1772" s="12"/>
      <c r="L1772" s="12"/>
    </row>
    <row r="1773" spans="1:12" ht="15.75" customHeight="1" x14ac:dyDescent="0.3">
      <c r="A1773" s="29" t="s">
        <v>864</v>
      </c>
      <c r="B1773" s="50" t="str">
        <f>VLOOKUP(A1773,'Sales Order'!A$2:B$1029,1,0)</f>
        <v>SO0626</v>
      </c>
      <c r="C1773" s="29" t="s">
        <v>28</v>
      </c>
      <c r="D1773" s="50" t="str">
        <f>VLOOKUP(C1773,Product!A$2:B$21,1,0)</f>
        <v>PD0003</v>
      </c>
      <c r="E1773" s="36">
        <v>123</v>
      </c>
      <c r="F1773" s="38">
        <v>100771440</v>
      </c>
      <c r="G1773" s="39" t="s">
        <v>4147</v>
      </c>
      <c r="H1773" s="12"/>
      <c r="L1773" s="12"/>
    </row>
    <row r="1774" spans="1:12" ht="15.75" customHeight="1" x14ac:dyDescent="0.3">
      <c r="A1774" s="29" t="s">
        <v>864</v>
      </c>
      <c r="B1774" s="50" t="str">
        <f>VLOOKUP(A1774,'Sales Order'!A$2:B$1029,1,0)</f>
        <v>SO0626</v>
      </c>
      <c r="C1774" s="29" t="s">
        <v>33</v>
      </c>
      <c r="D1774" s="50" t="str">
        <f>VLOOKUP(C1774,Product!A$2:B$21,1,0)</f>
        <v>PD0004</v>
      </c>
      <c r="E1774" s="36">
        <v>135</v>
      </c>
      <c r="F1774" s="38">
        <v>25542000</v>
      </c>
      <c r="G1774" s="39" t="s">
        <v>4148</v>
      </c>
      <c r="H1774" s="12"/>
      <c r="L1774" s="12"/>
    </row>
    <row r="1775" spans="1:12" ht="15.75" customHeight="1" x14ac:dyDescent="0.3">
      <c r="A1775" s="17" t="s">
        <v>865</v>
      </c>
      <c r="B1775" s="50" t="str">
        <f>VLOOKUP(A1775,'Sales Order'!A$2:B$1029,1,0)</f>
        <v>SO0627</v>
      </c>
      <c r="C1775" s="29" t="s">
        <v>72</v>
      </c>
      <c r="D1775" s="50" t="str">
        <f>VLOOKUP(C1775,Product!A$2:B$21,1,0)</f>
        <v>PD0016</v>
      </c>
      <c r="E1775" s="36">
        <v>138</v>
      </c>
      <c r="F1775" s="38">
        <v>32424480</v>
      </c>
      <c r="G1775" s="39" t="s">
        <v>4149</v>
      </c>
      <c r="H1775" s="12"/>
      <c r="L1775" s="12"/>
    </row>
    <row r="1776" spans="1:12" ht="15.75" customHeight="1" x14ac:dyDescent="0.3">
      <c r="A1776" s="29" t="s">
        <v>865</v>
      </c>
      <c r="B1776" s="50" t="str">
        <f>VLOOKUP(A1776,'Sales Order'!A$2:B$1029,1,0)</f>
        <v>SO0627</v>
      </c>
      <c r="C1776" s="29" t="s">
        <v>75</v>
      </c>
      <c r="D1776" s="50" t="str">
        <f>VLOOKUP(C1776,Product!A$2:B$21,1,0)</f>
        <v>PD0017</v>
      </c>
      <c r="E1776" s="36">
        <v>84</v>
      </c>
      <c r="F1776" s="38">
        <v>169176000</v>
      </c>
      <c r="G1776" s="39" t="s">
        <v>4150</v>
      </c>
      <c r="H1776" s="12"/>
      <c r="L1776" s="12"/>
    </row>
    <row r="1777" spans="1:12" ht="15.75" customHeight="1" x14ac:dyDescent="0.3">
      <c r="A1777" s="29" t="s">
        <v>865</v>
      </c>
      <c r="B1777" s="50" t="str">
        <f>VLOOKUP(A1777,'Sales Order'!A$2:B$1029,1,0)</f>
        <v>SO0627</v>
      </c>
      <c r="C1777" s="29" t="s">
        <v>28</v>
      </c>
      <c r="D1777" s="50" t="str">
        <f>VLOOKUP(C1777,Product!A$2:B$21,1,0)</f>
        <v>PD0003</v>
      </c>
      <c r="E1777" s="36">
        <v>98</v>
      </c>
      <c r="F1777" s="38">
        <v>86676100</v>
      </c>
      <c r="G1777" s="39" t="s">
        <v>4151</v>
      </c>
      <c r="H1777" s="12"/>
      <c r="L1777" s="12"/>
    </row>
    <row r="1778" spans="1:12" ht="15.75" customHeight="1" x14ac:dyDescent="0.3">
      <c r="A1778" s="29" t="s">
        <v>865</v>
      </c>
      <c r="B1778" s="50" t="str">
        <f>VLOOKUP(A1778,'Sales Order'!A$2:B$1029,1,0)</f>
        <v>SO0627</v>
      </c>
      <c r="C1778" s="29" t="s">
        <v>61</v>
      </c>
      <c r="D1778" s="50" t="str">
        <f>VLOOKUP(C1778,Product!A$2:B$21,1,0)</f>
        <v>PD0013</v>
      </c>
      <c r="E1778" s="36">
        <v>52</v>
      </c>
      <c r="F1778" s="38">
        <v>19926400</v>
      </c>
      <c r="G1778" s="39" t="s">
        <v>4152</v>
      </c>
      <c r="H1778" s="12"/>
      <c r="L1778" s="12"/>
    </row>
    <row r="1779" spans="1:12" ht="15.75" customHeight="1" x14ac:dyDescent="0.3">
      <c r="A1779" s="17" t="s">
        <v>866</v>
      </c>
      <c r="B1779" s="50" t="str">
        <f>VLOOKUP(A1779,'Sales Order'!A$2:B$1029,1,0)</f>
        <v>SO0628</v>
      </c>
      <c r="C1779" s="29" t="s">
        <v>65</v>
      </c>
      <c r="D1779" s="50" t="str">
        <f>VLOOKUP(C1779,Product!A$2:B$21,1,0)</f>
        <v>PD0014</v>
      </c>
      <c r="E1779" s="36">
        <v>114</v>
      </c>
      <c r="F1779" s="38">
        <v>28916100</v>
      </c>
      <c r="G1779" s="39" t="s">
        <v>4153</v>
      </c>
      <c r="H1779" s="12"/>
      <c r="L1779" s="12"/>
    </row>
    <row r="1780" spans="1:12" ht="15.75" customHeight="1" x14ac:dyDescent="0.3">
      <c r="A1780" s="29" t="s">
        <v>866</v>
      </c>
      <c r="B1780" s="50" t="str">
        <f>VLOOKUP(A1780,'Sales Order'!A$2:B$1029,1,0)</f>
        <v>SO0628</v>
      </c>
      <c r="C1780" s="29" t="s">
        <v>43</v>
      </c>
      <c r="D1780" s="50" t="str">
        <f>VLOOKUP(C1780,Product!A$2:B$21,1,0)</f>
        <v>PD0007</v>
      </c>
      <c r="E1780" s="36">
        <v>35</v>
      </c>
      <c r="F1780" s="38">
        <v>101920000</v>
      </c>
      <c r="G1780" s="39" t="s">
        <v>4154</v>
      </c>
      <c r="H1780" s="12"/>
      <c r="L1780" s="12"/>
    </row>
    <row r="1781" spans="1:12" ht="15.75" customHeight="1" x14ac:dyDescent="0.3">
      <c r="A1781" s="29" t="s">
        <v>866</v>
      </c>
      <c r="B1781" s="50" t="str">
        <f>VLOOKUP(A1781,'Sales Order'!A$2:B$1029,1,0)</f>
        <v>SO0628</v>
      </c>
      <c r="C1781" s="29" t="s">
        <v>81</v>
      </c>
      <c r="D1781" s="50" t="str">
        <f>VLOOKUP(C1781,Product!A$2:B$21,1,0)</f>
        <v>PD0019</v>
      </c>
      <c r="E1781" s="36">
        <v>118</v>
      </c>
      <c r="F1781" s="38">
        <v>252656880</v>
      </c>
      <c r="G1781" s="39" t="s">
        <v>4155</v>
      </c>
      <c r="H1781" s="12"/>
      <c r="L1781" s="12"/>
    </row>
    <row r="1782" spans="1:12" ht="15.75" customHeight="1" x14ac:dyDescent="0.3">
      <c r="A1782" s="17" t="s">
        <v>867</v>
      </c>
      <c r="B1782" s="50" t="str">
        <f>VLOOKUP(A1782,'Sales Order'!A$2:B$1029,1,0)</f>
        <v>SO0629</v>
      </c>
      <c r="C1782" s="29" t="s">
        <v>69</v>
      </c>
      <c r="D1782" s="50" t="str">
        <f>VLOOKUP(C1782,Product!A$2:B$21,1,0)</f>
        <v>PD0015</v>
      </c>
      <c r="E1782" s="36">
        <v>148</v>
      </c>
      <c r="F1782" s="38">
        <v>16693956</v>
      </c>
      <c r="G1782" s="39" t="s">
        <v>4156</v>
      </c>
      <c r="H1782" s="12"/>
      <c r="L1782" s="12"/>
    </row>
    <row r="1783" spans="1:12" ht="15.75" customHeight="1" x14ac:dyDescent="0.3">
      <c r="A1783" s="29" t="s">
        <v>867</v>
      </c>
      <c r="B1783" s="50" t="str">
        <f>VLOOKUP(A1783,'Sales Order'!A$2:B$1029,1,0)</f>
        <v>SO0629</v>
      </c>
      <c r="C1783" s="29" t="s">
        <v>81</v>
      </c>
      <c r="D1783" s="50" t="str">
        <f>VLOOKUP(C1783,Product!A$2:B$21,1,0)</f>
        <v>PD0019</v>
      </c>
      <c r="E1783" s="36">
        <v>104</v>
      </c>
      <c r="F1783" s="38">
        <v>209425840</v>
      </c>
      <c r="G1783" s="39" t="s">
        <v>4157</v>
      </c>
      <c r="H1783" s="12"/>
      <c r="L1783" s="12"/>
    </row>
    <row r="1784" spans="1:12" ht="15.75" customHeight="1" x14ac:dyDescent="0.3">
      <c r="A1784" s="29" t="s">
        <v>867</v>
      </c>
      <c r="B1784" s="50" t="str">
        <f>VLOOKUP(A1784,'Sales Order'!A$2:B$1029,1,0)</f>
        <v>SO0629</v>
      </c>
      <c r="C1784" s="29" t="s">
        <v>40</v>
      </c>
      <c r="D1784" s="50" t="str">
        <f>VLOOKUP(C1784,Product!A$2:B$21,1,0)</f>
        <v>PD0006</v>
      </c>
      <c r="E1784" s="36">
        <v>59</v>
      </c>
      <c r="F1784" s="38">
        <v>11344520</v>
      </c>
      <c r="G1784" s="39" t="s">
        <v>4158</v>
      </c>
      <c r="H1784" s="12"/>
      <c r="L1784" s="12"/>
    </row>
    <row r="1785" spans="1:12" ht="15.75" customHeight="1" x14ac:dyDescent="0.3">
      <c r="A1785" s="17" t="s">
        <v>868</v>
      </c>
      <c r="B1785" s="50" t="str">
        <f>VLOOKUP(A1785,'Sales Order'!A$2:B$1029,1,0)</f>
        <v>SO0630</v>
      </c>
      <c r="C1785" s="29" t="s">
        <v>43</v>
      </c>
      <c r="D1785" s="50" t="str">
        <f>VLOOKUP(C1785,Product!A$2:B$21,1,0)</f>
        <v>PD0007</v>
      </c>
      <c r="E1785" s="36">
        <v>27</v>
      </c>
      <c r="F1785" s="38">
        <v>70848000</v>
      </c>
      <c r="G1785" s="39" t="s">
        <v>4159</v>
      </c>
      <c r="H1785" s="12"/>
      <c r="L1785" s="12"/>
    </row>
    <row r="1786" spans="1:12" ht="15.75" customHeight="1" x14ac:dyDescent="0.3">
      <c r="A1786" s="29" t="s">
        <v>868</v>
      </c>
      <c r="B1786" s="50" t="str">
        <f>VLOOKUP(A1786,'Sales Order'!A$2:B$1029,1,0)</f>
        <v>SO0630</v>
      </c>
      <c r="C1786" s="29" t="s">
        <v>78</v>
      </c>
      <c r="D1786" s="50" t="str">
        <f>VLOOKUP(C1786,Product!A$2:B$21,1,0)</f>
        <v>PD0018</v>
      </c>
      <c r="E1786" s="36">
        <v>150</v>
      </c>
      <c r="F1786" s="38">
        <v>75012000</v>
      </c>
      <c r="G1786" s="39" t="s">
        <v>4160</v>
      </c>
      <c r="H1786" s="12"/>
      <c r="L1786" s="12"/>
    </row>
    <row r="1787" spans="1:12" ht="15.75" customHeight="1" x14ac:dyDescent="0.3">
      <c r="A1787" s="29" t="s">
        <v>868</v>
      </c>
      <c r="B1787" s="50" t="str">
        <f>VLOOKUP(A1787,'Sales Order'!A$2:B$1029,1,0)</f>
        <v>SO0630</v>
      </c>
      <c r="C1787" s="29" t="s">
        <v>19</v>
      </c>
      <c r="D1787" s="50" t="str">
        <f>VLOOKUP(C1787,Product!A$2:B$21,1,0)</f>
        <v>PD0001</v>
      </c>
      <c r="E1787" s="36">
        <v>36</v>
      </c>
      <c r="F1787" s="38">
        <v>7888320</v>
      </c>
      <c r="G1787" s="39" t="s">
        <v>4161</v>
      </c>
      <c r="H1787" s="12"/>
      <c r="L1787" s="12"/>
    </row>
    <row r="1788" spans="1:12" ht="15.75" customHeight="1" x14ac:dyDescent="0.3">
      <c r="A1788" s="17" t="s">
        <v>869</v>
      </c>
      <c r="B1788" s="50" t="str">
        <f>VLOOKUP(A1788,'Sales Order'!A$2:B$1029,1,0)</f>
        <v>SO0631</v>
      </c>
      <c r="C1788" s="29" t="s">
        <v>40</v>
      </c>
      <c r="D1788" s="50" t="str">
        <f>VLOOKUP(C1788,Product!A$2:B$21,1,0)</f>
        <v>PD0006</v>
      </c>
      <c r="E1788" s="36">
        <v>99</v>
      </c>
      <c r="F1788" s="38">
        <v>15932070</v>
      </c>
      <c r="G1788" s="39" t="s">
        <v>4162</v>
      </c>
      <c r="H1788" s="12"/>
      <c r="L1788" s="12"/>
    </row>
    <row r="1789" spans="1:12" ht="15.75" customHeight="1" x14ac:dyDescent="0.3">
      <c r="A1789" s="29" t="s">
        <v>869</v>
      </c>
      <c r="B1789" s="50" t="str">
        <f>VLOOKUP(A1789,'Sales Order'!A$2:B$1029,1,0)</f>
        <v>SO0631</v>
      </c>
      <c r="C1789" s="29" t="s">
        <v>81</v>
      </c>
      <c r="D1789" s="50" t="str">
        <f>VLOOKUP(C1789,Product!A$2:B$21,1,0)</f>
        <v>PD0019</v>
      </c>
      <c r="E1789" s="36">
        <v>61</v>
      </c>
      <c r="F1789" s="38">
        <v>125946090.00000001</v>
      </c>
      <c r="G1789" s="39" t="s">
        <v>4163</v>
      </c>
      <c r="H1789" s="12"/>
      <c r="L1789" s="12"/>
    </row>
    <row r="1790" spans="1:12" ht="15.75" customHeight="1" x14ac:dyDescent="0.3">
      <c r="A1790" s="29" t="s">
        <v>869</v>
      </c>
      <c r="B1790" s="50" t="str">
        <f>VLOOKUP(A1790,'Sales Order'!A$2:B$1029,1,0)</f>
        <v>SO0631</v>
      </c>
      <c r="C1790" s="29" t="s">
        <v>28</v>
      </c>
      <c r="D1790" s="50" t="str">
        <f>VLOOKUP(C1790,Product!A$2:B$21,1,0)</f>
        <v>PD0003</v>
      </c>
      <c r="E1790" s="36">
        <v>56</v>
      </c>
      <c r="F1790" s="38">
        <v>43272880</v>
      </c>
      <c r="G1790" s="39" t="s">
        <v>4164</v>
      </c>
      <c r="H1790" s="12"/>
      <c r="L1790" s="12"/>
    </row>
    <row r="1791" spans="1:12" ht="15.75" customHeight="1" x14ac:dyDescent="0.3">
      <c r="A1791" s="29" t="s">
        <v>870</v>
      </c>
      <c r="B1791" s="50" t="str">
        <f>VLOOKUP(A1791,'Sales Order'!A$2:B$1029,1,0)</f>
        <v>SO0632</v>
      </c>
      <c r="C1791" s="29" t="s">
        <v>65</v>
      </c>
      <c r="D1791" s="50" t="str">
        <f>VLOOKUP(C1791,Product!A$2:B$21,1,0)</f>
        <v>PD0014</v>
      </c>
      <c r="E1791" s="36">
        <v>68</v>
      </c>
      <c r="F1791" s="38">
        <v>15614160</v>
      </c>
      <c r="G1791" s="39" t="s">
        <v>4165</v>
      </c>
      <c r="H1791" s="12"/>
      <c r="L1791" s="12"/>
    </row>
    <row r="1792" spans="1:12" ht="15.75" customHeight="1" x14ac:dyDescent="0.3">
      <c r="A1792" s="29" t="s">
        <v>870</v>
      </c>
      <c r="B1792" s="50" t="str">
        <f>VLOOKUP(A1792,'Sales Order'!A$2:B$1029,1,0)</f>
        <v>SO0632</v>
      </c>
      <c r="C1792" s="29" t="s">
        <v>81</v>
      </c>
      <c r="D1792" s="50" t="str">
        <f>VLOOKUP(C1792,Product!A$2:B$21,1,0)</f>
        <v>PD0019</v>
      </c>
      <c r="E1792" s="36">
        <v>66</v>
      </c>
      <c r="F1792" s="38">
        <v>154775280</v>
      </c>
      <c r="G1792" s="39" t="s">
        <v>4166</v>
      </c>
      <c r="H1792" s="12"/>
      <c r="L1792" s="12"/>
    </row>
    <row r="1793" spans="1:12" ht="15.75" customHeight="1" x14ac:dyDescent="0.3">
      <c r="A1793" s="17" t="s">
        <v>871</v>
      </c>
      <c r="B1793" s="50" t="str">
        <f>VLOOKUP(A1793,'Sales Order'!A$2:B$1029,1,0)</f>
        <v>SO0633</v>
      </c>
      <c r="C1793" s="29" t="s">
        <v>43</v>
      </c>
      <c r="D1793" s="50" t="str">
        <f>VLOOKUP(C1793,Product!A$2:B$21,1,0)</f>
        <v>PD0007</v>
      </c>
      <c r="E1793" s="36">
        <v>147</v>
      </c>
      <c r="F1793" s="38">
        <v>428064000</v>
      </c>
      <c r="G1793" s="39" t="s">
        <v>4167</v>
      </c>
      <c r="H1793" s="12"/>
      <c r="L1793" s="12"/>
    </row>
    <row r="1794" spans="1:12" ht="15.75" customHeight="1" x14ac:dyDescent="0.3">
      <c r="A1794" s="29" t="s">
        <v>871</v>
      </c>
      <c r="B1794" s="50" t="str">
        <f>VLOOKUP(A1794,'Sales Order'!A$2:B$1029,1,0)</f>
        <v>SO0633</v>
      </c>
      <c r="C1794" s="29" t="s">
        <v>58</v>
      </c>
      <c r="D1794" s="50" t="str">
        <f>VLOOKUP(C1794,Product!A$2:B$21,1,0)</f>
        <v>PD0012</v>
      </c>
      <c r="E1794" s="36">
        <v>77</v>
      </c>
      <c r="F1794" s="38">
        <v>408150820</v>
      </c>
      <c r="G1794" s="39" t="s">
        <v>4168</v>
      </c>
      <c r="H1794" s="12"/>
      <c r="L1794" s="12"/>
    </row>
    <row r="1795" spans="1:12" ht="15.75" customHeight="1" x14ac:dyDescent="0.3">
      <c r="A1795" s="29" t="s">
        <v>871</v>
      </c>
      <c r="B1795" s="50" t="str">
        <f>VLOOKUP(A1795,'Sales Order'!A$2:B$1029,1,0)</f>
        <v>SO0633</v>
      </c>
      <c r="C1795" s="29" t="s">
        <v>45</v>
      </c>
      <c r="D1795" s="50" t="str">
        <f>VLOOKUP(C1795,Product!A$2:B$21,1,0)</f>
        <v>PD0008</v>
      </c>
      <c r="E1795" s="36">
        <v>84</v>
      </c>
      <c r="F1795" s="38">
        <v>11139240</v>
      </c>
      <c r="G1795" s="39" t="s">
        <v>4169</v>
      </c>
      <c r="H1795" s="12"/>
      <c r="L1795" s="12"/>
    </row>
    <row r="1796" spans="1:12" ht="15.75" customHeight="1" x14ac:dyDescent="0.3">
      <c r="A1796" s="17" t="s">
        <v>872</v>
      </c>
      <c r="B1796" s="50" t="str">
        <f>VLOOKUP(A1796,'Sales Order'!A$2:B$1029,1,0)</f>
        <v>SO0634</v>
      </c>
      <c r="C1796" s="29" t="s">
        <v>69</v>
      </c>
      <c r="D1796" s="50" t="str">
        <f>VLOOKUP(C1796,Product!A$2:B$21,1,0)</f>
        <v>PD0015</v>
      </c>
      <c r="E1796" s="36">
        <v>90</v>
      </c>
      <c r="F1796" s="38">
        <v>10396350</v>
      </c>
      <c r="G1796" s="39" t="s">
        <v>4170</v>
      </c>
      <c r="H1796" s="12"/>
      <c r="L1796" s="12"/>
    </row>
    <row r="1797" spans="1:12" ht="15.75" customHeight="1" x14ac:dyDescent="0.3">
      <c r="A1797" s="29" t="s">
        <v>872</v>
      </c>
      <c r="B1797" s="50" t="str">
        <f>VLOOKUP(A1797,'Sales Order'!A$2:B$1029,1,0)</f>
        <v>SO0634</v>
      </c>
      <c r="C1797" s="29" t="s">
        <v>65</v>
      </c>
      <c r="D1797" s="50" t="str">
        <f>VLOOKUP(C1797,Product!A$2:B$21,1,0)</f>
        <v>PD0014</v>
      </c>
      <c r="E1797" s="36">
        <v>74</v>
      </c>
      <c r="F1797" s="38">
        <v>16794300</v>
      </c>
      <c r="G1797" s="39" t="s">
        <v>4171</v>
      </c>
      <c r="H1797" s="12"/>
      <c r="L1797" s="12"/>
    </row>
    <row r="1798" spans="1:12" ht="15.75" customHeight="1" x14ac:dyDescent="0.3">
      <c r="A1798" s="17" t="s">
        <v>873</v>
      </c>
      <c r="B1798" s="50" t="str">
        <f>VLOOKUP(A1798,'Sales Order'!A$2:B$1029,1,0)</f>
        <v>SO0635</v>
      </c>
      <c r="C1798" s="29" t="s">
        <v>35</v>
      </c>
      <c r="D1798" s="50" t="str">
        <f>VLOOKUP(C1798,Product!A$2:B$21,1,0)</f>
        <v>PD0005</v>
      </c>
      <c r="E1798" s="36">
        <v>52</v>
      </c>
      <c r="F1798" s="38">
        <v>97019000</v>
      </c>
      <c r="G1798" s="39" t="s">
        <v>4172</v>
      </c>
      <c r="H1798" s="12"/>
      <c r="L1798" s="12"/>
    </row>
    <row r="1799" spans="1:12" ht="15.75" customHeight="1" x14ac:dyDescent="0.3">
      <c r="A1799" s="29" t="s">
        <v>873</v>
      </c>
      <c r="B1799" s="50" t="str">
        <f>VLOOKUP(A1799,'Sales Order'!A$2:B$1029,1,0)</f>
        <v>SO0635</v>
      </c>
      <c r="C1799" s="29" t="s">
        <v>78</v>
      </c>
      <c r="D1799" s="50" t="str">
        <f>VLOOKUP(C1799,Product!A$2:B$21,1,0)</f>
        <v>PD0018</v>
      </c>
      <c r="E1799" s="36">
        <v>97</v>
      </c>
      <c r="F1799" s="38">
        <v>45927560</v>
      </c>
      <c r="G1799" s="39" t="s">
        <v>4173</v>
      </c>
      <c r="H1799" s="12"/>
      <c r="L1799" s="12"/>
    </row>
    <row r="1800" spans="1:12" ht="15.75" customHeight="1" x14ac:dyDescent="0.3">
      <c r="A1800" s="29" t="s">
        <v>873</v>
      </c>
      <c r="B1800" s="50" t="str">
        <f>VLOOKUP(A1800,'Sales Order'!A$2:B$1029,1,0)</f>
        <v>SO0635</v>
      </c>
      <c r="C1800" s="29" t="s">
        <v>43</v>
      </c>
      <c r="D1800" s="50" t="str">
        <f>VLOOKUP(C1800,Product!A$2:B$21,1,0)</f>
        <v>PD0007</v>
      </c>
      <c r="E1800" s="36">
        <v>70</v>
      </c>
      <c r="F1800" s="38">
        <v>172480000</v>
      </c>
      <c r="G1800" s="39" t="s">
        <v>4174</v>
      </c>
      <c r="H1800" s="12"/>
      <c r="L1800" s="12"/>
    </row>
    <row r="1801" spans="1:12" ht="15.75" customHeight="1" x14ac:dyDescent="0.3">
      <c r="A1801" s="29" t="s">
        <v>873</v>
      </c>
      <c r="B1801" s="50" t="str">
        <f>VLOOKUP(A1801,'Sales Order'!A$2:B$1029,1,0)</f>
        <v>SO0635</v>
      </c>
      <c r="C1801" s="29" t="s">
        <v>25</v>
      </c>
      <c r="D1801" s="50" t="str">
        <f>VLOOKUP(C1801,Product!A$2:B$21,1,0)</f>
        <v>PD0002</v>
      </c>
      <c r="E1801" s="36">
        <v>128</v>
      </c>
      <c r="F1801" s="38">
        <v>2252800</v>
      </c>
      <c r="G1801" s="39" t="s">
        <v>4175</v>
      </c>
      <c r="H1801" s="12"/>
      <c r="L1801" s="12"/>
    </row>
    <row r="1802" spans="1:12" ht="15.75" customHeight="1" x14ac:dyDescent="0.3">
      <c r="A1802" s="29" t="s">
        <v>873</v>
      </c>
      <c r="B1802" s="50" t="str">
        <f>VLOOKUP(A1802,'Sales Order'!A$2:B$1029,1,0)</f>
        <v>SO0635</v>
      </c>
      <c r="C1802" s="29" t="s">
        <v>19</v>
      </c>
      <c r="D1802" s="50" t="str">
        <f>VLOOKUP(C1802,Product!A$2:B$21,1,0)</f>
        <v>PD0001</v>
      </c>
      <c r="E1802" s="36">
        <v>85</v>
      </c>
      <c r="F1802" s="38">
        <v>19895100</v>
      </c>
      <c r="G1802" s="39" t="s">
        <v>4176</v>
      </c>
      <c r="H1802" s="12"/>
      <c r="L1802" s="12"/>
    </row>
    <row r="1803" spans="1:12" ht="15.75" customHeight="1" x14ac:dyDescent="0.3">
      <c r="A1803" s="29" t="s">
        <v>873</v>
      </c>
      <c r="B1803" s="50" t="str">
        <f>VLOOKUP(A1803,'Sales Order'!A$2:B$1029,1,0)</f>
        <v>SO0635</v>
      </c>
      <c r="C1803" s="29" t="s">
        <v>48</v>
      </c>
      <c r="D1803" s="50" t="str">
        <f>VLOOKUP(C1803,Product!A$2:B$21,1,0)</f>
        <v>PD0009</v>
      </c>
      <c r="E1803" s="36">
        <v>37</v>
      </c>
      <c r="F1803" s="38">
        <v>3770670</v>
      </c>
      <c r="G1803" s="39" t="s">
        <v>4177</v>
      </c>
      <c r="H1803" s="12"/>
      <c r="L1803" s="12"/>
    </row>
    <row r="1804" spans="1:12" ht="15.75" customHeight="1" x14ac:dyDescent="0.3">
      <c r="A1804" s="17" t="s">
        <v>874</v>
      </c>
      <c r="B1804" s="50" t="str">
        <f>VLOOKUP(A1804,'Sales Order'!A$2:B$1029,1,0)</f>
        <v>SO0636</v>
      </c>
      <c r="C1804" s="29" t="s">
        <v>55</v>
      </c>
      <c r="D1804" s="50" t="str">
        <f>VLOOKUP(C1804,Product!A$2:B$21,1,0)</f>
        <v>PD0011</v>
      </c>
      <c r="E1804" s="36">
        <v>144</v>
      </c>
      <c r="F1804" s="38">
        <v>258168960</v>
      </c>
      <c r="G1804" s="39" t="s">
        <v>4178</v>
      </c>
      <c r="H1804" s="12"/>
      <c r="L1804" s="12"/>
    </row>
    <row r="1805" spans="1:12" ht="15.75" customHeight="1" x14ac:dyDescent="0.3">
      <c r="A1805" s="29" t="s">
        <v>874</v>
      </c>
      <c r="B1805" s="50" t="str">
        <f>VLOOKUP(A1805,'Sales Order'!A$2:B$1029,1,0)</f>
        <v>SO0636</v>
      </c>
      <c r="C1805" s="29" t="s">
        <v>78</v>
      </c>
      <c r="D1805" s="50" t="str">
        <f>VLOOKUP(C1805,Product!A$2:B$21,1,0)</f>
        <v>PD0018</v>
      </c>
      <c r="E1805" s="36">
        <v>95</v>
      </c>
      <c r="F1805" s="38">
        <v>40937400</v>
      </c>
      <c r="G1805" s="39" t="s">
        <v>4179</v>
      </c>
      <c r="H1805" s="12"/>
      <c r="L1805" s="12"/>
    </row>
    <row r="1806" spans="1:12" ht="15.75" customHeight="1" x14ac:dyDescent="0.3">
      <c r="A1806" s="17" t="s">
        <v>875</v>
      </c>
      <c r="B1806" s="50" t="str">
        <f>VLOOKUP(A1806,'Sales Order'!A$2:B$1029,1,0)</f>
        <v>SO0637</v>
      </c>
      <c r="C1806" s="29" t="s">
        <v>75</v>
      </c>
      <c r="D1806" s="50" t="str">
        <f>VLOOKUP(C1806,Product!A$2:B$21,1,0)</f>
        <v>PD0017</v>
      </c>
      <c r="E1806" s="36">
        <v>35</v>
      </c>
      <c r="F1806" s="38">
        <v>79765000</v>
      </c>
      <c r="G1806" s="39" t="s">
        <v>4180</v>
      </c>
      <c r="H1806" s="12"/>
      <c r="L1806" s="12"/>
    </row>
    <row r="1807" spans="1:12" ht="15.75" customHeight="1" x14ac:dyDescent="0.3">
      <c r="A1807" s="29" t="s">
        <v>875</v>
      </c>
      <c r="B1807" s="50" t="str">
        <f>VLOOKUP(A1807,'Sales Order'!A$2:B$1029,1,0)</f>
        <v>SO0637</v>
      </c>
      <c r="C1807" s="29" t="s">
        <v>40</v>
      </c>
      <c r="D1807" s="50" t="str">
        <f>VLOOKUP(C1807,Product!A$2:B$21,1,0)</f>
        <v>PD0006</v>
      </c>
      <c r="E1807" s="36">
        <v>73</v>
      </c>
      <c r="F1807" s="38">
        <v>14494150</v>
      </c>
      <c r="G1807" s="39" t="s">
        <v>4181</v>
      </c>
      <c r="H1807" s="12"/>
      <c r="L1807" s="12"/>
    </row>
    <row r="1808" spans="1:12" ht="15.75" customHeight="1" x14ac:dyDescent="0.3">
      <c r="A1808" s="29" t="s">
        <v>875</v>
      </c>
      <c r="B1808" s="50" t="str">
        <f>VLOOKUP(A1808,'Sales Order'!A$2:B$1029,1,0)</f>
        <v>SO0637</v>
      </c>
      <c r="C1808" s="29" t="s">
        <v>19</v>
      </c>
      <c r="D1808" s="50" t="str">
        <f>VLOOKUP(C1808,Product!A$2:B$21,1,0)</f>
        <v>PD0001</v>
      </c>
      <c r="E1808" s="36">
        <v>34</v>
      </c>
      <c r="F1808" s="38">
        <v>6603480</v>
      </c>
      <c r="G1808" s="39" t="s">
        <v>4182</v>
      </c>
      <c r="H1808" s="12"/>
      <c r="L1808" s="12"/>
    </row>
    <row r="1809" spans="1:12" ht="15.75" customHeight="1" x14ac:dyDescent="0.3">
      <c r="A1809" s="17" t="s">
        <v>876</v>
      </c>
      <c r="B1809" s="50" t="str">
        <f>VLOOKUP(A1809,'Sales Order'!A$2:B$1029,1,0)</f>
        <v>SO0638</v>
      </c>
      <c r="C1809" s="29" t="s">
        <v>45</v>
      </c>
      <c r="D1809" s="50" t="str">
        <f>VLOOKUP(C1809,Product!A$2:B$21,1,0)</f>
        <v>PD0008</v>
      </c>
      <c r="E1809" s="36">
        <v>132</v>
      </c>
      <c r="F1809" s="38">
        <v>18094560</v>
      </c>
      <c r="G1809" s="39" t="s">
        <v>4183</v>
      </c>
      <c r="H1809" s="12"/>
      <c r="L1809" s="12"/>
    </row>
    <row r="1810" spans="1:12" ht="15.75" customHeight="1" x14ac:dyDescent="0.3">
      <c r="A1810" s="29" t="s">
        <v>876</v>
      </c>
      <c r="B1810" s="50" t="str">
        <f>VLOOKUP(A1810,'Sales Order'!A$2:B$1029,1,0)</f>
        <v>SO0638</v>
      </c>
      <c r="C1810" s="29" t="s">
        <v>69</v>
      </c>
      <c r="D1810" s="50" t="str">
        <f>VLOOKUP(C1810,Product!A$2:B$21,1,0)</f>
        <v>PD0015</v>
      </c>
      <c r="E1810" s="36">
        <v>128</v>
      </c>
      <c r="F1810" s="38">
        <v>13220352</v>
      </c>
      <c r="G1810" s="39" t="s">
        <v>4184</v>
      </c>
      <c r="H1810" s="12"/>
      <c r="L1810" s="12"/>
    </row>
    <row r="1811" spans="1:12" ht="15.75" customHeight="1" x14ac:dyDescent="0.3">
      <c r="A1811" s="29" t="s">
        <v>876</v>
      </c>
      <c r="B1811" s="50" t="str">
        <f>VLOOKUP(A1811,'Sales Order'!A$2:B$1029,1,0)</f>
        <v>SO0638</v>
      </c>
      <c r="C1811" s="29" t="s">
        <v>65</v>
      </c>
      <c r="D1811" s="50" t="str">
        <f>VLOOKUP(C1811,Product!A$2:B$21,1,0)</f>
        <v>PD0014</v>
      </c>
      <c r="E1811" s="36">
        <v>132</v>
      </c>
      <c r="F1811" s="38">
        <v>30309840</v>
      </c>
      <c r="G1811" s="39" t="s">
        <v>4185</v>
      </c>
      <c r="H1811" s="12"/>
      <c r="L1811" s="12"/>
    </row>
    <row r="1812" spans="1:12" ht="15.75" customHeight="1" x14ac:dyDescent="0.3">
      <c r="A1812" s="17" t="s">
        <v>877</v>
      </c>
      <c r="B1812" s="50" t="str">
        <f>VLOOKUP(A1812,'Sales Order'!A$2:B$1029,1,0)</f>
        <v>SO0639</v>
      </c>
      <c r="C1812" s="29" t="s">
        <v>35</v>
      </c>
      <c r="D1812" s="50" t="str">
        <f>VLOOKUP(C1812,Product!A$2:B$21,1,0)</f>
        <v>PD0005</v>
      </c>
      <c r="E1812" s="36">
        <v>68</v>
      </c>
      <c r="F1812" s="38">
        <v>128363600</v>
      </c>
      <c r="G1812" s="39" t="s">
        <v>4186</v>
      </c>
      <c r="H1812" s="12"/>
      <c r="L1812" s="12"/>
    </row>
    <row r="1813" spans="1:12" ht="15.75" customHeight="1" x14ac:dyDescent="0.3">
      <c r="A1813" s="29" t="s">
        <v>877</v>
      </c>
      <c r="B1813" s="50" t="str">
        <f>VLOOKUP(A1813,'Sales Order'!A$2:B$1029,1,0)</f>
        <v>SO0639</v>
      </c>
      <c r="C1813" s="29" t="s">
        <v>25</v>
      </c>
      <c r="D1813" s="50" t="str">
        <f>VLOOKUP(C1813,Product!A$2:B$21,1,0)</f>
        <v>PD0002</v>
      </c>
      <c r="E1813" s="36">
        <v>138</v>
      </c>
      <c r="F1813" s="38">
        <v>2594400</v>
      </c>
      <c r="G1813" s="39" t="s">
        <v>4187</v>
      </c>
      <c r="H1813" s="12"/>
      <c r="L1813" s="12"/>
    </row>
    <row r="1814" spans="1:12" ht="15.75" customHeight="1" x14ac:dyDescent="0.3">
      <c r="A1814" s="29" t="s">
        <v>877</v>
      </c>
      <c r="B1814" s="50" t="str">
        <f>VLOOKUP(A1814,'Sales Order'!A$2:B$1029,1,0)</f>
        <v>SO0639</v>
      </c>
      <c r="C1814" s="29" t="s">
        <v>40</v>
      </c>
      <c r="D1814" s="50" t="str">
        <f>VLOOKUP(C1814,Product!A$2:B$21,1,0)</f>
        <v>PD0006</v>
      </c>
      <c r="E1814" s="36">
        <v>34</v>
      </c>
      <c r="F1814" s="38">
        <v>5684800</v>
      </c>
      <c r="G1814" s="39" t="s">
        <v>4188</v>
      </c>
      <c r="H1814" s="12"/>
      <c r="L1814" s="12"/>
    </row>
    <row r="1815" spans="1:12" ht="15.75" customHeight="1" x14ac:dyDescent="0.3">
      <c r="A1815" s="29" t="s">
        <v>877</v>
      </c>
      <c r="B1815" s="50" t="str">
        <f>VLOOKUP(A1815,'Sales Order'!A$2:B$1029,1,0)</f>
        <v>SO0639</v>
      </c>
      <c r="C1815" s="29" t="s">
        <v>52</v>
      </c>
      <c r="D1815" s="50" t="str">
        <f>VLOOKUP(C1815,Product!A$2:B$21,1,0)</f>
        <v>PD0010</v>
      </c>
      <c r="E1815" s="36">
        <v>92</v>
      </c>
      <c r="F1815" s="38">
        <v>23621000</v>
      </c>
      <c r="G1815" s="39" t="s">
        <v>4189</v>
      </c>
      <c r="H1815" s="12"/>
      <c r="L1815" s="12"/>
    </row>
    <row r="1816" spans="1:12" ht="15.75" customHeight="1" x14ac:dyDescent="0.3">
      <c r="A1816" s="17" t="s">
        <v>878</v>
      </c>
      <c r="B1816" s="50" t="str">
        <f>VLOOKUP(A1816,'Sales Order'!A$2:B$1029,1,0)</f>
        <v>SO0640</v>
      </c>
      <c r="C1816" s="29" t="s">
        <v>28</v>
      </c>
      <c r="D1816" s="50" t="str">
        <f>VLOOKUP(C1816,Product!A$2:B$21,1,0)</f>
        <v>PD0003</v>
      </c>
      <c r="E1816" s="36">
        <v>124</v>
      </c>
      <c r="F1816" s="38">
        <v>88891880</v>
      </c>
      <c r="G1816" s="39" t="s">
        <v>4190</v>
      </c>
      <c r="H1816" s="12"/>
      <c r="L1816" s="12"/>
    </row>
    <row r="1817" spans="1:12" ht="15.75" customHeight="1" x14ac:dyDescent="0.3">
      <c r="A1817" s="29" t="s">
        <v>878</v>
      </c>
      <c r="B1817" s="50" t="str">
        <f>VLOOKUP(A1817,'Sales Order'!A$2:B$1029,1,0)</f>
        <v>SO0640</v>
      </c>
      <c r="C1817" s="29" t="s">
        <v>58</v>
      </c>
      <c r="D1817" s="50" t="str">
        <f>VLOOKUP(C1817,Product!A$2:B$21,1,0)</f>
        <v>PD0012</v>
      </c>
      <c r="E1817" s="36">
        <v>61</v>
      </c>
      <c r="F1817" s="38">
        <v>288942360</v>
      </c>
      <c r="G1817" s="39" t="s">
        <v>4191</v>
      </c>
      <c r="H1817" s="12"/>
      <c r="L1817" s="12"/>
    </row>
    <row r="1818" spans="1:12" ht="15.75" customHeight="1" x14ac:dyDescent="0.3">
      <c r="A1818" s="17" t="s">
        <v>879</v>
      </c>
      <c r="B1818" s="50" t="str">
        <f>VLOOKUP(A1818,'Sales Order'!A$2:B$1029,1,0)</f>
        <v>SO0641</v>
      </c>
      <c r="C1818" s="29" t="s">
        <v>33</v>
      </c>
      <c r="D1818" s="50" t="str">
        <f>VLOOKUP(C1818,Product!A$2:B$21,1,0)</f>
        <v>PD0004</v>
      </c>
      <c r="E1818" s="36">
        <v>47</v>
      </c>
      <c r="F1818" s="38">
        <v>9719600</v>
      </c>
      <c r="G1818" s="39" t="s">
        <v>4192</v>
      </c>
      <c r="H1818" s="12"/>
      <c r="L1818" s="12"/>
    </row>
    <row r="1819" spans="1:12" ht="15.75" customHeight="1" x14ac:dyDescent="0.3">
      <c r="A1819" s="29" t="s">
        <v>879</v>
      </c>
      <c r="B1819" s="50" t="str">
        <f>VLOOKUP(A1819,'Sales Order'!A$2:B$1029,1,0)</f>
        <v>SO0641</v>
      </c>
      <c r="C1819" s="29" t="s">
        <v>48</v>
      </c>
      <c r="D1819" s="50" t="str">
        <f>VLOOKUP(C1819,Product!A$2:B$21,1,0)</f>
        <v>PD0009</v>
      </c>
      <c r="E1819" s="36">
        <v>113</v>
      </c>
      <c r="F1819" s="38">
        <v>12536220</v>
      </c>
      <c r="G1819" s="39" t="s">
        <v>4193</v>
      </c>
      <c r="H1819" s="12"/>
      <c r="L1819" s="12"/>
    </row>
    <row r="1820" spans="1:12" ht="15.75" customHeight="1" x14ac:dyDescent="0.3">
      <c r="A1820" s="29" t="s">
        <v>879</v>
      </c>
      <c r="B1820" s="50" t="str">
        <f>VLOOKUP(A1820,'Sales Order'!A$2:B$1029,1,0)</f>
        <v>SO0641</v>
      </c>
      <c r="C1820" s="29" t="s">
        <v>19</v>
      </c>
      <c r="D1820" s="50" t="str">
        <f>VLOOKUP(C1820,Product!A$2:B$21,1,0)</f>
        <v>PD0001</v>
      </c>
      <c r="E1820" s="36">
        <v>27</v>
      </c>
      <c r="F1820" s="38">
        <v>5781780</v>
      </c>
      <c r="G1820" s="39" t="s">
        <v>4194</v>
      </c>
      <c r="H1820" s="12"/>
      <c r="L1820" s="12"/>
    </row>
    <row r="1821" spans="1:12" ht="15.75" customHeight="1" x14ac:dyDescent="0.3">
      <c r="A1821" s="29" t="s">
        <v>880</v>
      </c>
      <c r="B1821" s="50" t="str">
        <f>VLOOKUP(A1821,'Sales Order'!A$2:B$1029,1,0)</f>
        <v>SO0642</v>
      </c>
      <c r="C1821" s="29" t="s">
        <v>69</v>
      </c>
      <c r="D1821" s="50" t="str">
        <f>VLOOKUP(C1821,Product!A$2:B$21,1,0)</f>
        <v>PD0015</v>
      </c>
      <c r="E1821" s="36">
        <v>41</v>
      </c>
      <c r="F1821" s="38">
        <v>5293305</v>
      </c>
      <c r="G1821" s="39" t="s">
        <v>4195</v>
      </c>
      <c r="H1821" s="12"/>
      <c r="L1821" s="12"/>
    </row>
    <row r="1822" spans="1:12" ht="15.75" customHeight="1" x14ac:dyDescent="0.3">
      <c r="A1822" s="29" t="s">
        <v>880</v>
      </c>
      <c r="B1822" s="50" t="str">
        <f>VLOOKUP(A1822,'Sales Order'!A$2:B$1029,1,0)</f>
        <v>SO0642</v>
      </c>
      <c r="C1822" s="29" t="s">
        <v>25</v>
      </c>
      <c r="D1822" s="50" t="str">
        <f>VLOOKUP(C1822,Product!A$2:B$21,1,0)</f>
        <v>PD0002</v>
      </c>
      <c r="E1822" s="36">
        <v>48</v>
      </c>
      <c r="F1822" s="38">
        <v>777600</v>
      </c>
      <c r="G1822" s="39" t="s">
        <v>4196</v>
      </c>
      <c r="H1822" s="12"/>
      <c r="L1822" s="12"/>
    </row>
    <row r="1823" spans="1:12" ht="15.75" customHeight="1" x14ac:dyDescent="0.3">
      <c r="A1823" s="17" t="s">
        <v>881</v>
      </c>
      <c r="B1823" s="50" t="str">
        <f>VLOOKUP(A1823,'Sales Order'!A$2:B$1029,1,0)</f>
        <v>SO0643</v>
      </c>
      <c r="C1823" s="29" t="s">
        <v>40</v>
      </c>
      <c r="D1823" s="50" t="str">
        <f>VLOOKUP(C1823,Product!A$2:B$21,1,0)</f>
        <v>PD0006</v>
      </c>
      <c r="E1823" s="36">
        <v>94</v>
      </c>
      <c r="F1823" s="38">
        <v>17288480</v>
      </c>
      <c r="G1823" s="39" t="s">
        <v>4197</v>
      </c>
      <c r="H1823" s="12"/>
      <c r="L1823" s="12"/>
    </row>
    <row r="1824" spans="1:12" ht="15.75" customHeight="1" x14ac:dyDescent="0.3">
      <c r="A1824" s="29" t="s">
        <v>881</v>
      </c>
      <c r="B1824" s="50" t="str">
        <f>VLOOKUP(A1824,'Sales Order'!A$2:B$1029,1,0)</f>
        <v>SO0643</v>
      </c>
      <c r="C1824" s="29" t="s">
        <v>19</v>
      </c>
      <c r="D1824" s="50" t="str">
        <f>VLOOKUP(C1824,Product!A$2:B$21,1,0)</f>
        <v>PD0001</v>
      </c>
      <c r="E1824" s="36">
        <v>26</v>
      </c>
      <c r="F1824" s="38">
        <v>5308680</v>
      </c>
      <c r="G1824" s="39" t="s">
        <v>4198</v>
      </c>
      <c r="H1824" s="12"/>
      <c r="L1824" s="12"/>
    </row>
    <row r="1825" spans="1:12" ht="15.75" customHeight="1" x14ac:dyDescent="0.3">
      <c r="A1825" s="29" t="s">
        <v>881</v>
      </c>
      <c r="B1825" s="50" t="str">
        <f>VLOOKUP(A1825,'Sales Order'!A$2:B$1029,1,0)</f>
        <v>SO0643</v>
      </c>
      <c r="C1825" s="29" t="s">
        <v>72</v>
      </c>
      <c r="D1825" s="50" t="str">
        <f>VLOOKUP(C1825,Product!A$2:B$21,1,0)</f>
        <v>PD0016</v>
      </c>
      <c r="E1825" s="36">
        <v>73</v>
      </c>
      <c r="F1825" s="38">
        <v>17152080</v>
      </c>
      <c r="G1825" s="39" t="s">
        <v>4199</v>
      </c>
      <c r="H1825" s="12"/>
      <c r="L1825" s="12"/>
    </row>
    <row r="1826" spans="1:12" ht="15.75" customHeight="1" x14ac:dyDescent="0.3">
      <c r="A1826" s="29" t="s">
        <v>881</v>
      </c>
      <c r="B1826" s="50" t="str">
        <f>VLOOKUP(A1826,'Sales Order'!A$2:B$1029,1,0)</f>
        <v>SO0643</v>
      </c>
      <c r="C1826" s="29" t="s">
        <v>43</v>
      </c>
      <c r="D1826" s="50" t="str">
        <f>VLOOKUP(C1826,Product!A$2:B$21,1,0)</f>
        <v>PD0007</v>
      </c>
      <c r="E1826" s="36">
        <v>131</v>
      </c>
      <c r="F1826" s="38">
        <v>347936000</v>
      </c>
      <c r="G1826" s="39" t="s">
        <v>4200</v>
      </c>
      <c r="H1826" s="12"/>
      <c r="L1826" s="12"/>
    </row>
    <row r="1827" spans="1:12" ht="15.75" customHeight="1" x14ac:dyDescent="0.3">
      <c r="A1827" s="29" t="s">
        <v>881</v>
      </c>
      <c r="B1827" s="50" t="str">
        <f>VLOOKUP(A1827,'Sales Order'!A$2:B$1029,1,0)</f>
        <v>SO0643</v>
      </c>
      <c r="C1827" s="29" t="s">
        <v>28</v>
      </c>
      <c r="D1827" s="50" t="str">
        <f>VLOOKUP(C1827,Product!A$2:B$21,1,0)</f>
        <v>PD0003</v>
      </c>
      <c r="E1827" s="36">
        <v>105</v>
      </c>
      <c r="F1827" s="38">
        <v>88957050</v>
      </c>
      <c r="G1827" s="39" t="s">
        <v>4201</v>
      </c>
      <c r="H1827" s="12"/>
      <c r="L1827" s="12"/>
    </row>
    <row r="1828" spans="1:12" ht="15.75" customHeight="1" x14ac:dyDescent="0.3">
      <c r="A1828" s="29" t="s">
        <v>881</v>
      </c>
      <c r="B1828" s="50" t="str">
        <f>VLOOKUP(A1828,'Sales Order'!A$2:B$1029,1,0)</f>
        <v>SO0643</v>
      </c>
      <c r="C1828" s="29" t="s">
        <v>33</v>
      </c>
      <c r="D1828" s="50" t="str">
        <f>VLOOKUP(C1828,Product!A$2:B$21,1,0)</f>
        <v>PD0004</v>
      </c>
      <c r="E1828" s="36">
        <v>140</v>
      </c>
      <c r="F1828" s="38">
        <v>23716000</v>
      </c>
      <c r="G1828" s="39" t="s">
        <v>4202</v>
      </c>
      <c r="H1828" s="12"/>
      <c r="L1828" s="12"/>
    </row>
    <row r="1829" spans="1:12" ht="15.75" customHeight="1" x14ac:dyDescent="0.3">
      <c r="A1829" s="29" t="s">
        <v>881</v>
      </c>
      <c r="B1829" s="50" t="str">
        <f>VLOOKUP(A1829,'Sales Order'!A$2:B$1029,1,0)</f>
        <v>SO0643</v>
      </c>
      <c r="C1829" s="29" t="s">
        <v>25</v>
      </c>
      <c r="D1829" s="50" t="str">
        <f>VLOOKUP(C1829,Product!A$2:B$21,1,0)</f>
        <v>PD0002</v>
      </c>
      <c r="E1829" s="36">
        <v>32</v>
      </c>
      <c r="F1829" s="38">
        <v>505600</v>
      </c>
      <c r="G1829" s="39" t="s">
        <v>4203</v>
      </c>
      <c r="H1829" s="12"/>
      <c r="L1829" s="12"/>
    </row>
    <row r="1830" spans="1:12" ht="15.75" customHeight="1" x14ac:dyDescent="0.3">
      <c r="A1830" s="17" t="s">
        <v>882</v>
      </c>
      <c r="B1830" s="50" t="str">
        <f>VLOOKUP(A1830,'Sales Order'!A$2:B$1029,1,0)</f>
        <v>SO0644</v>
      </c>
      <c r="C1830" s="29" t="s">
        <v>45</v>
      </c>
      <c r="D1830" s="50" t="str">
        <f>VLOOKUP(C1830,Product!A$2:B$21,1,0)</f>
        <v>PD0008</v>
      </c>
      <c r="E1830" s="36">
        <v>102</v>
      </c>
      <c r="F1830" s="38">
        <v>12766320</v>
      </c>
      <c r="G1830" s="39" t="s">
        <v>4204</v>
      </c>
      <c r="H1830" s="12"/>
      <c r="L1830" s="12"/>
    </row>
    <row r="1831" spans="1:12" ht="15.75" customHeight="1" x14ac:dyDescent="0.3">
      <c r="A1831" s="29" t="s">
        <v>882</v>
      </c>
      <c r="B1831" s="50" t="str">
        <f>VLOOKUP(A1831,'Sales Order'!A$2:B$1029,1,0)</f>
        <v>SO0644</v>
      </c>
      <c r="C1831" s="29" t="s">
        <v>33</v>
      </c>
      <c r="D1831" s="50" t="str">
        <f>VLOOKUP(C1831,Product!A$2:B$21,1,0)</f>
        <v>PD0004</v>
      </c>
      <c r="E1831" s="36">
        <v>74</v>
      </c>
      <c r="F1831" s="38">
        <v>12535600</v>
      </c>
      <c r="G1831" s="39" t="s">
        <v>4205</v>
      </c>
      <c r="H1831" s="12"/>
      <c r="L1831" s="12"/>
    </row>
    <row r="1832" spans="1:12" ht="15.75" customHeight="1" x14ac:dyDescent="0.3">
      <c r="A1832" s="17" t="s">
        <v>883</v>
      </c>
      <c r="B1832" s="50" t="str">
        <f>VLOOKUP(A1832,'Sales Order'!A$2:B$1029,1,0)</f>
        <v>SO0645</v>
      </c>
      <c r="C1832" s="29" t="s">
        <v>81</v>
      </c>
      <c r="D1832" s="50" t="str">
        <f>VLOOKUP(C1832,Product!A$2:B$21,1,0)</f>
        <v>PD0019</v>
      </c>
      <c r="E1832" s="36">
        <v>69</v>
      </c>
      <c r="F1832" s="38">
        <v>160051710</v>
      </c>
      <c r="G1832" s="39" t="s">
        <v>4206</v>
      </c>
      <c r="H1832" s="12"/>
      <c r="L1832" s="12"/>
    </row>
    <row r="1833" spans="1:12" ht="15.75" customHeight="1" x14ac:dyDescent="0.3">
      <c r="A1833" s="29" t="s">
        <v>884</v>
      </c>
      <c r="B1833" s="50" t="str">
        <f>VLOOKUP(A1833,'Sales Order'!A$2:B$1029,1,0)</f>
        <v>SO0646</v>
      </c>
      <c r="C1833" s="29" t="s">
        <v>45</v>
      </c>
      <c r="D1833" s="50" t="str">
        <f>VLOOKUP(C1833,Product!A$2:B$21,1,0)</f>
        <v>PD0008</v>
      </c>
      <c r="E1833" s="36">
        <v>38</v>
      </c>
      <c r="F1833" s="38">
        <v>5152420</v>
      </c>
      <c r="G1833" s="39" t="s">
        <v>4207</v>
      </c>
      <c r="H1833" s="12"/>
      <c r="L1833" s="12"/>
    </row>
    <row r="1834" spans="1:12" ht="15.75" customHeight="1" x14ac:dyDescent="0.3">
      <c r="A1834" s="29" t="s">
        <v>884</v>
      </c>
      <c r="B1834" s="50" t="str">
        <f>VLOOKUP(A1834,'Sales Order'!A$2:B$1029,1,0)</f>
        <v>SO0646</v>
      </c>
      <c r="C1834" s="29" t="s">
        <v>75</v>
      </c>
      <c r="D1834" s="50" t="str">
        <f>VLOOKUP(C1834,Product!A$2:B$21,1,0)</f>
        <v>PD0017</v>
      </c>
      <c r="E1834" s="36">
        <v>51</v>
      </c>
      <c r="F1834" s="38">
        <v>109471500</v>
      </c>
      <c r="G1834" s="39" t="s">
        <v>4208</v>
      </c>
      <c r="H1834" s="12"/>
      <c r="L1834" s="12"/>
    </row>
    <row r="1835" spans="1:12" ht="15.75" customHeight="1" x14ac:dyDescent="0.3">
      <c r="A1835" s="29" t="s">
        <v>884</v>
      </c>
      <c r="B1835" s="50" t="str">
        <f>VLOOKUP(A1835,'Sales Order'!A$2:B$1029,1,0)</f>
        <v>SO0646</v>
      </c>
      <c r="C1835" s="29" t="s">
        <v>78</v>
      </c>
      <c r="D1835" s="50" t="str">
        <f>VLOOKUP(C1835,Product!A$2:B$21,1,0)</f>
        <v>PD0018</v>
      </c>
      <c r="E1835" s="36">
        <v>104</v>
      </c>
      <c r="F1835" s="38">
        <v>50348480</v>
      </c>
      <c r="G1835" s="39" t="s">
        <v>4209</v>
      </c>
      <c r="H1835" s="12"/>
      <c r="L1835" s="12"/>
    </row>
    <row r="1836" spans="1:12" ht="15.75" customHeight="1" x14ac:dyDescent="0.3">
      <c r="A1836" s="17" t="s">
        <v>885</v>
      </c>
      <c r="B1836" s="50" t="str">
        <f>VLOOKUP(A1836,'Sales Order'!A$2:B$1029,1,0)</f>
        <v>SO0647</v>
      </c>
      <c r="C1836" s="29" t="s">
        <v>40</v>
      </c>
      <c r="D1836" s="50" t="str">
        <f>VLOOKUP(C1836,Product!A$2:B$21,1,0)</f>
        <v>PD0006</v>
      </c>
      <c r="E1836" s="36">
        <v>27</v>
      </c>
      <c r="F1836" s="38">
        <v>5247990</v>
      </c>
      <c r="G1836" s="39" t="s">
        <v>4210</v>
      </c>
      <c r="H1836" s="12"/>
      <c r="L1836" s="12"/>
    </row>
    <row r="1837" spans="1:12" ht="15.75" customHeight="1" x14ac:dyDescent="0.3">
      <c r="A1837" s="29" t="s">
        <v>885</v>
      </c>
      <c r="B1837" s="50" t="str">
        <f>VLOOKUP(A1837,'Sales Order'!A$2:B$1029,1,0)</f>
        <v>SO0647</v>
      </c>
      <c r="C1837" s="29" t="s">
        <v>65</v>
      </c>
      <c r="D1837" s="50" t="str">
        <f>VLOOKUP(C1837,Product!A$2:B$21,1,0)</f>
        <v>PD0014</v>
      </c>
      <c r="E1837" s="36">
        <v>41</v>
      </c>
      <c r="F1837" s="38">
        <v>8210250</v>
      </c>
      <c r="G1837" s="39" t="s">
        <v>4211</v>
      </c>
      <c r="H1837" s="12"/>
      <c r="L1837" s="12"/>
    </row>
    <row r="1838" spans="1:12" ht="15.75" customHeight="1" x14ac:dyDescent="0.3">
      <c r="A1838" s="17" t="s">
        <v>886</v>
      </c>
      <c r="B1838" s="50" t="str">
        <f>VLOOKUP(A1838,'Sales Order'!A$2:B$1029,1,0)</f>
        <v>SO0648</v>
      </c>
      <c r="C1838" s="29" t="s">
        <v>28</v>
      </c>
      <c r="D1838" s="50" t="str">
        <f>VLOOKUP(C1838,Product!A$2:B$21,1,0)</f>
        <v>PD0003</v>
      </c>
      <c r="E1838" s="36">
        <v>41</v>
      </c>
      <c r="F1838" s="38">
        <v>34735610</v>
      </c>
      <c r="G1838" s="39" t="s">
        <v>4212</v>
      </c>
      <c r="H1838" s="12"/>
      <c r="L1838" s="12"/>
    </row>
    <row r="1839" spans="1:12" ht="15.75" customHeight="1" x14ac:dyDescent="0.3">
      <c r="A1839" s="29" t="s">
        <v>886</v>
      </c>
      <c r="B1839" s="50" t="str">
        <f>VLOOKUP(A1839,'Sales Order'!A$2:B$1029,1,0)</f>
        <v>SO0648</v>
      </c>
      <c r="C1839" s="29" t="s">
        <v>19</v>
      </c>
      <c r="D1839" s="50" t="str">
        <f>VLOOKUP(C1839,Product!A$2:B$21,1,0)</f>
        <v>PD0001</v>
      </c>
      <c r="E1839" s="36">
        <v>58</v>
      </c>
      <c r="F1839" s="38">
        <v>11698020</v>
      </c>
      <c r="G1839" s="39" t="s">
        <v>4213</v>
      </c>
      <c r="H1839" s="12"/>
      <c r="L1839" s="12"/>
    </row>
    <row r="1840" spans="1:12" ht="15.75" customHeight="1" x14ac:dyDescent="0.3">
      <c r="A1840" s="29" t="s">
        <v>886</v>
      </c>
      <c r="B1840" s="50" t="str">
        <f>VLOOKUP(A1840,'Sales Order'!A$2:B$1029,1,0)</f>
        <v>SO0648</v>
      </c>
      <c r="C1840" s="29" t="s">
        <v>78</v>
      </c>
      <c r="D1840" s="50" t="str">
        <f>VLOOKUP(C1840,Product!A$2:B$21,1,0)</f>
        <v>PD0018</v>
      </c>
      <c r="E1840" s="36">
        <v>150</v>
      </c>
      <c r="F1840" s="38">
        <v>72618000</v>
      </c>
      <c r="G1840" s="39" t="s">
        <v>4214</v>
      </c>
      <c r="H1840" s="12"/>
      <c r="L1840" s="12"/>
    </row>
    <row r="1841" spans="1:12" ht="15.75" customHeight="1" x14ac:dyDescent="0.3">
      <c r="A1841" s="29" t="s">
        <v>886</v>
      </c>
      <c r="B1841" s="50" t="str">
        <f>VLOOKUP(A1841,'Sales Order'!A$2:B$1029,1,0)</f>
        <v>SO0648</v>
      </c>
      <c r="C1841" s="29" t="s">
        <v>65</v>
      </c>
      <c r="D1841" s="50" t="str">
        <f>VLOOKUP(C1841,Product!A$2:B$21,1,0)</f>
        <v>PD0014</v>
      </c>
      <c r="E1841" s="36">
        <v>66</v>
      </c>
      <c r="F1841" s="38">
        <v>14802480</v>
      </c>
      <c r="G1841" s="39" t="s">
        <v>4215</v>
      </c>
      <c r="H1841" s="12"/>
      <c r="L1841" s="12"/>
    </row>
    <row r="1842" spans="1:12" ht="15.75" customHeight="1" x14ac:dyDescent="0.3">
      <c r="A1842" s="17" t="s">
        <v>887</v>
      </c>
      <c r="B1842" s="50" t="str">
        <f>VLOOKUP(A1842,'Sales Order'!A$2:B$1029,1,0)</f>
        <v>SO0649</v>
      </c>
      <c r="C1842" s="29" t="s">
        <v>45</v>
      </c>
      <c r="D1842" s="50" t="str">
        <f>VLOOKUP(C1842,Product!A$2:B$21,1,0)</f>
        <v>PD0008</v>
      </c>
      <c r="E1842" s="36">
        <v>108</v>
      </c>
      <c r="F1842" s="38">
        <v>15287400</v>
      </c>
      <c r="G1842" s="39" t="s">
        <v>4216</v>
      </c>
      <c r="H1842" s="12"/>
      <c r="L1842" s="12"/>
    </row>
    <row r="1843" spans="1:12" ht="15.75" customHeight="1" x14ac:dyDescent="0.3">
      <c r="A1843" s="29" t="s">
        <v>887</v>
      </c>
      <c r="B1843" s="50" t="str">
        <f>VLOOKUP(A1843,'Sales Order'!A$2:B$1029,1,0)</f>
        <v>SO0649</v>
      </c>
      <c r="C1843" s="29" t="s">
        <v>28</v>
      </c>
      <c r="D1843" s="50" t="str">
        <f>VLOOKUP(C1843,Product!A$2:B$21,1,0)</f>
        <v>PD0003</v>
      </c>
      <c r="E1843" s="36">
        <v>117</v>
      </c>
      <c r="F1843" s="38">
        <v>101302110</v>
      </c>
      <c r="G1843" s="39" t="s">
        <v>4217</v>
      </c>
      <c r="H1843" s="12"/>
      <c r="L1843" s="12"/>
    </row>
    <row r="1844" spans="1:12" ht="15.75" customHeight="1" x14ac:dyDescent="0.3">
      <c r="A1844" s="29" t="s">
        <v>887</v>
      </c>
      <c r="B1844" s="50" t="str">
        <f>VLOOKUP(A1844,'Sales Order'!A$2:B$1029,1,0)</f>
        <v>SO0649</v>
      </c>
      <c r="C1844" s="29" t="s">
        <v>35</v>
      </c>
      <c r="D1844" s="50" t="str">
        <f>VLOOKUP(C1844,Product!A$2:B$21,1,0)</f>
        <v>PD0005</v>
      </c>
      <c r="E1844" s="36">
        <v>82</v>
      </c>
      <c r="F1844" s="38">
        <v>158391200</v>
      </c>
      <c r="G1844" s="39" t="s">
        <v>4218</v>
      </c>
      <c r="H1844" s="12"/>
      <c r="L1844" s="12"/>
    </row>
    <row r="1845" spans="1:12" ht="15.75" customHeight="1" x14ac:dyDescent="0.3">
      <c r="A1845" s="29" t="s">
        <v>887</v>
      </c>
      <c r="B1845" s="50" t="str">
        <f>VLOOKUP(A1845,'Sales Order'!A$2:B$1029,1,0)</f>
        <v>SO0649</v>
      </c>
      <c r="C1845" s="29" t="s">
        <v>72</v>
      </c>
      <c r="D1845" s="50" t="str">
        <f>VLOOKUP(C1845,Product!A$2:B$21,1,0)</f>
        <v>PD0016</v>
      </c>
      <c r="E1845" s="36">
        <v>104</v>
      </c>
      <c r="F1845" s="38">
        <v>22769760</v>
      </c>
      <c r="G1845" s="39" t="s">
        <v>4219</v>
      </c>
      <c r="H1845" s="12"/>
      <c r="L1845" s="12"/>
    </row>
    <row r="1846" spans="1:12" ht="15.75" customHeight="1" x14ac:dyDescent="0.3">
      <c r="A1846" s="17" t="s">
        <v>888</v>
      </c>
      <c r="B1846" s="50" t="str">
        <f>VLOOKUP(A1846,'Sales Order'!A$2:B$1029,1,0)</f>
        <v>SO0650</v>
      </c>
      <c r="C1846" s="29" t="s">
        <v>65</v>
      </c>
      <c r="D1846" s="50" t="str">
        <f>VLOOKUP(C1846,Product!A$2:B$21,1,0)</f>
        <v>PD0014</v>
      </c>
      <c r="E1846" s="36">
        <v>146</v>
      </c>
      <c r="F1846" s="38">
        <v>30405960</v>
      </c>
      <c r="G1846" s="39" t="s">
        <v>4220</v>
      </c>
      <c r="H1846" s="12"/>
      <c r="L1846" s="12"/>
    </row>
    <row r="1847" spans="1:12" ht="15.75" customHeight="1" x14ac:dyDescent="0.3">
      <c r="A1847" s="29" t="s">
        <v>888</v>
      </c>
      <c r="B1847" s="50" t="str">
        <f>VLOOKUP(A1847,'Sales Order'!A$2:B$1029,1,0)</f>
        <v>SO0650</v>
      </c>
      <c r="C1847" s="29" t="s">
        <v>55</v>
      </c>
      <c r="D1847" s="50" t="str">
        <f>VLOOKUP(C1847,Product!A$2:B$21,1,0)</f>
        <v>PD0011</v>
      </c>
      <c r="E1847" s="36">
        <v>55</v>
      </c>
      <c r="F1847" s="38">
        <v>105093450</v>
      </c>
      <c r="G1847" s="39" t="s">
        <v>4221</v>
      </c>
      <c r="H1847" s="12"/>
      <c r="L1847" s="12"/>
    </row>
    <row r="1848" spans="1:12" ht="15.75" customHeight="1" x14ac:dyDescent="0.3">
      <c r="A1848" s="29" t="s">
        <v>888</v>
      </c>
      <c r="B1848" s="50" t="str">
        <f>VLOOKUP(A1848,'Sales Order'!A$2:B$1029,1,0)</f>
        <v>SO0650</v>
      </c>
      <c r="C1848" s="29" t="s">
        <v>45</v>
      </c>
      <c r="D1848" s="50" t="str">
        <f>VLOOKUP(C1848,Product!A$2:B$21,1,0)</f>
        <v>PD0008</v>
      </c>
      <c r="E1848" s="36">
        <v>124</v>
      </c>
      <c r="F1848" s="38">
        <v>14411280</v>
      </c>
      <c r="G1848" s="39" t="s">
        <v>4222</v>
      </c>
      <c r="H1848" s="12"/>
      <c r="L1848" s="12"/>
    </row>
    <row r="1849" spans="1:12" ht="15.75" customHeight="1" x14ac:dyDescent="0.3">
      <c r="A1849" s="29" t="s">
        <v>888</v>
      </c>
      <c r="B1849" s="50" t="str">
        <f>VLOOKUP(A1849,'Sales Order'!A$2:B$1029,1,0)</f>
        <v>SO0650</v>
      </c>
      <c r="C1849" s="29" t="s">
        <v>75</v>
      </c>
      <c r="D1849" s="50" t="str">
        <f>VLOOKUP(C1849,Product!A$2:B$21,1,0)</f>
        <v>PD0017</v>
      </c>
      <c r="E1849" s="36">
        <v>66</v>
      </c>
      <c r="F1849" s="38">
        <v>155661000</v>
      </c>
      <c r="G1849" s="39" t="s">
        <v>4223</v>
      </c>
      <c r="H1849" s="12"/>
      <c r="L1849" s="12"/>
    </row>
    <row r="1850" spans="1:12" ht="15.75" customHeight="1" x14ac:dyDescent="0.3">
      <c r="A1850" s="17" t="s">
        <v>889</v>
      </c>
      <c r="B1850" s="50" t="str">
        <f>VLOOKUP(A1850,'Sales Order'!A$2:B$1029,1,0)</f>
        <v>SO0651</v>
      </c>
      <c r="C1850" s="29" t="s">
        <v>28</v>
      </c>
      <c r="D1850" s="50" t="str">
        <f>VLOOKUP(C1850,Product!A$2:B$21,1,0)</f>
        <v>PD0003</v>
      </c>
      <c r="E1850" s="36">
        <v>45</v>
      </c>
      <c r="F1850" s="38">
        <v>36448650</v>
      </c>
      <c r="G1850" s="39" t="s">
        <v>4224</v>
      </c>
      <c r="H1850" s="12"/>
      <c r="L1850" s="12"/>
    </row>
    <row r="1851" spans="1:12" ht="15.75" customHeight="1" x14ac:dyDescent="0.3">
      <c r="A1851" s="29" t="s">
        <v>889</v>
      </c>
      <c r="B1851" s="50" t="str">
        <f>VLOOKUP(A1851,'Sales Order'!A$2:B$1029,1,0)</f>
        <v>SO0651</v>
      </c>
      <c r="C1851" s="29" t="s">
        <v>78</v>
      </c>
      <c r="D1851" s="50" t="str">
        <f>VLOOKUP(C1851,Product!A$2:B$21,1,0)</f>
        <v>PD0018</v>
      </c>
      <c r="E1851" s="36">
        <v>107</v>
      </c>
      <c r="F1851" s="38">
        <v>50662360</v>
      </c>
      <c r="G1851" s="39" t="s">
        <v>4225</v>
      </c>
      <c r="H1851" s="12"/>
      <c r="L1851" s="12"/>
    </row>
    <row r="1852" spans="1:12" ht="15.75" customHeight="1" x14ac:dyDescent="0.3">
      <c r="A1852" s="29" t="s">
        <v>890</v>
      </c>
      <c r="B1852" s="50" t="str">
        <f>VLOOKUP(A1852,'Sales Order'!A$2:B$1029,1,0)</f>
        <v>SO0652</v>
      </c>
      <c r="C1852" s="29" t="s">
        <v>52</v>
      </c>
      <c r="D1852" s="50" t="str">
        <f>VLOOKUP(C1852,Product!A$2:B$21,1,0)</f>
        <v>PD0010</v>
      </c>
      <c r="E1852" s="36">
        <v>106</v>
      </c>
      <c r="F1852" s="38">
        <v>28249000.000000004</v>
      </c>
      <c r="G1852" s="39" t="s">
        <v>4226</v>
      </c>
      <c r="H1852" s="12"/>
      <c r="L1852" s="12"/>
    </row>
    <row r="1853" spans="1:12" ht="15.75" customHeight="1" x14ac:dyDescent="0.3">
      <c r="A1853" s="29" t="s">
        <v>890</v>
      </c>
      <c r="B1853" s="50" t="str">
        <f>VLOOKUP(A1853,'Sales Order'!A$2:B$1029,1,0)</f>
        <v>SO0652</v>
      </c>
      <c r="C1853" s="29" t="s">
        <v>28</v>
      </c>
      <c r="D1853" s="50" t="str">
        <f>VLOOKUP(C1853,Product!A$2:B$21,1,0)</f>
        <v>PD0003</v>
      </c>
      <c r="E1853" s="36">
        <v>124</v>
      </c>
      <c r="F1853" s="38">
        <v>86583000</v>
      </c>
      <c r="G1853" s="39" t="s">
        <v>4227</v>
      </c>
      <c r="H1853" s="12"/>
      <c r="L1853" s="12"/>
    </row>
    <row r="1854" spans="1:12" ht="15.75" customHeight="1" x14ac:dyDescent="0.3">
      <c r="A1854" s="17" t="s">
        <v>891</v>
      </c>
      <c r="B1854" s="50" t="str">
        <f>VLOOKUP(A1854,'Sales Order'!A$2:B$1029,1,0)</f>
        <v>SO0653</v>
      </c>
      <c r="C1854" s="29" t="s">
        <v>72</v>
      </c>
      <c r="D1854" s="50" t="str">
        <f>VLOOKUP(C1854,Product!A$2:B$21,1,0)</f>
        <v>PD0016</v>
      </c>
      <c r="E1854" s="36">
        <v>76</v>
      </c>
      <c r="F1854" s="38">
        <v>17654040</v>
      </c>
      <c r="G1854" s="39" t="s">
        <v>4228</v>
      </c>
      <c r="H1854" s="12"/>
      <c r="L1854" s="12"/>
    </row>
    <row r="1855" spans="1:12" ht="15.75" customHeight="1" x14ac:dyDescent="0.3">
      <c r="A1855" s="29" t="s">
        <v>891</v>
      </c>
      <c r="B1855" s="50" t="str">
        <f>VLOOKUP(A1855,'Sales Order'!A$2:B$1029,1,0)</f>
        <v>SO0653</v>
      </c>
      <c r="C1855" s="29" t="s">
        <v>81</v>
      </c>
      <c r="D1855" s="50" t="str">
        <f>VLOOKUP(C1855,Product!A$2:B$21,1,0)</f>
        <v>PD0019</v>
      </c>
      <c r="E1855" s="36">
        <v>78</v>
      </c>
      <c r="F1855" s="38">
        <v>176951580</v>
      </c>
      <c r="G1855" s="39" t="s">
        <v>4229</v>
      </c>
      <c r="H1855" s="12"/>
      <c r="L1855" s="12"/>
    </row>
    <row r="1856" spans="1:12" ht="15.75" customHeight="1" x14ac:dyDescent="0.3">
      <c r="A1856" s="29" t="s">
        <v>891</v>
      </c>
      <c r="B1856" s="50" t="str">
        <f>VLOOKUP(A1856,'Sales Order'!A$2:B$1029,1,0)</f>
        <v>SO0653</v>
      </c>
      <c r="C1856" s="29" t="s">
        <v>75</v>
      </c>
      <c r="D1856" s="50" t="str">
        <f>VLOOKUP(C1856,Product!A$2:B$21,1,0)</f>
        <v>PD0017</v>
      </c>
      <c r="E1856" s="36">
        <v>125</v>
      </c>
      <c r="F1856" s="38">
        <v>268312500.00000003</v>
      </c>
      <c r="G1856" s="39" t="s">
        <v>4230</v>
      </c>
      <c r="H1856" s="12"/>
      <c r="L1856" s="12"/>
    </row>
    <row r="1857" spans="1:12" ht="15.75" customHeight="1" x14ac:dyDescent="0.3">
      <c r="A1857" s="17" t="s">
        <v>892</v>
      </c>
      <c r="B1857" s="50" t="str">
        <f>VLOOKUP(A1857,'Sales Order'!A$2:B$1029,1,0)</f>
        <v>SO0654</v>
      </c>
      <c r="C1857" s="29" t="s">
        <v>52</v>
      </c>
      <c r="D1857" s="50" t="str">
        <f>VLOOKUP(C1857,Product!A$2:B$21,1,0)</f>
        <v>PD0010</v>
      </c>
      <c r="E1857" s="36">
        <v>110</v>
      </c>
      <c r="F1857" s="38">
        <v>31817500</v>
      </c>
      <c r="G1857" s="39" t="s">
        <v>4231</v>
      </c>
      <c r="H1857" s="12"/>
      <c r="L1857" s="12"/>
    </row>
    <row r="1858" spans="1:12" ht="15.75" customHeight="1" x14ac:dyDescent="0.3">
      <c r="A1858" s="29" t="s">
        <v>892</v>
      </c>
      <c r="B1858" s="50" t="str">
        <f>VLOOKUP(A1858,'Sales Order'!A$2:B$1029,1,0)</f>
        <v>SO0654</v>
      </c>
      <c r="C1858" s="29" t="s">
        <v>58</v>
      </c>
      <c r="D1858" s="50" t="str">
        <f>VLOOKUP(C1858,Product!A$2:B$21,1,0)</f>
        <v>PD0012</v>
      </c>
      <c r="E1858" s="36">
        <v>85</v>
      </c>
      <c r="F1858" s="38">
        <v>426590350</v>
      </c>
      <c r="G1858" s="39" t="s">
        <v>4232</v>
      </c>
      <c r="H1858" s="12"/>
      <c r="L1858" s="12"/>
    </row>
    <row r="1859" spans="1:12" ht="15.75" customHeight="1" x14ac:dyDescent="0.3">
      <c r="A1859" s="17" t="s">
        <v>893</v>
      </c>
      <c r="B1859" s="50" t="str">
        <f>VLOOKUP(A1859,'Sales Order'!A$2:B$1029,1,0)</f>
        <v>SO0655</v>
      </c>
      <c r="C1859" s="29" t="s">
        <v>48</v>
      </c>
      <c r="D1859" s="50" t="str">
        <f>VLOOKUP(C1859,Product!A$2:B$21,1,0)</f>
        <v>PD0009</v>
      </c>
      <c r="E1859" s="36">
        <v>95</v>
      </c>
      <c r="F1859" s="38">
        <v>10661850</v>
      </c>
      <c r="G1859" s="39" t="s">
        <v>4233</v>
      </c>
      <c r="H1859" s="12"/>
      <c r="L1859" s="12"/>
    </row>
    <row r="1860" spans="1:12" ht="15.75" customHeight="1" x14ac:dyDescent="0.3">
      <c r="A1860" s="29" t="s">
        <v>893</v>
      </c>
      <c r="B1860" s="50" t="str">
        <f>VLOOKUP(A1860,'Sales Order'!A$2:B$1029,1,0)</f>
        <v>SO0655</v>
      </c>
      <c r="C1860" s="29" t="s">
        <v>28</v>
      </c>
      <c r="D1860" s="50" t="str">
        <f>VLOOKUP(C1860,Product!A$2:B$21,1,0)</f>
        <v>PD0003</v>
      </c>
      <c r="E1860" s="36">
        <v>78</v>
      </c>
      <c r="F1860" s="38">
        <v>55915860</v>
      </c>
      <c r="G1860" s="39" t="s">
        <v>4234</v>
      </c>
      <c r="H1860" s="12"/>
      <c r="L1860" s="12"/>
    </row>
    <row r="1861" spans="1:12" ht="15.75" customHeight="1" x14ac:dyDescent="0.3">
      <c r="A1861" s="29" t="s">
        <v>893</v>
      </c>
      <c r="B1861" s="50" t="str">
        <f>VLOOKUP(A1861,'Sales Order'!A$2:B$1029,1,0)</f>
        <v>SO0655</v>
      </c>
      <c r="C1861" s="29" t="s">
        <v>58</v>
      </c>
      <c r="D1861" s="50" t="str">
        <f>VLOOKUP(C1861,Product!A$2:B$21,1,0)</f>
        <v>PD0012</v>
      </c>
      <c r="E1861" s="36">
        <v>145</v>
      </c>
      <c r="F1861" s="38">
        <v>613241250</v>
      </c>
      <c r="G1861" s="39" t="s">
        <v>4235</v>
      </c>
      <c r="H1861" s="12"/>
      <c r="L1861" s="12"/>
    </row>
    <row r="1862" spans="1:12" ht="15.75" customHeight="1" x14ac:dyDescent="0.3">
      <c r="A1862" s="29" t="s">
        <v>893</v>
      </c>
      <c r="B1862" s="50" t="str">
        <f>VLOOKUP(A1862,'Sales Order'!A$2:B$1029,1,0)</f>
        <v>SO0655</v>
      </c>
      <c r="C1862" s="29" t="s">
        <v>83</v>
      </c>
      <c r="D1862" s="50" t="str">
        <f>VLOOKUP(C1862,Product!A$2:B$21,1,0)</f>
        <v>PD0020</v>
      </c>
      <c r="E1862" s="36">
        <v>26</v>
      </c>
      <c r="F1862" s="38">
        <v>7010640</v>
      </c>
      <c r="G1862" s="39" t="s">
        <v>4236</v>
      </c>
      <c r="H1862" s="12"/>
      <c r="L1862" s="12"/>
    </row>
    <row r="1863" spans="1:12" ht="15.75" customHeight="1" x14ac:dyDescent="0.3">
      <c r="A1863" s="17" t="s">
        <v>894</v>
      </c>
      <c r="B1863" s="50" t="str">
        <f>VLOOKUP(A1863,'Sales Order'!A$2:B$1029,1,0)</f>
        <v>SO0656</v>
      </c>
      <c r="C1863" s="29" t="s">
        <v>33</v>
      </c>
      <c r="D1863" s="50" t="str">
        <f>VLOOKUP(C1863,Product!A$2:B$21,1,0)</f>
        <v>PD0004</v>
      </c>
      <c r="E1863" s="36">
        <v>47</v>
      </c>
      <c r="F1863" s="38">
        <v>9306000</v>
      </c>
      <c r="G1863" s="39" t="s">
        <v>4237</v>
      </c>
      <c r="H1863" s="12"/>
      <c r="L1863" s="12"/>
    </row>
    <row r="1864" spans="1:12" ht="15.75" customHeight="1" x14ac:dyDescent="0.3">
      <c r="A1864" s="17" t="s">
        <v>895</v>
      </c>
      <c r="B1864" s="50" t="str">
        <f>VLOOKUP(A1864,'Sales Order'!A$2:B$1029,1,0)</f>
        <v>SO0657</v>
      </c>
      <c r="C1864" s="29" t="s">
        <v>81</v>
      </c>
      <c r="D1864" s="50" t="str">
        <f>VLOOKUP(C1864,Product!A$2:B$21,1,0)</f>
        <v>PD0019</v>
      </c>
      <c r="E1864" s="36">
        <v>30</v>
      </c>
      <c r="F1864" s="38">
        <v>64999500</v>
      </c>
      <c r="G1864" s="39" t="s">
        <v>4238</v>
      </c>
      <c r="H1864" s="12"/>
      <c r="L1864" s="12"/>
    </row>
    <row r="1865" spans="1:12" ht="15.75" customHeight="1" x14ac:dyDescent="0.3">
      <c r="A1865" s="29" t="s">
        <v>895</v>
      </c>
      <c r="B1865" s="50" t="str">
        <f>VLOOKUP(A1865,'Sales Order'!A$2:B$1029,1,0)</f>
        <v>SO0657</v>
      </c>
      <c r="C1865" s="29" t="s">
        <v>40</v>
      </c>
      <c r="D1865" s="50" t="str">
        <f>VLOOKUP(C1865,Product!A$2:B$21,1,0)</f>
        <v>PD0006</v>
      </c>
      <c r="E1865" s="36">
        <v>49</v>
      </c>
      <c r="F1865" s="38">
        <v>8704850</v>
      </c>
      <c r="G1865" s="39" t="s">
        <v>4239</v>
      </c>
      <c r="H1865" s="12"/>
      <c r="L1865" s="12"/>
    </row>
    <row r="1866" spans="1:12" ht="15.75" customHeight="1" x14ac:dyDescent="0.3">
      <c r="A1866" s="29" t="s">
        <v>895</v>
      </c>
      <c r="B1866" s="50" t="str">
        <f>VLOOKUP(A1866,'Sales Order'!A$2:B$1029,1,0)</f>
        <v>SO0657</v>
      </c>
      <c r="C1866" s="29" t="s">
        <v>58</v>
      </c>
      <c r="D1866" s="50" t="str">
        <f>VLOOKUP(C1866,Product!A$2:B$21,1,0)</f>
        <v>PD0012</v>
      </c>
      <c r="E1866" s="36">
        <v>84</v>
      </c>
      <c r="F1866" s="38">
        <v>393151080</v>
      </c>
      <c r="G1866" s="39" t="s">
        <v>4240</v>
      </c>
      <c r="H1866" s="12"/>
      <c r="L1866" s="12"/>
    </row>
    <row r="1867" spans="1:12" ht="15.75" customHeight="1" x14ac:dyDescent="0.3">
      <c r="A1867" s="17" t="s">
        <v>896</v>
      </c>
      <c r="B1867" s="50" t="str">
        <f>VLOOKUP(A1867,'Sales Order'!A$2:B$1029,1,0)</f>
        <v>SO0658</v>
      </c>
      <c r="C1867" s="29" t="s">
        <v>28</v>
      </c>
      <c r="D1867" s="50" t="str">
        <f>VLOOKUP(C1867,Product!A$2:B$21,1,0)</f>
        <v>PD0003</v>
      </c>
      <c r="E1867" s="36">
        <v>130</v>
      </c>
      <c r="F1867" s="38">
        <v>100454900</v>
      </c>
      <c r="G1867" s="39" t="s">
        <v>4241</v>
      </c>
      <c r="H1867" s="12"/>
      <c r="L1867" s="12"/>
    </row>
    <row r="1868" spans="1:12" ht="15.75" customHeight="1" x14ac:dyDescent="0.3">
      <c r="A1868" s="29" t="s">
        <v>896</v>
      </c>
      <c r="B1868" s="50" t="str">
        <f>VLOOKUP(A1868,'Sales Order'!A$2:B$1029,1,0)</f>
        <v>SO0658</v>
      </c>
      <c r="C1868" s="29" t="s">
        <v>72</v>
      </c>
      <c r="D1868" s="50" t="str">
        <f>VLOOKUP(C1868,Product!A$2:B$21,1,0)</f>
        <v>PD0016</v>
      </c>
      <c r="E1868" s="36">
        <v>150</v>
      </c>
      <c r="F1868" s="38">
        <v>30838500</v>
      </c>
      <c r="G1868" s="39" t="s">
        <v>4242</v>
      </c>
      <c r="H1868" s="12"/>
      <c r="L1868" s="12"/>
    </row>
    <row r="1869" spans="1:12" ht="15.75" customHeight="1" x14ac:dyDescent="0.3">
      <c r="A1869" s="29" t="s">
        <v>897</v>
      </c>
      <c r="B1869" s="50" t="str">
        <f>VLOOKUP(A1869,'Sales Order'!A$2:B$1029,1,0)</f>
        <v>SO0659</v>
      </c>
      <c r="C1869" s="29" t="s">
        <v>19</v>
      </c>
      <c r="D1869" s="50" t="str">
        <f>VLOOKUP(C1869,Product!A$2:B$21,1,0)</f>
        <v>PD0001</v>
      </c>
      <c r="E1869" s="36">
        <v>41</v>
      </c>
      <c r="F1869" s="38">
        <v>8371380.0000000009</v>
      </c>
      <c r="G1869" s="39" t="s">
        <v>4243</v>
      </c>
      <c r="H1869" s="12"/>
      <c r="L1869" s="12"/>
    </row>
    <row r="1870" spans="1:12" ht="15.75" customHeight="1" x14ac:dyDescent="0.3">
      <c r="A1870" s="17" t="s">
        <v>898</v>
      </c>
      <c r="B1870" s="50" t="str">
        <f>VLOOKUP(A1870,'Sales Order'!A$2:B$1029,1,0)</f>
        <v>SO0660</v>
      </c>
      <c r="C1870" s="29" t="s">
        <v>75</v>
      </c>
      <c r="D1870" s="50" t="str">
        <f>VLOOKUP(C1870,Product!A$2:B$21,1,0)</f>
        <v>PD0017</v>
      </c>
      <c r="E1870" s="36">
        <v>81</v>
      </c>
      <c r="F1870" s="38">
        <v>163134000</v>
      </c>
      <c r="G1870" s="39" t="s">
        <v>4244</v>
      </c>
      <c r="H1870" s="12"/>
      <c r="L1870" s="12"/>
    </row>
    <row r="1871" spans="1:12" ht="15.75" customHeight="1" x14ac:dyDescent="0.3">
      <c r="A1871" s="29" t="s">
        <v>898</v>
      </c>
      <c r="B1871" s="50" t="str">
        <f>VLOOKUP(A1871,'Sales Order'!A$2:B$1029,1,0)</f>
        <v>SO0660</v>
      </c>
      <c r="C1871" s="29" t="s">
        <v>48</v>
      </c>
      <c r="D1871" s="50" t="str">
        <f>VLOOKUP(C1871,Product!A$2:B$21,1,0)</f>
        <v>PD0009</v>
      </c>
      <c r="E1871" s="36">
        <v>49</v>
      </c>
      <c r="F1871" s="38">
        <v>5436060</v>
      </c>
      <c r="G1871" s="39" t="s">
        <v>4245</v>
      </c>
      <c r="H1871" s="12"/>
      <c r="L1871" s="12"/>
    </row>
    <row r="1872" spans="1:12" ht="15.75" customHeight="1" x14ac:dyDescent="0.3">
      <c r="A1872" s="29" t="s">
        <v>898</v>
      </c>
      <c r="B1872" s="50" t="str">
        <f>VLOOKUP(A1872,'Sales Order'!A$2:B$1029,1,0)</f>
        <v>SO0660</v>
      </c>
      <c r="C1872" s="29" t="s">
        <v>83</v>
      </c>
      <c r="D1872" s="50" t="str">
        <f>VLOOKUP(C1872,Product!A$2:B$21,1,0)</f>
        <v>PD0020</v>
      </c>
      <c r="E1872" s="36">
        <v>103</v>
      </c>
      <c r="F1872" s="38">
        <v>31079220</v>
      </c>
      <c r="G1872" s="39" t="s">
        <v>4246</v>
      </c>
      <c r="H1872" s="12"/>
      <c r="L1872" s="12"/>
    </row>
    <row r="1873" spans="1:12" ht="15.75" customHeight="1" x14ac:dyDescent="0.3">
      <c r="A1873" s="29" t="s">
        <v>898</v>
      </c>
      <c r="B1873" s="50" t="str">
        <f>VLOOKUP(A1873,'Sales Order'!A$2:B$1029,1,0)</f>
        <v>SO0660</v>
      </c>
      <c r="C1873" s="29" t="s">
        <v>69</v>
      </c>
      <c r="D1873" s="50" t="str">
        <f>VLOOKUP(C1873,Product!A$2:B$21,1,0)</f>
        <v>PD0015</v>
      </c>
      <c r="E1873" s="36">
        <v>30</v>
      </c>
      <c r="F1873" s="38">
        <v>3220830</v>
      </c>
      <c r="G1873" s="39" t="s">
        <v>4247</v>
      </c>
      <c r="H1873" s="12"/>
      <c r="L1873" s="12"/>
    </row>
    <row r="1874" spans="1:12" ht="15.75" customHeight="1" x14ac:dyDescent="0.3">
      <c r="A1874" s="29" t="s">
        <v>899</v>
      </c>
      <c r="B1874" s="50" t="str">
        <f>VLOOKUP(A1874,'Sales Order'!A$2:B$1029,1,0)</f>
        <v>SO0661</v>
      </c>
      <c r="C1874" s="29" t="s">
        <v>35</v>
      </c>
      <c r="D1874" s="50" t="str">
        <f>VLOOKUP(C1874,Product!A$2:B$21,1,0)</f>
        <v>PD0005</v>
      </c>
      <c r="E1874" s="36">
        <v>78</v>
      </c>
      <c r="F1874" s="38">
        <v>130119600</v>
      </c>
      <c r="G1874" s="39" t="s">
        <v>4248</v>
      </c>
      <c r="H1874" s="12"/>
      <c r="L1874" s="12"/>
    </row>
    <row r="1875" spans="1:12" ht="15.75" customHeight="1" x14ac:dyDescent="0.3">
      <c r="A1875" s="29" t="s">
        <v>900</v>
      </c>
      <c r="B1875" s="50" t="str">
        <f>VLOOKUP(A1875,'Sales Order'!A$2:B$1029,1,0)</f>
        <v>SO0662</v>
      </c>
      <c r="C1875" s="29" t="s">
        <v>55</v>
      </c>
      <c r="D1875" s="50" t="str">
        <f>VLOOKUP(C1875,Product!A$2:B$21,1,0)</f>
        <v>PD0011</v>
      </c>
      <c r="E1875" s="36">
        <v>27</v>
      </c>
      <c r="F1875" s="38">
        <v>59234489.999999993</v>
      </c>
      <c r="G1875" s="39" t="s">
        <v>4249</v>
      </c>
      <c r="H1875" s="12"/>
      <c r="L1875" s="12"/>
    </row>
    <row r="1876" spans="1:12" ht="15.75" customHeight="1" x14ac:dyDescent="0.3">
      <c r="A1876" s="17" t="s">
        <v>901</v>
      </c>
      <c r="B1876" s="50" t="str">
        <f>VLOOKUP(A1876,'Sales Order'!A$2:B$1029,1,0)</f>
        <v>SO0663</v>
      </c>
      <c r="C1876" s="29" t="s">
        <v>43</v>
      </c>
      <c r="D1876" s="50" t="str">
        <f>VLOOKUP(C1876,Product!A$2:B$21,1,0)</f>
        <v>PD0007</v>
      </c>
      <c r="E1876" s="36">
        <v>71</v>
      </c>
      <c r="F1876" s="38">
        <v>211296000</v>
      </c>
      <c r="G1876" s="39" t="s">
        <v>4250</v>
      </c>
      <c r="H1876" s="12"/>
      <c r="L1876" s="12"/>
    </row>
    <row r="1877" spans="1:12" ht="15.75" customHeight="1" x14ac:dyDescent="0.3">
      <c r="A1877" s="29" t="s">
        <v>901</v>
      </c>
      <c r="B1877" s="50" t="str">
        <f>VLOOKUP(A1877,'Sales Order'!A$2:B$1029,1,0)</f>
        <v>SO0663</v>
      </c>
      <c r="C1877" s="29" t="s">
        <v>55</v>
      </c>
      <c r="D1877" s="50" t="str">
        <f>VLOOKUP(C1877,Product!A$2:B$21,1,0)</f>
        <v>PD0011</v>
      </c>
      <c r="E1877" s="36">
        <v>42</v>
      </c>
      <c r="F1877" s="38">
        <v>92142540</v>
      </c>
      <c r="G1877" s="39" t="s">
        <v>4251</v>
      </c>
      <c r="H1877" s="12"/>
      <c r="L1877" s="12"/>
    </row>
    <row r="1878" spans="1:12" ht="15.75" customHeight="1" x14ac:dyDescent="0.3">
      <c r="A1878" s="17" t="s">
        <v>902</v>
      </c>
      <c r="B1878" s="50" t="str">
        <f>VLOOKUP(A1878,'Sales Order'!A$2:B$1029,1,0)</f>
        <v>SO0664</v>
      </c>
      <c r="C1878" s="29" t="s">
        <v>35</v>
      </c>
      <c r="D1878" s="50" t="str">
        <f>VLOOKUP(C1878,Product!A$2:B$21,1,0)</f>
        <v>PD0005</v>
      </c>
      <c r="E1878" s="36">
        <v>30</v>
      </c>
      <c r="F1878" s="38">
        <v>55972500</v>
      </c>
      <c r="G1878" s="39" t="s">
        <v>4252</v>
      </c>
      <c r="H1878" s="12"/>
      <c r="L1878" s="12"/>
    </row>
    <row r="1879" spans="1:12" ht="15.75" customHeight="1" x14ac:dyDescent="0.3">
      <c r="A1879" s="29" t="s">
        <v>902</v>
      </c>
      <c r="B1879" s="50" t="str">
        <f>VLOOKUP(A1879,'Sales Order'!A$2:B$1029,1,0)</f>
        <v>SO0664</v>
      </c>
      <c r="C1879" s="29" t="s">
        <v>48</v>
      </c>
      <c r="D1879" s="50" t="str">
        <f>VLOOKUP(C1879,Product!A$2:B$21,1,0)</f>
        <v>PD0009</v>
      </c>
      <c r="E1879" s="36">
        <v>26</v>
      </c>
      <c r="F1879" s="38">
        <v>3018600</v>
      </c>
      <c r="G1879" s="39" t="s">
        <v>4253</v>
      </c>
      <c r="H1879" s="12"/>
      <c r="L1879" s="12"/>
    </row>
    <row r="1880" spans="1:12" ht="15.75" customHeight="1" x14ac:dyDescent="0.3">
      <c r="A1880" s="29" t="s">
        <v>902</v>
      </c>
      <c r="B1880" s="50" t="str">
        <f>VLOOKUP(A1880,'Sales Order'!A$2:B$1029,1,0)</f>
        <v>SO0664</v>
      </c>
      <c r="C1880" s="29" t="s">
        <v>40</v>
      </c>
      <c r="D1880" s="50" t="str">
        <f>VLOOKUP(C1880,Product!A$2:B$21,1,0)</f>
        <v>PD0006</v>
      </c>
      <c r="E1880" s="36">
        <v>145</v>
      </c>
      <c r="F1880" s="38">
        <v>28183649.999999996</v>
      </c>
      <c r="G1880" s="39" t="s">
        <v>4254</v>
      </c>
      <c r="H1880" s="12"/>
      <c r="L1880" s="12"/>
    </row>
    <row r="1881" spans="1:12" ht="15.75" customHeight="1" x14ac:dyDescent="0.3">
      <c r="A1881" s="29" t="s">
        <v>902</v>
      </c>
      <c r="B1881" s="50" t="str">
        <f>VLOOKUP(A1881,'Sales Order'!A$2:B$1029,1,0)</f>
        <v>SO0664</v>
      </c>
      <c r="C1881" s="29" t="s">
        <v>33</v>
      </c>
      <c r="D1881" s="50" t="str">
        <f>VLOOKUP(C1881,Product!A$2:B$21,1,0)</f>
        <v>PD0004</v>
      </c>
      <c r="E1881" s="36">
        <v>66</v>
      </c>
      <c r="F1881" s="38">
        <v>11761200</v>
      </c>
      <c r="G1881" s="39" t="s">
        <v>4255</v>
      </c>
      <c r="H1881" s="12"/>
      <c r="L1881" s="12"/>
    </row>
    <row r="1882" spans="1:12" ht="15.75" customHeight="1" x14ac:dyDescent="0.3">
      <c r="A1882" s="29" t="s">
        <v>902</v>
      </c>
      <c r="B1882" s="50" t="str">
        <f>VLOOKUP(A1882,'Sales Order'!A$2:B$1029,1,0)</f>
        <v>SO0664</v>
      </c>
      <c r="C1882" s="29" t="s">
        <v>25</v>
      </c>
      <c r="D1882" s="50" t="str">
        <f>VLOOKUP(C1882,Product!A$2:B$21,1,0)</f>
        <v>PD0002</v>
      </c>
      <c r="E1882" s="36">
        <v>64</v>
      </c>
      <c r="F1882" s="38">
        <v>1190400</v>
      </c>
      <c r="G1882" s="39" t="s">
        <v>4256</v>
      </c>
      <c r="H1882" s="12"/>
      <c r="L1882" s="12"/>
    </row>
    <row r="1883" spans="1:12" ht="15.75" customHeight="1" x14ac:dyDescent="0.3">
      <c r="A1883" s="17" t="s">
        <v>903</v>
      </c>
      <c r="B1883" s="50" t="str">
        <f>VLOOKUP(A1883,'Sales Order'!A$2:B$1029,1,0)</f>
        <v>SO0665</v>
      </c>
      <c r="C1883" s="29" t="s">
        <v>33</v>
      </c>
      <c r="D1883" s="50" t="str">
        <f>VLOOKUP(C1883,Product!A$2:B$21,1,0)</f>
        <v>PD0004</v>
      </c>
      <c r="E1883" s="36">
        <v>62</v>
      </c>
      <c r="F1883" s="38">
        <v>12139600</v>
      </c>
      <c r="G1883" s="39" t="s">
        <v>4257</v>
      </c>
      <c r="H1883" s="12"/>
      <c r="L1883" s="12"/>
    </row>
    <row r="1884" spans="1:12" ht="15.75" customHeight="1" x14ac:dyDescent="0.3">
      <c r="A1884" s="29" t="s">
        <v>903</v>
      </c>
      <c r="B1884" s="50" t="str">
        <f>VLOOKUP(A1884,'Sales Order'!A$2:B$1029,1,0)</f>
        <v>SO0665</v>
      </c>
      <c r="C1884" s="29" t="s">
        <v>19</v>
      </c>
      <c r="D1884" s="50" t="str">
        <f>VLOOKUP(C1884,Product!A$2:B$21,1,0)</f>
        <v>PD0001</v>
      </c>
      <c r="E1884" s="36">
        <v>38</v>
      </c>
      <c r="F1884" s="38">
        <v>8515800</v>
      </c>
      <c r="G1884" s="39" t="s">
        <v>4258</v>
      </c>
      <c r="H1884" s="12"/>
      <c r="L1884" s="12"/>
    </row>
    <row r="1885" spans="1:12" ht="15.75" customHeight="1" x14ac:dyDescent="0.3">
      <c r="A1885" s="29" t="s">
        <v>903</v>
      </c>
      <c r="B1885" s="50" t="str">
        <f>VLOOKUP(A1885,'Sales Order'!A$2:B$1029,1,0)</f>
        <v>SO0665</v>
      </c>
      <c r="C1885" s="29" t="s">
        <v>35</v>
      </c>
      <c r="D1885" s="50" t="str">
        <f>VLOOKUP(C1885,Product!A$2:B$21,1,0)</f>
        <v>PD0005</v>
      </c>
      <c r="E1885" s="36">
        <v>52</v>
      </c>
      <c r="F1885" s="38">
        <v>91312000</v>
      </c>
      <c r="G1885" s="39" t="s">
        <v>4259</v>
      </c>
      <c r="H1885" s="12"/>
      <c r="L1885" s="12"/>
    </row>
    <row r="1886" spans="1:12" ht="15.75" customHeight="1" x14ac:dyDescent="0.3">
      <c r="A1886" s="29" t="s">
        <v>903</v>
      </c>
      <c r="B1886" s="50" t="str">
        <f>VLOOKUP(A1886,'Sales Order'!A$2:B$1029,1,0)</f>
        <v>SO0665</v>
      </c>
      <c r="C1886" s="29" t="s">
        <v>81</v>
      </c>
      <c r="D1886" s="50" t="str">
        <f>VLOOKUP(C1886,Product!A$2:B$21,1,0)</f>
        <v>PD0019</v>
      </c>
      <c r="E1886" s="36">
        <v>146</v>
      </c>
      <c r="F1886" s="38">
        <v>327495520</v>
      </c>
      <c r="G1886" s="39" t="s">
        <v>4260</v>
      </c>
      <c r="H1886" s="12"/>
      <c r="L1886" s="12"/>
    </row>
    <row r="1887" spans="1:12" ht="15.75" customHeight="1" x14ac:dyDescent="0.3">
      <c r="A1887" s="17" t="s">
        <v>904</v>
      </c>
      <c r="B1887" s="50" t="str">
        <f>VLOOKUP(A1887,'Sales Order'!A$2:B$1029,1,0)</f>
        <v>SO0666</v>
      </c>
      <c r="C1887" s="29" t="s">
        <v>55</v>
      </c>
      <c r="D1887" s="50" t="str">
        <f>VLOOKUP(C1887,Product!A$2:B$21,1,0)</f>
        <v>PD0011</v>
      </c>
      <c r="E1887" s="36">
        <v>131</v>
      </c>
      <c r="F1887" s="38">
        <v>275035810</v>
      </c>
      <c r="G1887" s="39" t="s">
        <v>4261</v>
      </c>
      <c r="H1887" s="12"/>
      <c r="L1887" s="12"/>
    </row>
    <row r="1888" spans="1:12" ht="15.75" customHeight="1" x14ac:dyDescent="0.3">
      <c r="A1888" s="29" t="s">
        <v>904</v>
      </c>
      <c r="B1888" s="50" t="str">
        <f>VLOOKUP(A1888,'Sales Order'!A$2:B$1029,1,0)</f>
        <v>SO0666</v>
      </c>
      <c r="C1888" s="29" t="s">
        <v>78</v>
      </c>
      <c r="D1888" s="50" t="str">
        <f>VLOOKUP(C1888,Product!A$2:B$21,1,0)</f>
        <v>PD0018</v>
      </c>
      <c r="E1888" s="36">
        <v>32</v>
      </c>
      <c r="F1888" s="38">
        <v>13789440</v>
      </c>
      <c r="G1888" s="39" t="s">
        <v>4262</v>
      </c>
      <c r="H1888" s="12"/>
      <c r="L1888" s="12"/>
    </row>
    <row r="1889" spans="1:12" ht="15.75" customHeight="1" x14ac:dyDescent="0.3">
      <c r="A1889" s="17" t="s">
        <v>905</v>
      </c>
      <c r="B1889" s="50" t="str">
        <f>VLOOKUP(A1889,'Sales Order'!A$2:B$1029,1,0)</f>
        <v>SO0667</v>
      </c>
      <c r="C1889" s="29" t="s">
        <v>78</v>
      </c>
      <c r="D1889" s="50" t="str">
        <f>VLOOKUP(C1889,Product!A$2:B$21,1,0)</f>
        <v>PD0018</v>
      </c>
      <c r="E1889" s="36">
        <v>46</v>
      </c>
      <c r="F1889" s="38">
        <v>19822320</v>
      </c>
      <c r="G1889" s="39" t="s">
        <v>4263</v>
      </c>
      <c r="H1889" s="12"/>
      <c r="L1889" s="12"/>
    </row>
    <row r="1890" spans="1:12" ht="15.75" customHeight="1" x14ac:dyDescent="0.3">
      <c r="A1890" s="29" t="s">
        <v>905</v>
      </c>
      <c r="B1890" s="50" t="str">
        <f>VLOOKUP(A1890,'Sales Order'!A$2:B$1029,1,0)</f>
        <v>SO0667</v>
      </c>
      <c r="C1890" s="29" t="s">
        <v>52</v>
      </c>
      <c r="D1890" s="50" t="str">
        <f>VLOOKUP(C1890,Product!A$2:B$21,1,0)</f>
        <v>PD0010</v>
      </c>
      <c r="E1890" s="36">
        <v>39</v>
      </c>
      <c r="F1890" s="38">
        <v>10773750</v>
      </c>
      <c r="G1890" s="39" t="s">
        <v>4264</v>
      </c>
      <c r="H1890" s="12"/>
      <c r="L1890" s="12"/>
    </row>
    <row r="1891" spans="1:12" ht="15.75" customHeight="1" x14ac:dyDescent="0.3">
      <c r="A1891" s="17" t="s">
        <v>906</v>
      </c>
      <c r="B1891" s="50" t="str">
        <f>VLOOKUP(A1891,'Sales Order'!A$2:B$1029,1,0)</f>
        <v>SO0668</v>
      </c>
      <c r="C1891" s="29" t="s">
        <v>35</v>
      </c>
      <c r="D1891" s="50" t="str">
        <f>VLOOKUP(C1891,Product!A$2:B$21,1,0)</f>
        <v>PD0005</v>
      </c>
      <c r="E1891" s="36">
        <v>79</v>
      </c>
      <c r="F1891" s="38">
        <v>161266650</v>
      </c>
      <c r="G1891" s="39" t="s">
        <v>4265</v>
      </c>
      <c r="H1891" s="12"/>
      <c r="L1891" s="12"/>
    </row>
    <row r="1892" spans="1:12" ht="15.75" customHeight="1" x14ac:dyDescent="0.3">
      <c r="A1892" s="29" t="s">
        <v>906</v>
      </c>
      <c r="B1892" s="50" t="str">
        <f>VLOOKUP(A1892,'Sales Order'!A$2:B$1029,1,0)</f>
        <v>SO0668</v>
      </c>
      <c r="C1892" s="29" t="s">
        <v>25</v>
      </c>
      <c r="D1892" s="50" t="str">
        <f>VLOOKUP(C1892,Product!A$2:B$21,1,0)</f>
        <v>PD0002</v>
      </c>
      <c r="E1892" s="36">
        <v>83</v>
      </c>
      <c r="F1892" s="38">
        <v>1377800</v>
      </c>
      <c r="G1892" s="39" t="s">
        <v>4266</v>
      </c>
      <c r="H1892" s="12"/>
      <c r="L1892" s="12"/>
    </row>
    <row r="1893" spans="1:12" ht="15.75" customHeight="1" x14ac:dyDescent="0.3">
      <c r="A1893" s="17" t="s">
        <v>907</v>
      </c>
      <c r="B1893" s="50" t="str">
        <f>VLOOKUP(A1893,'Sales Order'!A$2:B$1029,1,0)</f>
        <v>SO0669</v>
      </c>
      <c r="C1893" s="29" t="s">
        <v>58</v>
      </c>
      <c r="D1893" s="50" t="str">
        <f>VLOOKUP(C1893,Product!A$2:B$21,1,0)</f>
        <v>PD0012</v>
      </c>
      <c r="E1893" s="36">
        <v>88</v>
      </c>
      <c r="F1893" s="38">
        <v>446608800</v>
      </c>
      <c r="G1893" s="39" t="s">
        <v>4267</v>
      </c>
      <c r="H1893" s="12"/>
      <c r="L1893" s="12"/>
    </row>
    <row r="1894" spans="1:12" ht="15.75" customHeight="1" x14ac:dyDescent="0.3">
      <c r="A1894" s="17" t="s">
        <v>908</v>
      </c>
      <c r="B1894" s="50" t="str">
        <f>VLOOKUP(A1894,'Sales Order'!A$2:B$1029,1,0)</f>
        <v>SO0670</v>
      </c>
      <c r="C1894" s="29" t="s">
        <v>72</v>
      </c>
      <c r="D1894" s="50" t="str">
        <f>VLOOKUP(C1894,Product!A$2:B$21,1,0)</f>
        <v>PD0016</v>
      </c>
      <c r="E1894" s="36">
        <v>97</v>
      </c>
      <c r="F1894" s="38">
        <v>22014150</v>
      </c>
      <c r="G1894" s="39" t="s">
        <v>4268</v>
      </c>
      <c r="H1894" s="12"/>
      <c r="L1894" s="12"/>
    </row>
    <row r="1895" spans="1:12" ht="15.75" customHeight="1" x14ac:dyDescent="0.3">
      <c r="A1895" s="29" t="s">
        <v>908</v>
      </c>
      <c r="B1895" s="50" t="str">
        <f>VLOOKUP(A1895,'Sales Order'!A$2:B$1029,1,0)</f>
        <v>SO0670</v>
      </c>
      <c r="C1895" s="29" t="s">
        <v>25</v>
      </c>
      <c r="D1895" s="50" t="str">
        <f>VLOOKUP(C1895,Product!A$2:B$21,1,0)</f>
        <v>PD0002</v>
      </c>
      <c r="E1895" s="36">
        <v>139</v>
      </c>
      <c r="F1895" s="38">
        <v>2335200</v>
      </c>
      <c r="G1895" s="39" t="s">
        <v>4269</v>
      </c>
      <c r="H1895" s="12"/>
      <c r="L1895" s="12"/>
    </row>
    <row r="1896" spans="1:12" ht="15.75" customHeight="1" x14ac:dyDescent="0.3">
      <c r="A1896" s="17" t="s">
        <v>909</v>
      </c>
      <c r="B1896" s="50" t="str">
        <f>VLOOKUP(A1896,'Sales Order'!A$2:B$1029,1,0)</f>
        <v>SO0671</v>
      </c>
      <c r="C1896" s="29" t="s">
        <v>81</v>
      </c>
      <c r="D1896" s="50" t="str">
        <f>VLOOKUP(C1896,Product!A$2:B$21,1,0)</f>
        <v>PD0019</v>
      </c>
      <c r="E1896" s="36">
        <v>149</v>
      </c>
      <c r="F1896" s="38">
        <v>319032840</v>
      </c>
      <c r="G1896" s="39" t="s">
        <v>4270</v>
      </c>
      <c r="H1896" s="12"/>
      <c r="L1896" s="12"/>
    </row>
    <row r="1897" spans="1:12" ht="15.75" customHeight="1" x14ac:dyDescent="0.3">
      <c r="A1897" s="29" t="s">
        <v>909</v>
      </c>
      <c r="B1897" s="50" t="str">
        <f>VLOOKUP(A1897,'Sales Order'!A$2:B$1029,1,0)</f>
        <v>SO0671</v>
      </c>
      <c r="C1897" s="29" t="s">
        <v>52</v>
      </c>
      <c r="D1897" s="50" t="str">
        <f>VLOOKUP(C1897,Product!A$2:B$21,1,0)</f>
        <v>PD0010</v>
      </c>
      <c r="E1897" s="36">
        <v>62</v>
      </c>
      <c r="F1897" s="38">
        <v>17530500</v>
      </c>
      <c r="G1897" s="39" t="s">
        <v>4271</v>
      </c>
      <c r="H1897" s="12"/>
      <c r="L1897" s="12"/>
    </row>
    <row r="1898" spans="1:12" ht="15.75" customHeight="1" x14ac:dyDescent="0.3">
      <c r="A1898" s="29" t="s">
        <v>909</v>
      </c>
      <c r="B1898" s="50" t="str">
        <f>VLOOKUP(A1898,'Sales Order'!A$2:B$1029,1,0)</f>
        <v>SO0671</v>
      </c>
      <c r="C1898" s="29" t="s">
        <v>19</v>
      </c>
      <c r="D1898" s="50" t="str">
        <f>VLOOKUP(C1898,Product!A$2:B$21,1,0)</f>
        <v>PD0001</v>
      </c>
      <c r="E1898" s="36">
        <v>106</v>
      </c>
      <c r="F1898" s="38">
        <v>22698840</v>
      </c>
      <c r="G1898" s="39" t="s">
        <v>4272</v>
      </c>
      <c r="H1898" s="12"/>
      <c r="L1898" s="12"/>
    </row>
    <row r="1899" spans="1:12" ht="15.75" customHeight="1" x14ac:dyDescent="0.3">
      <c r="A1899" s="29" t="s">
        <v>909</v>
      </c>
      <c r="B1899" s="50" t="str">
        <f>VLOOKUP(A1899,'Sales Order'!A$2:B$1029,1,0)</f>
        <v>SO0671</v>
      </c>
      <c r="C1899" s="29" t="s">
        <v>65</v>
      </c>
      <c r="D1899" s="50" t="str">
        <f>VLOOKUP(C1899,Product!A$2:B$21,1,0)</f>
        <v>PD0014</v>
      </c>
      <c r="E1899" s="36">
        <v>42</v>
      </c>
      <c r="F1899" s="38">
        <v>10092600</v>
      </c>
      <c r="G1899" s="39" t="s">
        <v>4273</v>
      </c>
      <c r="H1899" s="12"/>
      <c r="L1899" s="12"/>
    </row>
    <row r="1900" spans="1:12" ht="15.75" customHeight="1" x14ac:dyDescent="0.3">
      <c r="A1900" s="17" t="s">
        <v>910</v>
      </c>
      <c r="B1900" s="50" t="str">
        <f>VLOOKUP(A1900,'Sales Order'!A$2:B$1029,1,0)</f>
        <v>SO0672</v>
      </c>
      <c r="C1900" s="29" t="s">
        <v>25</v>
      </c>
      <c r="D1900" s="50" t="str">
        <f>VLOOKUP(C1900,Product!A$2:B$21,1,0)</f>
        <v>PD0002</v>
      </c>
      <c r="E1900" s="36">
        <v>148</v>
      </c>
      <c r="F1900" s="38">
        <v>2279200</v>
      </c>
      <c r="G1900" s="39" t="s">
        <v>4274</v>
      </c>
      <c r="H1900" s="12"/>
      <c r="L1900" s="12"/>
    </row>
    <row r="1901" spans="1:12" ht="15.75" customHeight="1" x14ac:dyDescent="0.3">
      <c r="A1901" s="29" t="s">
        <v>910</v>
      </c>
      <c r="B1901" s="50" t="str">
        <f>VLOOKUP(A1901,'Sales Order'!A$2:B$1029,1,0)</f>
        <v>SO0672</v>
      </c>
      <c r="C1901" s="29" t="s">
        <v>43</v>
      </c>
      <c r="D1901" s="50" t="str">
        <f>VLOOKUP(C1901,Product!A$2:B$21,1,0)</f>
        <v>PD0007</v>
      </c>
      <c r="E1901" s="36">
        <v>147</v>
      </c>
      <c r="F1901" s="38">
        <v>381024000</v>
      </c>
      <c r="G1901" s="39" t="s">
        <v>4275</v>
      </c>
      <c r="H1901" s="12"/>
      <c r="L1901" s="12"/>
    </row>
    <row r="1902" spans="1:12" ht="15.75" customHeight="1" x14ac:dyDescent="0.3">
      <c r="A1902" s="17" t="s">
        <v>911</v>
      </c>
      <c r="B1902" s="50" t="str">
        <f>VLOOKUP(A1902,'Sales Order'!A$2:B$1029,1,0)</f>
        <v>SO0673</v>
      </c>
      <c r="C1902" s="29" t="s">
        <v>45</v>
      </c>
      <c r="D1902" s="50" t="str">
        <f>VLOOKUP(C1902,Product!A$2:B$21,1,0)</f>
        <v>PD0008</v>
      </c>
      <c r="E1902" s="36">
        <v>127</v>
      </c>
      <c r="F1902" s="38">
        <v>17030700</v>
      </c>
      <c r="G1902" s="39" t="s">
        <v>4276</v>
      </c>
      <c r="H1902" s="12"/>
      <c r="L1902" s="12"/>
    </row>
    <row r="1903" spans="1:12" ht="15.75" customHeight="1" x14ac:dyDescent="0.3">
      <c r="A1903" s="29" t="s">
        <v>911</v>
      </c>
      <c r="B1903" s="50" t="str">
        <f>VLOOKUP(A1903,'Sales Order'!A$2:B$1029,1,0)</f>
        <v>SO0673</v>
      </c>
      <c r="C1903" s="29" t="s">
        <v>65</v>
      </c>
      <c r="D1903" s="50" t="str">
        <f>VLOOKUP(C1903,Product!A$2:B$21,1,0)</f>
        <v>PD0014</v>
      </c>
      <c r="E1903" s="36">
        <v>123</v>
      </c>
      <c r="F1903" s="38">
        <v>29885310</v>
      </c>
      <c r="G1903" s="39" t="s">
        <v>4277</v>
      </c>
      <c r="H1903" s="12"/>
      <c r="L1903" s="12"/>
    </row>
    <row r="1904" spans="1:12" ht="15.75" customHeight="1" x14ac:dyDescent="0.3">
      <c r="A1904" s="29" t="s">
        <v>911</v>
      </c>
      <c r="B1904" s="50" t="str">
        <f>VLOOKUP(A1904,'Sales Order'!A$2:B$1029,1,0)</f>
        <v>SO0673</v>
      </c>
      <c r="C1904" s="29" t="s">
        <v>35</v>
      </c>
      <c r="D1904" s="50" t="str">
        <f>VLOOKUP(C1904,Product!A$2:B$21,1,0)</f>
        <v>PD0005</v>
      </c>
      <c r="E1904" s="36">
        <v>132</v>
      </c>
      <c r="F1904" s="38">
        <v>269458200</v>
      </c>
      <c r="G1904" s="39" t="s">
        <v>4278</v>
      </c>
      <c r="H1904" s="12"/>
      <c r="L1904" s="12"/>
    </row>
    <row r="1905" spans="1:12" ht="15.75" customHeight="1" x14ac:dyDescent="0.3">
      <c r="A1905" s="29" t="s">
        <v>911</v>
      </c>
      <c r="B1905" s="50" t="str">
        <f>VLOOKUP(A1905,'Sales Order'!A$2:B$1029,1,0)</f>
        <v>SO0673</v>
      </c>
      <c r="C1905" s="29" t="s">
        <v>52</v>
      </c>
      <c r="D1905" s="50" t="str">
        <f>VLOOKUP(C1905,Product!A$2:B$21,1,0)</f>
        <v>PD0010</v>
      </c>
      <c r="E1905" s="36">
        <v>44</v>
      </c>
      <c r="F1905" s="38">
        <v>11583000</v>
      </c>
      <c r="G1905" s="39" t="s">
        <v>4279</v>
      </c>
      <c r="H1905" s="12"/>
      <c r="L1905" s="12"/>
    </row>
    <row r="1906" spans="1:12" ht="15.75" customHeight="1" x14ac:dyDescent="0.3">
      <c r="A1906" s="17" t="s">
        <v>912</v>
      </c>
      <c r="B1906" s="50" t="str">
        <f>VLOOKUP(A1906,'Sales Order'!A$2:B$1029,1,0)</f>
        <v>SO0674</v>
      </c>
      <c r="C1906" s="29" t="s">
        <v>65</v>
      </c>
      <c r="D1906" s="50" t="str">
        <f>VLOOKUP(C1906,Product!A$2:B$21,1,0)</f>
        <v>PD0014</v>
      </c>
      <c r="E1906" s="36">
        <v>49</v>
      </c>
      <c r="F1906" s="38">
        <v>11643870</v>
      </c>
      <c r="G1906" s="39" t="s">
        <v>4280</v>
      </c>
      <c r="H1906" s="12"/>
      <c r="L1906" s="12"/>
    </row>
    <row r="1907" spans="1:12" ht="15.75" customHeight="1" x14ac:dyDescent="0.3">
      <c r="A1907" s="17" t="s">
        <v>913</v>
      </c>
      <c r="B1907" s="50" t="str">
        <f>VLOOKUP(A1907,'Sales Order'!A$2:B$1029,1,0)</f>
        <v>SO0675</v>
      </c>
      <c r="C1907" s="29" t="s">
        <v>33</v>
      </c>
      <c r="D1907" s="50" t="str">
        <f>VLOOKUP(C1907,Product!A$2:B$21,1,0)</f>
        <v>PD0004</v>
      </c>
      <c r="E1907" s="36">
        <v>72</v>
      </c>
      <c r="F1907" s="38">
        <v>13464000</v>
      </c>
      <c r="G1907" s="39" t="s">
        <v>4281</v>
      </c>
      <c r="H1907" s="12"/>
      <c r="L1907" s="12"/>
    </row>
    <row r="1908" spans="1:12" ht="15.75" customHeight="1" x14ac:dyDescent="0.3">
      <c r="A1908" s="29" t="s">
        <v>913</v>
      </c>
      <c r="B1908" s="50" t="str">
        <f>VLOOKUP(A1908,'Sales Order'!A$2:B$1029,1,0)</f>
        <v>SO0675</v>
      </c>
      <c r="C1908" s="29" t="s">
        <v>28</v>
      </c>
      <c r="D1908" s="50" t="str">
        <f>VLOOKUP(C1908,Product!A$2:B$21,1,0)</f>
        <v>PD0003</v>
      </c>
      <c r="E1908" s="36">
        <v>40</v>
      </c>
      <c r="F1908" s="38">
        <v>29792000</v>
      </c>
      <c r="G1908" s="39" t="s">
        <v>4282</v>
      </c>
      <c r="H1908" s="12"/>
      <c r="L1908" s="12"/>
    </row>
    <row r="1909" spans="1:12" ht="15.75" customHeight="1" x14ac:dyDescent="0.3">
      <c r="A1909" s="29" t="s">
        <v>913</v>
      </c>
      <c r="B1909" s="50" t="str">
        <f>VLOOKUP(A1909,'Sales Order'!A$2:B$1029,1,0)</f>
        <v>SO0675</v>
      </c>
      <c r="C1909" s="29" t="s">
        <v>40</v>
      </c>
      <c r="D1909" s="50" t="str">
        <f>VLOOKUP(C1909,Product!A$2:B$21,1,0)</f>
        <v>PD0006</v>
      </c>
      <c r="E1909" s="36">
        <v>129</v>
      </c>
      <c r="F1909" s="38">
        <v>25612950</v>
      </c>
      <c r="G1909" s="39" t="s">
        <v>4283</v>
      </c>
      <c r="H1909" s="12"/>
      <c r="L1909" s="12"/>
    </row>
    <row r="1910" spans="1:12" ht="15.75" customHeight="1" x14ac:dyDescent="0.3">
      <c r="A1910" s="17" t="s">
        <v>914</v>
      </c>
      <c r="B1910" s="50" t="str">
        <f>VLOOKUP(A1910,'Sales Order'!A$2:B$1029,1,0)</f>
        <v>SO0676</v>
      </c>
      <c r="C1910" s="29" t="s">
        <v>40</v>
      </c>
      <c r="D1910" s="50" t="str">
        <f>VLOOKUP(C1910,Product!A$2:B$21,1,0)</f>
        <v>PD0006</v>
      </c>
      <c r="E1910" s="36">
        <v>46</v>
      </c>
      <c r="F1910" s="38">
        <v>8364180</v>
      </c>
      <c r="G1910" s="39" t="s">
        <v>4284</v>
      </c>
      <c r="H1910" s="12"/>
      <c r="L1910" s="12"/>
    </row>
    <row r="1911" spans="1:12" ht="15.75" customHeight="1" x14ac:dyDescent="0.3">
      <c r="A1911" s="29" t="s">
        <v>914</v>
      </c>
      <c r="B1911" s="50" t="str">
        <f>VLOOKUP(A1911,'Sales Order'!A$2:B$1029,1,0)</f>
        <v>SO0676</v>
      </c>
      <c r="C1911" s="29" t="s">
        <v>35</v>
      </c>
      <c r="D1911" s="50" t="str">
        <f>VLOOKUP(C1911,Product!A$2:B$21,1,0)</f>
        <v>PD0005</v>
      </c>
      <c r="E1911" s="36">
        <v>80</v>
      </c>
      <c r="F1911" s="38">
        <v>149260000</v>
      </c>
      <c r="G1911" s="39" t="s">
        <v>4285</v>
      </c>
      <c r="H1911" s="12"/>
      <c r="L1911" s="12"/>
    </row>
    <row r="1912" spans="1:12" ht="15.75" customHeight="1" x14ac:dyDescent="0.3">
      <c r="A1912" s="29" t="s">
        <v>914</v>
      </c>
      <c r="B1912" s="50" t="str">
        <f>VLOOKUP(A1912,'Sales Order'!A$2:B$1029,1,0)</f>
        <v>SO0676</v>
      </c>
      <c r="C1912" s="29" t="s">
        <v>55</v>
      </c>
      <c r="D1912" s="50" t="str">
        <f>VLOOKUP(C1912,Product!A$2:B$21,1,0)</f>
        <v>PD0011</v>
      </c>
      <c r="E1912" s="36">
        <v>38</v>
      </c>
      <c r="F1912" s="38">
        <v>72610020</v>
      </c>
      <c r="G1912" s="39" t="s">
        <v>4286</v>
      </c>
      <c r="H1912" s="12"/>
      <c r="L1912" s="12"/>
    </row>
    <row r="1913" spans="1:12" ht="15.75" customHeight="1" x14ac:dyDescent="0.3">
      <c r="A1913" s="29" t="s">
        <v>914</v>
      </c>
      <c r="B1913" s="50" t="str">
        <f>VLOOKUP(A1913,'Sales Order'!A$2:B$1029,1,0)</f>
        <v>SO0676</v>
      </c>
      <c r="C1913" s="29" t="s">
        <v>43</v>
      </c>
      <c r="D1913" s="50" t="str">
        <f>VLOOKUP(C1913,Product!A$2:B$21,1,0)</f>
        <v>PD0007</v>
      </c>
      <c r="E1913" s="36">
        <v>87</v>
      </c>
      <c r="F1913" s="38">
        <v>233856000</v>
      </c>
      <c r="G1913" s="39" t="s">
        <v>4287</v>
      </c>
      <c r="H1913" s="12"/>
      <c r="L1913" s="12"/>
    </row>
    <row r="1914" spans="1:12" ht="15.75" customHeight="1" x14ac:dyDescent="0.3">
      <c r="A1914" s="29" t="s">
        <v>915</v>
      </c>
      <c r="B1914" s="50" t="str">
        <f>VLOOKUP(A1914,'Sales Order'!A$2:B$1029,1,0)</f>
        <v>SO0677</v>
      </c>
      <c r="C1914" s="29" t="s">
        <v>52</v>
      </c>
      <c r="D1914" s="50" t="str">
        <f>VLOOKUP(C1914,Product!A$2:B$21,1,0)</f>
        <v>PD0010</v>
      </c>
      <c r="E1914" s="36">
        <v>67</v>
      </c>
      <c r="F1914" s="38">
        <v>19379750</v>
      </c>
      <c r="G1914" s="39" t="s">
        <v>4288</v>
      </c>
      <c r="H1914" s="12"/>
      <c r="L1914" s="12"/>
    </row>
    <row r="1915" spans="1:12" ht="15.75" customHeight="1" x14ac:dyDescent="0.3">
      <c r="A1915" s="29" t="s">
        <v>915</v>
      </c>
      <c r="B1915" s="50" t="str">
        <f>VLOOKUP(A1915,'Sales Order'!A$2:B$1029,1,0)</f>
        <v>SO0677</v>
      </c>
      <c r="C1915" s="29" t="s">
        <v>61</v>
      </c>
      <c r="D1915" s="50" t="str">
        <f>VLOOKUP(C1915,Product!A$2:B$21,1,0)</f>
        <v>PD0013</v>
      </c>
      <c r="E1915" s="36">
        <v>70</v>
      </c>
      <c r="F1915" s="38">
        <v>26488700</v>
      </c>
      <c r="G1915" s="39" t="s">
        <v>4289</v>
      </c>
      <c r="H1915" s="12"/>
      <c r="L1915" s="12"/>
    </row>
    <row r="1916" spans="1:12" ht="15.75" customHeight="1" x14ac:dyDescent="0.3">
      <c r="A1916" s="29" t="s">
        <v>915</v>
      </c>
      <c r="B1916" s="50" t="str">
        <f>VLOOKUP(A1916,'Sales Order'!A$2:B$1029,1,0)</f>
        <v>SO0677</v>
      </c>
      <c r="C1916" s="29" t="s">
        <v>48</v>
      </c>
      <c r="D1916" s="50" t="str">
        <f>VLOOKUP(C1916,Product!A$2:B$21,1,0)</f>
        <v>PD0009</v>
      </c>
      <c r="E1916" s="36">
        <v>40</v>
      </c>
      <c r="F1916" s="38">
        <v>4592400</v>
      </c>
      <c r="G1916" s="39" t="s">
        <v>4290</v>
      </c>
      <c r="H1916" s="12"/>
      <c r="L1916" s="12"/>
    </row>
    <row r="1917" spans="1:12" ht="15.75" customHeight="1" x14ac:dyDescent="0.3">
      <c r="A1917" s="29" t="s">
        <v>915</v>
      </c>
      <c r="B1917" s="50" t="str">
        <f>VLOOKUP(A1917,'Sales Order'!A$2:B$1029,1,0)</f>
        <v>SO0677</v>
      </c>
      <c r="C1917" s="29" t="s">
        <v>65</v>
      </c>
      <c r="D1917" s="50" t="str">
        <f>VLOOKUP(C1917,Product!A$2:B$21,1,0)</f>
        <v>PD0014</v>
      </c>
      <c r="E1917" s="36">
        <v>124</v>
      </c>
      <c r="F1917" s="38">
        <v>27810720</v>
      </c>
      <c r="G1917" s="39" t="s">
        <v>4291</v>
      </c>
      <c r="H1917" s="12"/>
      <c r="L1917" s="12"/>
    </row>
    <row r="1918" spans="1:12" ht="15.75" customHeight="1" x14ac:dyDescent="0.3">
      <c r="A1918" s="17" t="s">
        <v>916</v>
      </c>
      <c r="B1918" s="50" t="str">
        <f>VLOOKUP(A1918,'Sales Order'!A$2:B$1029,1,0)</f>
        <v>SO0678</v>
      </c>
      <c r="C1918" s="29" t="s">
        <v>45</v>
      </c>
      <c r="D1918" s="50" t="str">
        <f>VLOOKUP(C1918,Product!A$2:B$21,1,0)</f>
        <v>PD0008</v>
      </c>
      <c r="E1918" s="36">
        <v>112</v>
      </c>
      <c r="F1918" s="38">
        <v>14518560</v>
      </c>
      <c r="G1918" s="39" t="s">
        <v>4292</v>
      </c>
      <c r="H1918" s="12"/>
      <c r="L1918" s="12"/>
    </row>
    <row r="1919" spans="1:12" ht="15.75" customHeight="1" x14ac:dyDescent="0.3">
      <c r="A1919" s="29" t="s">
        <v>916</v>
      </c>
      <c r="B1919" s="50" t="str">
        <f>VLOOKUP(A1919,'Sales Order'!A$2:B$1029,1,0)</f>
        <v>SO0678</v>
      </c>
      <c r="C1919" s="29" t="s">
        <v>52</v>
      </c>
      <c r="D1919" s="50" t="str">
        <f>VLOOKUP(C1919,Product!A$2:B$21,1,0)</f>
        <v>PD0010</v>
      </c>
      <c r="E1919" s="36">
        <v>107</v>
      </c>
      <c r="F1919" s="38">
        <v>33036250</v>
      </c>
      <c r="G1919" s="39" t="s">
        <v>4293</v>
      </c>
      <c r="H1919" s="12"/>
      <c r="L1919" s="12"/>
    </row>
    <row r="1920" spans="1:12" ht="15.75" customHeight="1" x14ac:dyDescent="0.3">
      <c r="A1920" s="29" t="s">
        <v>916</v>
      </c>
      <c r="B1920" s="50" t="str">
        <f>VLOOKUP(A1920,'Sales Order'!A$2:B$1029,1,0)</f>
        <v>SO0678</v>
      </c>
      <c r="C1920" s="29" t="s">
        <v>43</v>
      </c>
      <c r="D1920" s="50" t="str">
        <f>VLOOKUP(C1920,Product!A$2:B$21,1,0)</f>
        <v>PD0007</v>
      </c>
      <c r="E1920" s="36">
        <v>102</v>
      </c>
      <c r="F1920" s="38">
        <v>248064000</v>
      </c>
      <c r="G1920" s="39" t="s">
        <v>4294</v>
      </c>
      <c r="H1920" s="12"/>
      <c r="L1920" s="12"/>
    </row>
    <row r="1921" spans="1:12" ht="15.75" customHeight="1" x14ac:dyDescent="0.3">
      <c r="A1921" s="29" t="s">
        <v>916</v>
      </c>
      <c r="B1921" s="50" t="str">
        <f>VLOOKUP(A1921,'Sales Order'!A$2:B$1029,1,0)</f>
        <v>SO0678</v>
      </c>
      <c r="C1921" s="29" t="s">
        <v>33</v>
      </c>
      <c r="D1921" s="50" t="str">
        <f>VLOOKUP(C1921,Product!A$2:B$21,1,0)</f>
        <v>PD0004</v>
      </c>
      <c r="E1921" s="36">
        <v>91</v>
      </c>
      <c r="F1921" s="38">
        <v>17617600</v>
      </c>
      <c r="G1921" s="39" t="s">
        <v>4295</v>
      </c>
      <c r="H1921" s="12"/>
      <c r="L1921" s="12"/>
    </row>
    <row r="1922" spans="1:12" ht="15.75" customHeight="1" x14ac:dyDescent="0.3">
      <c r="A1922" s="17" t="s">
        <v>917</v>
      </c>
      <c r="B1922" s="50" t="str">
        <f>VLOOKUP(A1922,'Sales Order'!A$2:B$1029,1,0)</f>
        <v>SO0679</v>
      </c>
      <c r="C1922" s="29" t="s">
        <v>35</v>
      </c>
      <c r="D1922" s="50" t="str">
        <f>VLOOKUP(C1922,Product!A$2:B$21,1,0)</f>
        <v>PD0005</v>
      </c>
      <c r="E1922" s="36">
        <v>86</v>
      </c>
      <c r="F1922" s="38">
        <v>147240600</v>
      </c>
      <c r="G1922" s="39" t="s">
        <v>4296</v>
      </c>
      <c r="H1922" s="12"/>
      <c r="L1922" s="12"/>
    </row>
    <row r="1923" spans="1:12" ht="15.75" customHeight="1" x14ac:dyDescent="0.3">
      <c r="A1923" s="29" t="s">
        <v>917</v>
      </c>
      <c r="B1923" s="50" t="str">
        <f>VLOOKUP(A1923,'Sales Order'!A$2:B$1029,1,0)</f>
        <v>SO0679</v>
      </c>
      <c r="C1923" s="29" t="s">
        <v>81</v>
      </c>
      <c r="D1923" s="50" t="str">
        <f>VLOOKUP(C1923,Product!A$2:B$21,1,0)</f>
        <v>PD0019</v>
      </c>
      <c r="E1923" s="36">
        <v>33</v>
      </c>
      <c r="F1923" s="38">
        <v>79069980</v>
      </c>
      <c r="G1923" s="39" t="s">
        <v>4297</v>
      </c>
      <c r="H1923" s="12"/>
      <c r="L1923" s="12"/>
    </row>
    <row r="1924" spans="1:12" ht="15.75" customHeight="1" x14ac:dyDescent="0.3">
      <c r="A1924" s="29" t="s">
        <v>917</v>
      </c>
      <c r="B1924" s="50" t="str">
        <f>VLOOKUP(A1924,'Sales Order'!A$2:B$1029,1,0)</f>
        <v>SO0679</v>
      </c>
      <c r="C1924" s="29" t="s">
        <v>75</v>
      </c>
      <c r="D1924" s="50" t="str">
        <f>VLOOKUP(C1924,Product!A$2:B$21,1,0)</f>
        <v>PD0017</v>
      </c>
      <c r="E1924" s="36">
        <v>106</v>
      </c>
      <c r="F1924" s="38">
        <v>238765000</v>
      </c>
      <c r="G1924" s="39" t="s">
        <v>4298</v>
      </c>
      <c r="H1924" s="12"/>
      <c r="L1924" s="12"/>
    </row>
    <row r="1925" spans="1:12" ht="15.75" customHeight="1" x14ac:dyDescent="0.3">
      <c r="A1925" s="17" t="s">
        <v>918</v>
      </c>
      <c r="B1925" s="50" t="str">
        <f>VLOOKUP(A1925,'Sales Order'!A$2:B$1029,1,0)</f>
        <v>SO0680</v>
      </c>
      <c r="C1925" s="29" t="s">
        <v>69</v>
      </c>
      <c r="D1925" s="50" t="str">
        <f>VLOOKUP(C1925,Product!A$2:B$21,1,0)</f>
        <v>PD0015</v>
      </c>
      <c r="E1925" s="36">
        <v>52</v>
      </c>
      <c r="F1925" s="38">
        <v>6289452</v>
      </c>
      <c r="G1925" s="39" t="s">
        <v>4299</v>
      </c>
      <c r="H1925" s="12"/>
      <c r="L1925" s="12"/>
    </row>
    <row r="1926" spans="1:12" ht="15.75" customHeight="1" x14ac:dyDescent="0.3">
      <c r="A1926" s="29" t="s">
        <v>918</v>
      </c>
      <c r="B1926" s="50" t="str">
        <f>VLOOKUP(A1926,'Sales Order'!A$2:B$1029,1,0)</f>
        <v>SO0680</v>
      </c>
      <c r="C1926" s="29" t="s">
        <v>61</v>
      </c>
      <c r="D1926" s="50" t="str">
        <f>VLOOKUP(C1926,Product!A$2:B$21,1,0)</f>
        <v>PD0013</v>
      </c>
      <c r="E1926" s="36">
        <v>128</v>
      </c>
      <c r="F1926" s="38">
        <v>57020159.999999993</v>
      </c>
      <c r="G1926" s="39" t="s">
        <v>4300</v>
      </c>
      <c r="H1926" s="12"/>
      <c r="L1926" s="12"/>
    </row>
    <row r="1927" spans="1:12" ht="15.75" customHeight="1" x14ac:dyDescent="0.3">
      <c r="A1927" s="29" t="s">
        <v>918</v>
      </c>
      <c r="B1927" s="50" t="str">
        <f>VLOOKUP(A1927,'Sales Order'!A$2:B$1029,1,0)</f>
        <v>SO0680</v>
      </c>
      <c r="C1927" s="29" t="s">
        <v>19</v>
      </c>
      <c r="D1927" s="50" t="str">
        <f>VLOOKUP(C1927,Product!A$2:B$21,1,0)</f>
        <v>PD0001</v>
      </c>
      <c r="E1927" s="36">
        <v>122</v>
      </c>
      <c r="F1927" s="38">
        <v>26732640</v>
      </c>
      <c r="G1927" s="39" t="s">
        <v>4301</v>
      </c>
      <c r="H1927" s="12"/>
      <c r="L1927" s="12"/>
    </row>
    <row r="1928" spans="1:12" ht="15.75" customHeight="1" x14ac:dyDescent="0.3">
      <c r="A1928" s="29" t="s">
        <v>918</v>
      </c>
      <c r="B1928" s="50" t="str">
        <f>VLOOKUP(A1928,'Sales Order'!A$2:B$1029,1,0)</f>
        <v>SO0680</v>
      </c>
      <c r="C1928" s="29" t="s">
        <v>33</v>
      </c>
      <c r="D1928" s="50" t="str">
        <f>VLOOKUP(C1928,Product!A$2:B$21,1,0)</f>
        <v>PD0004</v>
      </c>
      <c r="E1928" s="36">
        <v>61</v>
      </c>
      <c r="F1928" s="38">
        <v>11675400</v>
      </c>
      <c r="G1928" s="39" t="s">
        <v>4302</v>
      </c>
      <c r="H1928" s="12"/>
      <c r="L1928" s="12"/>
    </row>
    <row r="1929" spans="1:12" ht="15.75" customHeight="1" x14ac:dyDescent="0.3">
      <c r="A1929" s="29" t="s">
        <v>918</v>
      </c>
      <c r="B1929" s="50" t="str">
        <f>VLOOKUP(A1929,'Sales Order'!A$2:B$1029,1,0)</f>
        <v>SO0680</v>
      </c>
      <c r="C1929" s="29" t="s">
        <v>72</v>
      </c>
      <c r="D1929" s="50" t="str">
        <f>VLOOKUP(C1929,Product!A$2:B$21,1,0)</f>
        <v>PD0016</v>
      </c>
      <c r="E1929" s="36">
        <v>60</v>
      </c>
      <c r="F1929" s="38">
        <v>14418000</v>
      </c>
      <c r="G1929" s="39" t="s">
        <v>4303</v>
      </c>
      <c r="H1929" s="12"/>
      <c r="L1929" s="12"/>
    </row>
    <row r="1930" spans="1:12" ht="15.75" customHeight="1" x14ac:dyDescent="0.3">
      <c r="A1930" s="17" t="s">
        <v>919</v>
      </c>
      <c r="B1930" s="50" t="str">
        <f>VLOOKUP(A1930,'Sales Order'!A$2:B$1029,1,0)</f>
        <v>SO0681</v>
      </c>
      <c r="C1930" s="29" t="s">
        <v>45</v>
      </c>
      <c r="D1930" s="50" t="str">
        <f>VLOOKUP(C1930,Product!A$2:B$21,1,0)</f>
        <v>PD0008</v>
      </c>
      <c r="E1930" s="36">
        <v>34</v>
      </c>
      <c r="F1930" s="38">
        <v>4356760</v>
      </c>
      <c r="G1930" s="39" t="s">
        <v>4304</v>
      </c>
      <c r="H1930" s="12"/>
      <c r="L1930" s="12"/>
    </row>
    <row r="1931" spans="1:12" ht="15.75" customHeight="1" x14ac:dyDescent="0.3">
      <c r="A1931" s="29" t="s">
        <v>919</v>
      </c>
      <c r="B1931" s="50" t="str">
        <f>VLOOKUP(A1931,'Sales Order'!A$2:B$1029,1,0)</f>
        <v>SO0681</v>
      </c>
      <c r="C1931" s="29" t="s">
        <v>81</v>
      </c>
      <c r="D1931" s="50" t="str">
        <f>VLOOKUP(C1931,Product!A$2:B$21,1,0)</f>
        <v>PD0019</v>
      </c>
      <c r="E1931" s="36">
        <v>115</v>
      </c>
      <c r="F1931" s="38">
        <v>237439350.00000003</v>
      </c>
      <c r="G1931" s="39" t="s">
        <v>4305</v>
      </c>
      <c r="H1931" s="12"/>
      <c r="L1931" s="12"/>
    </row>
    <row r="1932" spans="1:12" ht="15.75" customHeight="1" x14ac:dyDescent="0.3">
      <c r="A1932" s="29" t="s">
        <v>919</v>
      </c>
      <c r="B1932" s="50" t="str">
        <f>VLOOKUP(A1932,'Sales Order'!A$2:B$1029,1,0)</f>
        <v>SO0681</v>
      </c>
      <c r="C1932" s="29" t="s">
        <v>72</v>
      </c>
      <c r="D1932" s="50" t="str">
        <f>VLOOKUP(C1932,Product!A$2:B$21,1,0)</f>
        <v>PD0016</v>
      </c>
      <c r="E1932" s="36">
        <v>111</v>
      </c>
      <c r="F1932" s="38">
        <v>23116860</v>
      </c>
      <c r="G1932" s="39" t="s">
        <v>4306</v>
      </c>
      <c r="H1932" s="12"/>
      <c r="L1932" s="12"/>
    </row>
    <row r="1933" spans="1:12" ht="15.75" customHeight="1" x14ac:dyDescent="0.3">
      <c r="A1933" s="17" t="s">
        <v>920</v>
      </c>
      <c r="B1933" s="50" t="str">
        <f>VLOOKUP(A1933,'Sales Order'!A$2:B$1029,1,0)</f>
        <v>SO0682</v>
      </c>
      <c r="C1933" s="29" t="s">
        <v>78</v>
      </c>
      <c r="D1933" s="50" t="str">
        <f>VLOOKUP(C1933,Product!A$2:B$21,1,0)</f>
        <v>PD0018</v>
      </c>
      <c r="E1933" s="36">
        <v>150</v>
      </c>
      <c r="F1933" s="38">
        <v>75810000</v>
      </c>
      <c r="G1933" s="39" t="s">
        <v>4307</v>
      </c>
      <c r="H1933" s="12"/>
      <c r="L1933" s="12"/>
    </row>
    <row r="1934" spans="1:12" ht="15.75" customHeight="1" x14ac:dyDescent="0.3">
      <c r="A1934" s="29" t="s">
        <v>920</v>
      </c>
      <c r="B1934" s="50" t="str">
        <f>VLOOKUP(A1934,'Sales Order'!A$2:B$1029,1,0)</f>
        <v>SO0682</v>
      </c>
      <c r="C1934" s="29" t="s">
        <v>28</v>
      </c>
      <c r="D1934" s="50" t="str">
        <f>VLOOKUP(C1934,Product!A$2:B$21,1,0)</f>
        <v>PD0003</v>
      </c>
      <c r="E1934" s="36">
        <v>107</v>
      </c>
      <c r="F1934" s="38">
        <v>84674450</v>
      </c>
      <c r="G1934" s="39" t="s">
        <v>4308</v>
      </c>
      <c r="H1934" s="12"/>
      <c r="L1934" s="12"/>
    </row>
    <row r="1935" spans="1:12" ht="15.75" customHeight="1" x14ac:dyDescent="0.3">
      <c r="A1935" s="29" t="s">
        <v>920</v>
      </c>
      <c r="B1935" s="50" t="str">
        <f>VLOOKUP(A1935,'Sales Order'!A$2:B$1029,1,0)</f>
        <v>SO0682</v>
      </c>
      <c r="C1935" s="29" t="s">
        <v>52</v>
      </c>
      <c r="D1935" s="50" t="str">
        <f>VLOOKUP(C1935,Product!A$2:B$21,1,0)</f>
        <v>PD0010</v>
      </c>
      <c r="E1935" s="36">
        <v>71</v>
      </c>
      <c r="F1935" s="38">
        <v>18460000</v>
      </c>
      <c r="G1935" s="39" t="s">
        <v>4309</v>
      </c>
      <c r="H1935" s="12"/>
      <c r="L1935" s="12"/>
    </row>
    <row r="1936" spans="1:12" ht="15.75" customHeight="1" x14ac:dyDescent="0.3">
      <c r="A1936" s="17" t="s">
        <v>921</v>
      </c>
      <c r="B1936" s="50" t="str">
        <f>VLOOKUP(A1936,'Sales Order'!A$2:B$1029,1,0)</f>
        <v>SO0683</v>
      </c>
      <c r="C1936" s="29" t="s">
        <v>52</v>
      </c>
      <c r="D1936" s="50" t="str">
        <f>VLOOKUP(C1936,Product!A$2:B$21,1,0)</f>
        <v>PD0010</v>
      </c>
      <c r="E1936" s="36">
        <v>121</v>
      </c>
      <c r="F1936" s="38">
        <v>33426250</v>
      </c>
      <c r="G1936" s="39" t="s">
        <v>4310</v>
      </c>
      <c r="H1936" s="12"/>
      <c r="L1936" s="12"/>
    </row>
    <row r="1937" spans="1:12" ht="15.75" customHeight="1" x14ac:dyDescent="0.3">
      <c r="A1937" s="29" t="s">
        <v>922</v>
      </c>
      <c r="B1937" s="50" t="str">
        <f>VLOOKUP(A1937,'Sales Order'!A$2:B$1029,1,0)</f>
        <v>SO0684</v>
      </c>
      <c r="C1937" s="29" t="s">
        <v>81</v>
      </c>
      <c r="D1937" s="50" t="str">
        <f>VLOOKUP(C1937,Product!A$2:B$21,1,0)</f>
        <v>PD0019</v>
      </c>
      <c r="E1937" s="36">
        <v>119</v>
      </c>
      <c r="F1937" s="38">
        <v>266931280</v>
      </c>
      <c r="G1937" s="39" t="s">
        <v>4311</v>
      </c>
      <c r="H1937" s="12"/>
      <c r="L1937" s="12"/>
    </row>
    <row r="1938" spans="1:12" ht="15.75" customHeight="1" x14ac:dyDescent="0.3">
      <c r="A1938" s="17" t="s">
        <v>923</v>
      </c>
      <c r="B1938" s="50" t="str">
        <f>VLOOKUP(A1938,'Sales Order'!A$2:B$1029,1,0)</f>
        <v>SO0685</v>
      </c>
      <c r="C1938" s="29" t="s">
        <v>69</v>
      </c>
      <c r="D1938" s="50" t="str">
        <f>VLOOKUP(C1938,Product!A$2:B$21,1,0)</f>
        <v>PD0015</v>
      </c>
      <c r="E1938" s="36">
        <v>74</v>
      </c>
      <c r="F1938" s="38">
        <v>8548110</v>
      </c>
      <c r="G1938" s="39" t="s">
        <v>4312</v>
      </c>
      <c r="H1938" s="12"/>
      <c r="L1938" s="12"/>
    </row>
    <row r="1939" spans="1:12" ht="15.75" customHeight="1" x14ac:dyDescent="0.3">
      <c r="A1939" s="29" t="s">
        <v>923</v>
      </c>
      <c r="B1939" s="50" t="str">
        <f>VLOOKUP(A1939,'Sales Order'!A$2:B$1029,1,0)</f>
        <v>SO0685</v>
      </c>
      <c r="C1939" s="29" t="s">
        <v>28</v>
      </c>
      <c r="D1939" s="50" t="str">
        <f>VLOOKUP(C1939,Product!A$2:B$21,1,0)</f>
        <v>PD0003</v>
      </c>
      <c r="E1939" s="36">
        <v>40</v>
      </c>
      <c r="F1939" s="38">
        <v>33516000</v>
      </c>
      <c r="G1939" s="39" t="s">
        <v>4313</v>
      </c>
      <c r="H1939" s="12"/>
      <c r="L1939" s="12"/>
    </row>
    <row r="1940" spans="1:12" ht="15.75" customHeight="1" x14ac:dyDescent="0.3">
      <c r="A1940" s="29" t="s">
        <v>923</v>
      </c>
      <c r="B1940" s="50" t="str">
        <f>VLOOKUP(A1940,'Sales Order'!A$2:B$1029,1,0)</f>
        <v>SO0685</v>
      </c>
      <c r="C1940" s="29" t="s">
        <v>75</v>
      </c>
      <c r="D1940" s="50" t="str">
        <f>VLOOKUP(C1940,Product!A$2:B$21,1,0)</f>
        <v>PD0017</v>
      </c>
      <c r="E1940" s="36">
        <v>87</v>
      </c>
      <c r="F1940" s="38">
        <v>214411500</v>
      </c>
      <c r="G1940" s="39" t="s">
        <v>4314</v>
      </c>
      <c r="H1940" s="12"/>
      <c r="L1940" s="12"/>
    </row>
    <row r="1941" spans="1:12" ht="15.75" customHeight="1" x14ac:dyDescent="0.3">
      <c r="A1941" s="29" t="s">
        <v>923</v>
      </c>
      <c r="B1941" s="50" t="str">
        <f>VLOOKUP(A1941,'Sales Order'!A$2:B$1029,1,0)</f>
        <v>SO0685</v>
      </c>
      <c r="C1941" s="29" t="s">
        <v>58</v>
      </c>
      <c r="D1941" s="50" t="str">
        <f>VLOOKUP(C1941,Product!A$2:B$21,1,0)</f>
        <v>PD0012</v>
      </c>
      <c r="E1941" s="36">
        <v>138</v>
      </c>
      <c r="F1941" s="38">
        <v>715927440</v>
      </c>
      <c r="G1941" s="39" t="s">
        <v>4315</v>
      </c>
      <c r="H1941" s="12"/>
      <c r="L1941" s="12"/>
    </row>
    <row r="1942" spans="1:12" ht="15.75" customHeight="1" x14ac:dyDescent="0.3">
      <c r="A1942" s="29" t="s">
        <v>923</v>
      </c>
      <c r="B1942" s="50" t="str">
        <f>VLOOKUP(A1942,'Sales Order'!A$2:B$1029,1,0)</f>
        <v>SO0685</v>
      </c>
      <c r="C1942" s="29" t="s">
        <v>19</v>
      </c>
      <c r="D1942" s="50" t="str">
        <f>VLOOKUP(C1942,Product!A$2:B$21,1,0)</f>
        <v>PD0001</v>
      </c>
      <c r="E1942" s="36">
        <v>77</v>
      </c>
      <c r="F1942" s="38">
        <v>16680510</v>
      </c>
      <c r="G1942" s="39" t="s">
        <v>4316</v>
      </c>
      <c r="H1942" s="12"/>
      <c r="L1942" s="12"/>
    </row>
    <row r="1943" spans="1:12" ht="15.75" customHeight="1" x14ac:dyDescent="0.3">
      <c r="A1943" s="29" t="s">
        <v>923</v>
      </c>
      <c r="B1943" s="50" t="str">
        <f>VLOOKUP(A1943,'Sales Order'!A$2:B$1029,1,0)</f>
        <v>SO0685</v>
      </c>
      <c r="C1943" s="29" t="s">
        <v>81</v>
      </c>
      <c r="D1943" s="50" t="str">
        <f>VLOOKUP(C1943,Product!A$2:B$21,1,0)</f>
        <v>PD0019</v>
      </c>
      <c r="E1943" s="36">
        <v>47</v>
      </c>
      <c r="F1943" s="38">
        <v>104228610</v>
      </c>
      <c r="G1943" s="39" t="s">
        <v>4317</v>
      </c>
      <c r="H1943" s="12"/>
      <c r="L1943" s="12"/>
    </row>
    <row r="1944" spans="1:12" ht="15.75" customHeight="1" x14ac:dyDescent="0.3">
      <c r="A1944" s="29" t="s">
        <v>923</v>
      </c>
      <c r="B1944" s="50" t="str">
        <f>VLOOKUP(A1944,'Sales Order'!A$2:B$1029,1,0)</f>
        <v>SO0685</v>
      </c>
      <c r="C1944" s="29" t="s">
        <v>33</v>
      </c>
      <c r="D1944" s="50" t="str">
        <f>VLOOKUP(C1944,Product!A$2:B$21,1,0)</f>
        <v>PD0004</v>
      </c>
      <c r="E1944" s="36">
        <v>77</v>
      </c>
      <c r="F1944" s="38">
        <v>13382600</v>
      </c>
      <c r="G1944" s="39" t="s">
        <v>4318</v>
      </c>
      <c r="H1944" s="12"/>
      <c r="L1944" s="12"/>
    </row>
    <row r="1945" spans="1:12" ht="15.75" customHeight="1" x14ac:dyDescent="0.3">
      <c r="A1945" s="17" t="s">
        <v>924</v>
      </c>
      <c r="B1945" s="50" t="str">
        <f>VLOOKUP(A1945,'Sales Order'!A$2:B$1029,1,0)</f>
        <v>SO0686</v>
      </c>
      <c r="C1945" s="29" t="s">
        <v>48</v>
      </c>
      <c r="D1945" s="50" t="str">
        <f>VLOOKUP(C1945,Product!A$2:B$21,1,0)</f>
        <v>PD0009</v>
      </c>
      <c r="E1945" s="36">
        <v>66</v>
      </c>
      <c r="F1945" s="38">
        <v>6726060</v>
      </c>
      <c r="G1945" s="39" t="s">
        <v>4319</v>
      </c>
      <c r="H1945" s="12"/>
      <c r="L1945" s="12"/>
    </row>
    <row r="1946" spans="1:12" ht="15.75" customHeight="1" x14ac:dyDescent="0.3">
      <c r="A1946" s="29" t="s">
        <v>924</v>
      </c>
      <c r="B1946" s="50" t="str">
        <f>VLOOKUP(A1946,'Sales Order'!A$2:B$1029,1,0)</f>
        <v>SO0686</v>
      </c>
      <c r="C1946" s="29" t="s">
        <v>83</v>
      </c>
      <c r="D1946" s="50" t="str">
        <f>VLOOKUP(C1946,Product!A$2:B$21,1,0)</f>
        <v>PD0020</v>
      </c>
      <c r="E1946" s="36">
        <v>29</v>
      </c>
      <c r="F1946" s="38">
        <v>8843550</v>
      </c>
      <c r="G1946" s="39" t="s">
        <v>4320</v>
      </c>
      <c r="H1946" s="12"/>
      <c r="L1946" s="12"/>
    </row>
    <row r="1947" spans="1:12" ht="15.75" customHeight="1" x14ac:dyDescent="0.3">
      <c r="A1947" s="17" t="s">
        <v>925</v>
      </c>
      <c r="B1947" s="50" t="str">
        <f>VLOOKUP(A1947,'Sales Order'!A$2:B$1029,1,0)</f>
        <v>SO0687</v>
      </c>
      <c r="C1947" s="29" t="s">
        <v>75</v>
      </c>
      <c r="D1947" s="50" t="str">
        <f>VLOOKUP(C1947,Product!A$2:B$21,1,0)</f>
        <v>PD0017</v>
      </c>
      <c r="E1947" s="36">
        <v>43</v>
      </c>
      <c r="F1947" s="38">
        <v>108252500</v>
      </c>
      <c r="G1947" s="39" t="s">
        <v>4321</v>
      </c>
      <c r="H1947" s="12"/>
      <c r="L1947" s="12"/>
    </row>
    <row r="1948" spans="1:12" ht="15.75" customHeight="1" x14ac:dyDescent="0.3">
      <c r="A1948" s="29" t="s">
        <v>925</v>
      </c>
      <c r="B1948" s="50" t="str">
        <f>VLOOKUP(A1948,'Sales Order'!A$2:B$1029,1,0)</f>
        <v>SO0687</v>
      </c>
      <c r="C1948" s="29" t="s">
        <v>69</v>
      </c>
      <c r="D1948" s="50" t="str">
        <f>VLOOKUP(C1948,Product!A$2:B$21,1,0)</f>
        <v>PD0015</v>
      </c>
      <c r="E1948" s="36">
        <v>34</v>
      </c>
      <c r="F1948" s="38">
        <v>3557862</v>
      </c>
      <c r="G1948" s="39" t="s">
        <v>4322</v>
      </c>
      <c r="H1948" s="12"/>
      <c r="L1948" s="12"/>
    </row>
    <row r="1949" spans="1:12" ht="15.75" customHeight="1" x14ac:dyDescent="0.3">
      <c r="A1949" s="29" t="s">
        <v>926</v>
      </c>
      <c r="B1949" s="50" t="str">
        <f>VLOOKUP(A1949,'Sales Order'!A$2:B$1029,1,0)</f>
        <v>SO0688</v>
      </c>
      <c r="C1949" s="29" t="s">
        <v>78</v>
      </c>
      <c r="D1949" s="50" t="str">
        <f>VLOOKUP(C1949,Product!A$2:B$21,1,0)</f>
        <v>PD0018</v>
      </c>
      <c r="E1949" s="36">
        <v>64</v>
      </c>
      <c r="F1949" s="38">
        <v>31664639.999999996</v>
      </c>
      <c r="G1949" s="39" t="s">
        <v>4323</v>
      </c>
      <c r="H1949" s="12"/>
      <c r="L1949" s="12"/>
    </row>
    <row r="1950" spans="1:12" ht="15.75" customHeight="1" x14ac:dyDescent="0.3">
      <c r="A1950" s="29" t="s">
        <v>926</v>
      </c>
      <c r="B1950" s="50" t="str">
        <f>VLOOKUP(A1950,'Sales Order'!A$2:B$1029,1,0)</f>
        <v>SO0688</v>
      </c>
      <c r="C1950" s="29" t="s">
        <v>83</v>
      </c>
      <c r="D1950" s="50" t="str">
        <f>VLOOKUP(C1950,Product!A$2:B$21,1,0)</f>
        <v>PD0020</v>
      </c>
      <c r="E1950" s="36">
        <v>118</v>
      </c>
      <c r="F1950" s="38">
        <v>28408500</v>
      </c>
      <c r="G1950" s="39" t="s">
        <v>4324</v>
      </c>
      <c r="H1950" s="12"/>
      <c r="L1950" s="12"/>
    </row>
    <row r="1951" spans="1:12" ht="15.75" customHeight="1" x14ac:dyDescent="0.3">
      <c r="A1951" s="29" t="s">
        <v>926</v>
      </c>
      <c r="B1951" s="50" t="str">
        <f>VLOOKUP(A1951,'Sales Order'!A$2:B$1029,1,0)</f>
        <v>SO0688</v>
      </c>
      <c r="C1951" s="29" t="s">
        <v>65</v>
      </c>
      <c r="D1951" s="50" t="str">
        <f>VLOOKUP(C1951,Product!A$2:B$21,1,0)</f>
        <v>PD0014</v>
      </c>
      <c r="E1951" s="36">
        <v>114</v>
      </c>
      <c r="F1951" s="38">
        <v>28916100</v>
      </c>
      <c r="G1951" s="39" t="s">
        <v>4325</v>
      </c>
      <c r="H1951" s="12"/>
      <c r="L1951" s="12"/>
    </row>
    <row r="1952" spans="1:12" ht="15.75" customHeight="1" x14ac:dyDescent="0.3">
      <c r="A1952" s="29" t="s">
        <v>926</v>
      </c>
      <c r="B1952" s="50" t="str">
        <f>VLOOKUP(A1952,'Sales Order'!A$2:B$1029,1,0)</f>
        <v>SO0688</v>
      </c>
      <c r="C1952" s="29" t="s">
        <v>35</v>
      </c>
      <c r="D1952" s="50" t="str">
        <f>VLOOKUP(C1952,Product!A$2:B$21,1,0)</f>
        <v>PD0005</v>
      </c>
      <c r="E1952" s="36">
        <v>39</v>
      </c>
      <c r="F1952" s="38">
        <v>74476350</v>
      </c>
      <c r="G1952" s="39" t="s">
        <v>4326</v>
      </c>
      <c r="H1952" s="12"/>
      <c r="L1952" s="12"/>
    </row>
    <row r="1953" spans="1:12" ht="15.75" customHeight="1" x14ac:dyDescent="0.3">
      <c r="A1953" s="17" t="s">
        <v>927</v>
      </c>
      <c r="B1953" s="50" t="str">
        <f>VLOOKUP(A1953,'Sales Order'!A$2:B$1029,1,0)</f>
        <v>SO0689</v>
      </c>
      <c r="C1953" s="29" t="s">
        <v>25</v>
      </c>
      <c r="D1953" s="50" t="str">
        <f>VLOOKUP(C1953,Product!A$2:B$21,1,0)</f>
        <v>PD0002</v>
      </c>
      <c r="E1953" s="36">
        <v>130</v>
      </c>
      <c r="F1953" s="38">
        <v>2080000</v>
      </c>
      <c r="G1953" s="39" t="s">
        <v>4327</v>
      </c>
      <c r="H1953" s="12"/>
      <c r="L1953" s="12"/>
    </row>
    <row r="1954" spans="1:12" ht="15.75" customHeight="1" x14ac:dyDescent="0.3">
      <c r="A1954" s="29" t="s">
        <v>927</v>
      </c>
      <c r="B1954" s="50" t="str">
        <f>VLOOKUP(A1954,'Sales Order'!A$2:B$1029,1,0)</f>
        <v>SO0689</v>
      </c>
      <c r="C1954" s="29" t="s">
        <v>69</v>
      </c>
      <c r="D1954" s="50" t="str">
        <f>VLOOKUP(C1954,Product!A$2:B$21,1,0)</f>
        <v>PD0015</v>
      </c>
      <c r="E1954" s="36">
        <v>77</v>
      </c>
      <c r="F1954" s="38">
        <v>8057511</v>
      </c>
      <c r="G1954" s="39" t="s">
        <v>4328</v>
      </c>
      <c r="H1954" s="12"/>
      <c r="L1954" s="12"/>
    </row>
    <row r="1955" spans="1:12" ht="15.75" customHeight="1" x14ac:dyDescent="0.3">
      <c r="A1955" s="29" t="s">
        <v>927</v>
      </c>
      <c r="B1955" s="50" t="str">
        <f>VLOOKUP(A1955,'Sales Order'!A$2:B$1029,1,0)</f>
        <v>SO0689</v>
      </c>
      <c r="C1955" s="29" t="s">
        <v>58</v>
      </c>
      <c r="D1955" s="50" t="str">
        <f>VLOOKUP(C1955,Product!A$2:B$21,1,0)</f>
        <v>PD0012</v>
      </c>
      <c r="E1955" s="36">
        <v>78</v>
      </c>
      <c r="F1955" s="38">
        <v>382662540</v>
      </c>
      <c r="G1955" s="39" t="s">
        <v>4329</v>
      </c>
      <c r="H1955" s="12"/>
      <c r="L1955" s="12"/>
    </row>
    <row r="1956" spans="1:12" ht="15.75" customHeight="1" x14ac:dyDescent="0.3">
      <c r="A1956" s="29" t="s">
        <v>927</v>
      </c>
      <c r="B1956" s="50" t="str">
        <f>VLOOKUP(A1956,'Sales Order'!A$2:B$1029,1,0)</f>
        <v>SO0689</v>
      </c>
      <c r="C1956" s="29" t="s">
        <v>40</v>
      </c>
      <c r="D1956" s="50" t="str">
        <f>VLOOKUP(C1956,Product!A$2:B$21,1,0)</f>
        <v>PD0006</v>
      </c>
      <c r="E1956" s="36">
        <v>116</v>
      </c>
      <c r="F1956" s="38">
        <v>18183000</v>
      </c>
      <c r="G1956" s="39" t="s">
        <v>4330</v>
      </c>
      <c r="H1956" s="12"/>
      <c r="L1956" s="12"/>
    </row>
    <row r="1957" spans="1:12" ht="15.75" customHeight="1" x14ac:dyDescent="0.3">
      <c r="A1957" s="17" t="s">
        <v>928</v>
      </c>
      <c r="B1957" s="50" t="str">
        <f>VLOOKUP(A1957,'Sales Order'!A$2:B$1029,1,0)</f>
        <v>SO0690</v>
      </c>
      <c r="C1957" s="29" t="s">
        <v>40</v>
      </c>
      <c r="D1957" s="50" t="str">
        <f>VLOOKUP(C1957,Product!A$2:B$21,1,0)</f>
        <v>PD0006</v>
      </c>
      <c r="E1957" s="36">
        <v>43</v>
      </c>
      <c r="F1957" s="38">
        <v>7549080</v>
      </c>
      <c r="G1957" s="39" t="s">
        <v>4331</v>
      </c>
      <c r="H1957" s="12"/>
      <c r="L1957" s="12"/>
    </row>
    <row r="1958" spans="1:12" ht="15.75" customHeight="1" x14ac:dyDescent="0.3">
      <c r="A1958" s="17" t="s">
        <v>929</v>
      </c>
      <c r="B1958" s="50" t="str">
        <f>VLOOKUP(A1958,'Sales Order'!A$2:B$1029,1,0)</f>
        <v>SO0691</v>
      </c>
      <c r="C1958" s="29" t="s">
        <v>25</v>
      </c>
      <c r="D1958" s="50" t="str">
        <f>VLOOKUP(C1958,Product!A$2:B$21,1,0)</f>
        <v>PD0002</v>
      </c>
      <c r="E1958" s="36">
        <v>101</v>
      </c>
      <c r="F1958" s="38">
        <v>1696800</v>
      </c>
      <c r="G1958" s="39" t="s">
        <v>4332</v>
      </c>
      <c r="H1958" s="12"/>
      <c r="L1958" s="12"/>
    </row>
    <row r="1959" spans="1:12" ht="15.75" customHeight="1" x14ac:dyDescent="0.3">
      <c r="A1959" s="29" t="s">
        <v>929</v>
      </c>
      <c r="B1959" s="50" t="str">
        <f>VLOOKUP(A1959,'Sales Order'!A$2:B$1029,1,0)</f>
        <v>SO0691</v>
      </c>
      <c r="C1959" s="29" t="s">
        <v>45</v>
      </c>
      <c r="D1959" s="50" t="str">
        <f>VLOOKUP(C1959,Product!A$2:B$21,1,0)</f>
        <v>PD0008</v>
      </c>
      <c r="E1959" s="36">
        <v>28</v>
      </c>
      <c r="F1959" s="38">
        <v>3921680</v>
      </c>
      <c r="G1959" s="39" t="s">
        <v>4333</v>
      </c>
      <c r="H1959" s="12"/>
      <c r="L1959" s="12"/>
    </row>
    <row r="1960" spans="1:12" ht="15.75" customHeight="1" x14ac:dyDescent="0.3">
      <c r="A1960" s="29" t="s">
        <v>929</v>
      </c>
      <c r="B1960" s="50" t="str">
        <f>VLOOKUP(A1960,'Sales Order'!A$2:B$1029,1,0)</f>
        <v>SO0691</v>
      </c>
      <c r="C1960" s="29" t="s">
        <v>19</v>
      </c>
      <c r="D1960" s="50" t="str">
        <f>VLOOKUP(C1960,Product!A$2:B$21,1,0)</f>
        <v>PD0001</v>
      </c>
      <c r="E1960" s="36">
        <v>83</v>
      </c>
      <c r="F1960" s="38">
        <v>18393630</v>
      </c>
      <c r="G1960" s="39" t="s">
        <v>4334</v>
      </c>
      <c r="H1960" s="12"/>
      <c r="L1960" s="12"/>
    </row>
    <row r="1961" spans="1:12" ht="15.75" customHeight="1" x14ac:dyDescent="0.3">
      <c r="A1961" s="17" t="s">
        <v>930</v>
      </c>
      <c r="B1961" s="50" t="str">
        <f>VLOOKUP(A1961,'Sales Order'!A$2:B$1029,1,0)</f>
        <v>SO0692</v>
      </c>
      <c r="C1961" s="29" t="s">
        <v>52</v>
      </c>
      <c r="D1961" s="50" t="str">
        <f>VLOOKUP(C1961,Product!A$2:B$21,1,0)</f>
        <v>PD0010</v>
      </c>
      <c r="E1961" s="36">
        <v>56</v>
      </c>
      <c r="F1961" s="38">
        <v>14924000.000000002</v>
      </c>
      <c r="G1961" s="39" t="s">
        <v>4335</v>
      </c>
      <c r="H1961" s="12"/>
      <c r="L1961" s="12"/>
    </row>
    <row r="1962" spans="1:12" ht="15.75" customHeight="1" x14ac:dyDescent="0.3">
      <c r="A1962" s="29" t="s">
        <v>930</v>
      </c>
      <c r="B1962" s="50" t="str">
        <f>VLOOKUP(A1962,'Sales Order'!A$2:B$1029,1,0)</f>
        <v>SO0692</v>
      </c>
      <c r="C1962" s="29" t="s">
        <v>48</v>
      </c>
      <c r="D1962" s="50" t="str">
        <f>VLOOKUP(C1962,Product!A$2:B$21,1,0)</f>
        <v>PD0009</v>
      </c>
      <c r="E1962" s="36">
        <v>71</v>
      </c>
      <c r="F1962" s="38">
        <v>7510380.0000000009</v>
      </c>
      <c r="G1962" s="39" t="s">
        <v>4336</v>
      </c>
      <c r="H1962" s="12"/>
      <c r="L1962" s="12"/>
    </row>
    <row r="1963" spans="1:12" ht="15.75" customHeight="1" x14ac:dyDescent="0.3">
      <c r="A1963" s="29" t="s">
        <v>930</v>
      </c>
      <c r="B1963" s="50" t="str">
        <f>VLOOKUP(A1963,'Sales Order'!A$2:B$1029,1,0)</f>
        <v>SO0692</v>
      </c>
      <c r="C1963" s="29" t="s">
        <v>40</v>
      </c>
      <c r="D1963" s="50" t="str">
        <f>VLOOKUP(C1963,Product!A$2:B$21,1,0)</f>
        <v>PD0006</v>
      </c>
      <c r="E1963" s="36">
        <v>143</v>
      </c>
      <c r="F1963" s="38">
        <v>25105080</v>
      </c>
      <c r="G1963" s="39" t="s">
        <v>4337</v>
      </c>
      <c r="H1963" s="12"/>
      <c r="L1963" s="12"/>
    </row>
    <row r="1964" spans="1:12" ht="15.75" customHeight="1" x14ac:dyDescent="0.3">
      <c r="A1964" s="29" t="s">
        <v>930</v>
      </c>
      <c r="B1964" s="50" t="str">
        <f>VLOOKUP(A1964,'Sales Order'!A$2:B$1029,1,0)</f>
        <v>SO0692</v>
      </c>
      <c r="C1964" s="29" t="s">
        <v>61</v>
      </c>
      <c r="D1964" s="50" t="str">
        <f>VLOOKUP(C1964,Product!A$2:B$21,1,0)</f>
        <v>PD0013</v>
      </c>
      <c r="E1964" s="36">
        <v>29</v>
      </c>
      <c r="F1964" s="38">
        <v>10696070</v>
      </c>
      <c r="G1964" s="39" t="s">
        <v>4338</v>
      </c>
      <c r="H1964" s="12"/>
      <c r="L1964" s="12"/>
    </row>
    <row r="1965" spans="1:12" ht="15.75" customHeight="1" x14ac:dyDescent="0.3">
      <c r="A1965" s="17" t="s">
        <v>931</v>
      </c>
      <c r="B1965" s="50" t="str">
        <f>VLOOKUP(A1965,'Sales Order'!A$2:B$1029,1,0)</f>
        <v>SO0693</v>
      </c>
      <c r="C1965" s="29" t="s">
        <v>69</v>
      </c>
      <c r="D1965" s="50" t="str">
        <f>VLOOKUP(C1965,Product!A$2:B$21,1,0)</f>
        <v>PD0015</v>
      </c>
      <c r="E1965" s="36">
        <v>25</v>
      </c>
      <c r="F1965" s="38">
        <v>2887875</v>
      </c>
      <c r="G1965" s="39" t="s">
        <v>4339</v>
      </c>
      <c r="H1965" s="12"/>
      <c r="L1965" s="12"/>
    </row>
    <row r="1966" spans="1:12" ht="15.75" customHeight="1" x14ac:dyDescent="0.3">
      <c r="A1966" s="17" t="s">
        <v>932</v>
      </c>
      <c r="B1966" s="50" t="str">
        <f>VLOOKUP(A1966,'Sales Order'!A$2:B$1029,1,0)</f>
        <v>SO0694</v>
      </c>
      <c r="C1966" s="29" t="s">
        <v>81</v>
      </c>
      <c r="D1966" s="50" t="str">
        <f>VLOOKUP(C1966,Product!A$2:B$21,1,0)</f>
        <v>PD0019</v>
      </c>
      <c r="E1966" s="36">
        <v>116</v>
      </c>
      <c r="F1966" s="38">
        <v>272029280</v>
      </c>
      <c r="G1966" s="39" t="s">
        <v>4340</v>
      </c>
      <c r="H1966" s="12"/>
      <c r="L1966" s="12"/>
    </row>
    <row r="1967" spans="1:12" ht="15.75" customHeight="1" x14ac:dyDescent="0.3">
      <c r="A1967" s="29" t="s">
        <v>932</v>
      </c>
      <c r="B1967" s="50" t="str">
        <f>VLOOKUP(A1967,'Sales Order'!A$2:B$1029,1,0)</f>
        <v>SO0694</v>
      </c>
      <c r="C1967" s="29" t="s">
        <v>28</v>
      </c>
      <c r="D1967" s="50" t="str">
        <f>VLOOKUP(C1967,Product!A$2:B$21,1,0)</f>
        <v>PD0003</v>
      </c>
      <c r="E1967" s="36">
        <v>129</v>
      </c>
      <c r="F1967" s="38">
        <v>102084150</v>
      </c>
      <c r="G1967" s="39" t="s">
        <v>4341</v>
      </c>
      <c r="H1967" s="12"/>
      <c r="L1967" s="12"/>
    </row>
    <row r="1968" spans="1:12" ht="15.75" customHeight="1" x14ac:dyDescent="0.3">
      <c r="A1968" s="29" t="s">
        <v>932</v>
      </c>
      <c r="B1968" s="50" t="str">
        <f>VLOOKUP(A1968,'Sales Order'!A$2:B$1029,1,0)</f>
        <v>SO0694</v>
      </c>
      <c r="C1968" s="29" t="s">
        <v>75</v>
      </c>
      <c r="D1968" s="50" t="str">
        <f>VLOOKUP(C1968,Product!A$2:B$21,1,0)</f>
        <v>PD0017</v>
      </c>
      <c r="E1968" s="36">
        <v>48</v>
      </c>
      <c r="F1968" s="38">
        <v>120840000</v>
      </c>
      <c r="G1968" s="39" t="s">
        <v>4342</v>
      </c>
      <c r="H1968" s="12"/>
      <c r="L1968" s="12"/>
    </row>
    <row r="1969" spans="1:12" ht="15.75" customHeight="1" x14ac:dyDescent="0.3">
      <c r="A1969" s="29" t="s">
        <v>932</v>
      </c>
      <c r="B1969" s="50" t="str">
        <f>VLOOKUP(A1969,'Sales Order'!A$2:B$1029,1,0)</f>
        <v>SO0694</v>
      </c>
      <c r="C1969" s="29" t="s">
        <v>35</v>
      </c>
      <c r="D1969" s="50" t="str">
        <f>VLOOKUP(C1969,Product!A$2:B$21,1,0)</f>
        <v>PD0005</v>
      </c>
      <c r="E1969" s="36">
        <v>33</v>
      </c>
      <c r="F1969" s="38">
        <v>66640200</v>
      </c>
      <c r="G1969" s="39" t="s">
        <v>4343</v>
      </c>
      <c r="H1969" s="12"/>
      <c r="L1969" s="12"/>
    </row>
    <row r="1970" spans="1:12" ht="15.75" customHeight="1" x14ac:dyDescent="0.3">
      <c r="A1970" s="17" t="s">
        <v>933</v>
      </c>
      <c r="B1970" s="50" t="str">
        <f>VLOOKUP(A1970,'Sales Order'!A$2:B$1029,1,0)</f>
        <v>SO0695</v>
      </c>
      <c r="C1970" s="29" t="s">
        <v>58</v>
      </c>
      <c r="D1970" s="50" t="str">
        <f>VLOOKUP(C1970,Product!A$2:B$21,1,0)</f>
        <v>PD0012</v>
      </c>
      <c r="E1970" s="36">
        <v>84</v>
      </c>
      <c r="F1970" s="38">
        <v>393151080</v>
      </c>
      <c r="G1970" s="39" t="s">
        <v>4344</v>
      </c>
      <c r="H1970" s="12"/>
      <c r="L1970" s="12"/>
    </row>
    <row r="1971" spans="1:12" ht="15.75" customHeight="1" x14ac:dyDescent="0.3">
      <c r="A1971" s="17" t="s">
        <v>934</v>
      </c>
      <c r="B1971" s="50" t="str">
        <f>VLOOKUP(A1971,'Sales Order'!A$2:B$1029,1,0)</f>
        <v>SO0696</v>
      </c>
      <c r="C1971" s="29" t="s">
        <v>52</v>
      </c>
      <c r="D1971" s="50" t="str">
        <f>VLOOKUP(C1971,Product!A$2:B$21,1,0)</f>
        <v>PD0010</v>
      </c>
      <c r="E1971" s="36">
        <v>147</v>
      </c>
      <c r="F1971" s="38">
        <v>41564250</v>
      </c>
      <c r="G1971" s="39" t="s">
        <v>4345</v>
      </c>
      <c r="H1971" s="12"/>
      <c r="L1971" s="12"/>
    </row>
    <row r="1972" spans="1:12" ht="15.75" customHeight="1" x14ac:dyDescent="0.3">
      <c r="A1972" s="29" t="s">
        <v>934</v>
      </c>
      <c r="B1972" s="50" t="str">
        <f>VLOOKUP(A1972,'Sales Order'!A$2:B$1029,1,0)</f>
        <v>SO0696</v>
      </c>
      <c r="C1972" s="29" t="s">
        <v>55</v>
      </c>
      <c r="D1972" s="50" t="str">
        <f>VLOOKUP(C1972,Product!A$2:B$21,1,0)</f>
        <v>PD0011</v>
      </c>
      <c r="E1972" s="36">
        <v>126</v>
      </c>
      <c r="F1972" s="38">
        <v>276427620</v>
      </c>
      <c r="G1972" s="39" t="s">
        <v>4346</v>
      </c>
      <c r="H1972" s="12"/>
      <c r="L1972" s="12"/>
    </row>
    <row r="1973" spans="1:12" ht="15.75" customHeight="1" x14ac:dyDescent="0.3">
      <c r="A1973" s="17" t="s">
        <v>935</v>
      </c>
      <c r="B1973" s="50" t="str">
        <f>VLOOKUP(A1973,'Sales Order'!A$2:B$1029,1,0)</f>
        <v>SO0697</v>
      </c>
      <c r="C1973" s="29" t="s">
        <v>72</v>
      </c>
      <c r="D1973" s="50" t="str">
        <f>VLOOKUP(C1973,Product!A$2:B$21,1,0)</f>
        <v>PD0016</v>
      </c>
      <c r="E1973" s="36">
        <v>49</v>
      </c>
      <c r="F1973" s="38">
        <v>12167190</v>
      </c>
      <c r="G1973" s="39" t="s">
        <v>4347</v>
      </c>
      <c r="H1973" s="12"/>
      <c r="L1973" s="12"/>
    </row>
    <row r="1974" spans="1:12" ht="15.75" customHeight="1" x14ac:dyDescent="0.3">
      <c r="A1974" s="29" t="s">
        <v>935</v>
      </c>
      <c r="B1974" s="50" t="str">
        <f>VLOOKUP(A1974,'Sales Order'!A$2:B$1029,1,0)</f>
        <v>SO0697</v>
      </c>
      <c r="C1974" s="29" t="s">
        <v>65</v>
      </c>
      <c r="D1974" s="50" t="str">
        <f>VLOOKUP(C1974,Product!A$2:B$21,1,0)</f>
        <v>PD0014</v>
      </c>
      <c r="E1974" s="36">
        <v>54</v>
      </c>
      <c r="F1974" s="38">
        <v>12687840</v>
      </c>
      <c r="G1974" s="39" t="s">
        <v>4348</v>
      </c>
      <c r="H1974" s="12"/>
      <c r="L1974" s="12"/>
    </row>
    <row r="1975" spans="1:12" ht="15.75" customHeight="1" x14ac:dyDescent="0.3">
      <c r="A1975" s="29" t="s">
        <v>935</v>
      </c>
      <c r="B1975" s="50" t="str">
        <f>VLOOKUP(A1975,'Sales Order'!A$2:B$1029,1,0)</f>
        <v>SO0697</v>
      </c>
      <c r="C1975" s="29" t="s">
        <v>81</v>
      </c>
      <c r="D1975" s="50" t="str">
        <f>VLOOKUP(C1975,Product!A$2:B$21,1,0)</f>
        <v>PD0019</v>
      </c>
      <c r="E1975" s="36">
        <v>95</v>
      </c>
      <c r="F1975" s="38">
        <v>191302450</v>
      </c>
      <c r="G1975" s="39" t="s">
        <v>4349</v>
      </c>
      <c r="H1975" s="12"/>
      <c r="L1975" s="12"/>
    </row>
    <row r="1976" spans="1:12" ht="15.75" customHeight="1" x14ac:dyDescent="0.3">
      <c r="A1976" s="29" t="s">
        <v>935</v>
      </c>
      <c r="B1976" s="50" t="str">
        <f>VLOOKUP(A1976,'Sales Order'!A$2:B$1029,1,0)</f>
        <v>SO0697</v>
      </c>
      <c r="C1976" s="29" t="s">
        <v>45</v>
      </c>
      <c r="D1976" s="50" t="str">
        <f>VLOOKUP(C1976,Product!A$2:B$21,1,0)</f>
        <v>PD0008</v>
      </c>
      <c r="E1976" s="36">
        <v>147</v>
      </c>
      <c r="F1976" s="38">
        <v>17084340</v>
      </c>
      <c r="G1976" s="39" t="s">
        <v>4350</v>
      </c>
      <c r="H1976" s="12"/>
      <c r="L1976" s="12"/>
    </row>
    <row r="1977" spans="1:12" ht="15.75" customHeight="1" x14ac:dyDescent="0.3">
      <c r="A1977" s="29" t="s">
        <v>935</v>
      </c>
      <c r="B1977" s="50" t="str">
        <f>VLOOKUP(A1977,'Sales Order'!A$2:B$1029,1,0)</f>
        <v>SO0697</v>
      </c>
      <c r="C1977" s="29" t="s">
        <v>55</v>
      </c>
      <c r="D1977" s="50" t="str">
        <f>VLOOKUP(C1977,Product!A$2:B$21,1,0)</f>
        <v>PD0011</v>
      </c>
      <c r="E1977" s="36">
        <v>132</v>
      </c>
      <c r="F1977" s="38">
        <v>249110400</v>
      </c>
      <c r="G1977" s="39" t="s">
        <v>4351</v>
      </c>
      <c r="H1977" s="12"/>
      <c r="L1977" s="12"/>
    </row>
    <row r="1978" spans="1:12" ht="15.75" customHeight="1" x14ac:dyDescent="0.3">
      <c r="A1978" s="29" t="s">
        <v>935</v>
      </c>
      <c r="B1978" s="50" t="str">
        <f>VLOOKUP(A1978,'Sales Order'!A$2:B$1029,1,0)</f>
        <v>SO0697</v>
      </c>
      <c r="C1978" s="29" t="s">
        <v>25</v>
      </c>
      <c r="D1978" s="50" t="str">
        <f>VLOOKUP(C1978,Product!A$2:B$21,1,0)</f>
        <v>PD0002</v>
      </c>
      <c r="E1978" s="36">
        <v>78</v>
      </c>
      <c r="F1978" s="38">
        <v>1170000</v>
      </c>
      <c r="G1978" s="39" t="s">
        <v>4352</v>
      </c>
      <c r="H1978" s="12"/>
      <c r="L1978" s="12"/>
    </row>
    <row r="1979" spans="1:12" ht="15.75" customHeight="1" x14ac:dyDescent="0.3">
      <c r="A1979" s="17" t="s">
        <v>936</v>
      </c>
      <c r="B1979" s="50" t="str">
        <f>VLOOKUP(A1979,'Sales Order'!A$2:B$1029,1,0)</f>
        <v>SO0698</v>
      </c>
      <c r="C1979" s="29" t="s">
        <v>69</v>
      </c>
      <c r="D1979" s="50" t="str">
        <f>VLOOKUP(C1979,Product!A$2:B$21,1,0)</f>
        <v>PD0015</v>
      </c>
      <c r="E1979" s="36">
        <v>46</v>
      </c>
      <c r="F1979" s="38">
        <v>4751064</v>
      </c>
      <c r="G1979" s="39" t="s">
        <v>4353</v>
      </c>
      <c r="H1979" s="12"/>
      <c r="L1979" s="12"/>
    </row>
    <row r="1980" spans="1:12" ht="15.75" customHeight="1" x14ac:dyDescent="0.3">
      <c r="A1980" s="29" t="s">
        <v>936</v>
      </c>
      <c r="B1980" s="50" t="str">
        <f>VLOOKUP(A1980,'Sales Order'!A$2:B$1029,1,0)</f>
        <v>SO0698</v>
      </c>
      <c r="C1980" s="29" t="s">
        <v>78</v>
      </c>
      <c r="D1980" s="50" t="str">
        <f>VLOOKUP(C1980,Product!A$2:B$21,1,0)</f>
        <v>PD0018</v>
      </c>
      <c r="E1980" s="36">
        <v>39</v>
      </c>
      <c r="F1980" s="38">
        <v>16598400</v>
      </c>
      <c r="G1980" s="39" t="s">
        <v>4354</v>
      </c>
      <c r="H1980" s="12"/>
      <c r="L1980" s="12"/>
    </row>
    <row r="1981" spans="1:12" ht="15.75" customHeight="1" x14ac:dyDescent="0.3">
      <c r="A1981" s="29" t="s">
        <v>936</v>
      </c>
      <c r="B1981" s="50" t="str">
        <f>VLOOKUP(A1981,'Sales Order'!A$2:B$1029,1,0)</f>
        <v>SO0698</v>
      </c>
      <c r="C1981" s="29" t="s">
        <v>19</v>
      </c>
      <c r="D1981" s="50" t="str">
        <f>VLOOKUP(C1981,Product!A$2:B$21,1,0)</f>
        <v>PD0001</v>
      </c>
      <c r="E1981" s="36">
        <v>125</v>
      </c>
      <c r="F1981" s="38">
        <v>24277500</v>
      </c>
      <c r="G1981" s="39" t="s">
        <v>4355</v>
      </c>
      <c r="H1981" s="12"/>
      <c r="L1981" s="12"/>
    </row>
    <row r="1982" spans="1:12" ht="15.75" customHeight="1" x14ac:dyDescent="0.3">
      <c r="A1982" s="29" t="s">
        <v>937</v>
      </c>
      <c r="B1982" s="50" t="str">
        <f>VLOOKUP(A1982,'Sales Order'!A$2:B$1029,1,0)</f>
        <v>SO0699</v>
      </c>
      <c r="C1982" s="29" t="s">
        <v>61</v>
      </c>
      <c r="D1982" s="50" t="str">
        <f>VLOOKUP(C1982,Product!A$2:B$21,1,0)</f>
        <v>PD0013</v>
      </c>
      <c r="E1982" s="36">
        <v>113</v>
      </c>
      <c r="F1982" s="38">
        <v>46549220</v>
      </c>
      <c r="G1982" s="39" t="s">
        <v>4356</v>
      </c>
      <c r="H1982" s="12"/>
      <c r="L1982" s="12"/>
    </row>
    <row r="1983" spans="1:12" ht="15.75" customHeight="1" x14ac:dyDescent="0.3">
      <c r="A1983" s="29" t="s">
        <v>937</v>
      </c>
      <c r="B1983" s="50" t="str">
        <f>VLOOKUP(A1983,'Sales Order'!A$2:B$1029,1,0)</f>
        <v>SO0699</v>
      </c>
      <c r="C1983" s="29" t="s">
        <v>65</v>
      </c>
      <c r="D1983" s="50" t="str">
        <f>VLOOKUP(C1983,Product!A$2:B$21,1,0)</f>
        <v>PD0014</v>
      </c>
      <c r="E1983" s="36">
        <v>57</v>
      </c>
      <c r="F1983" s="38">
        <v>12783960</v>
      </c>
      <c r="G1983" s="39" t="s">
        <v>4357</v>
      </c>
      <c r="H1983" s="12"/>
      <c r="L1983" s="12"/>
    </row>
    <row r="1984" spans="1:12" ht="15.75" customHeight="1" x14ac:dyDescent="0.3">
      <c r="A1984" s="17" t="s">
        <v>938</v>
      </c>
      <c r="B1984" s="50" t="str">
        <f>VLOOKUP(A1984,'Sales Order'!A$2:B$1029,1,0)</f>
        <v>SO0700</v>
      </c>
      <c r="C1984" s="29" t="s">
        <v>19</v>
      </c>
      <c r="D1984" s="50" t="str">
        <f>VLOOKUP(C1984,Product!A$2:B$21,1,0)</f>
        <v>PD0001</v>
      </c>
      <c r="E1984" s="36">
        <v>116</v>
      </c>
      <c r="F1984" s="38">
        <v>24262560</v>
      </c>
      <c r="G1984" s="39" t="s">
        <v>4358</v>
      </c>
      <c r="H1984" s="12"/>
      <c r="L1984" s="12"/>
    </row>
    <row r="1985" spans="1:12" ht="15.75" customHeight="1" x14ac:dyDescent="0.3">
      <c r="A1985" s="29" t="s">
        <v>938</v>
      </c>
      <c r="B1985" s="50" t="str">
        <f>VLOOKUP(A1985,'Sales Order'!A$2:B$1029,1,0)</f>
        <v>SO0700</v>
      </c>
      <c r="C1985" s="29" t="s">
        <v>75</v>
      </c>
      <c r="D1985" s="50" t="str">
        <f>VLOOKUP(C1985,Product!A$2:B$21,1,0)</f>
        <v>PD0017</v>
      </c>
      <c r="E1985" s="36">
        <v>108</v>
      </c>
      <c r="F1985" s="38">
        <v>223236000</v>
      </c>
      <c r="G1985" s="39" t="s">
        <v>4359</v>
      </c>
      <c r="H1985" s="12"/>
      <c r="L1985" s="12"/>
    </row>
    <row r="1986" spans="1:12" ht="15.75" customHeight="1" x14ac:dyDescent="0.3">
      <c r="A1986" s="29" t="s">
        <v>938</v>
      </c>
      <c r="B1986" s="50" t="str">
        <f>VLOOKUP(A1986,'Sales Order'!A$2:B$1029,1,0)</f>
        <v>SO0700</v>
      </c>
      <c r="C1986" s="29" t="s">
        <v>52</v>
      </c>
      <c r="D1986" s="50" t="str">
        <f>VLOOKUP(C1986,Product!A$2:B$21,1,0)</f>
        <v>PD0010</v>
      </c>
      <c r="E1986" s="36">
        <v>54</v>
      </c>
      <c r="F1986" s="38">
        <v>14040000</v>
      </c>
      <c r="G1986" s="39" t="s">
        <v>4360</v>
      </c>
      <c r="H1986" s="12"/>
      <c r="L1986" s="12"/>
    </row>
    <row r="1987" spans="1:12" ht="15.75" customHeight="1" x14ac:dyDescent="0.3">
      <c r="A1987" s="17" t="s">
        <v>939</v>
      </c>
      <c r="B1987" s="50" t="str">
        <f>VLOOKUP(A1987,'Sales Order'!A$2:B$1029,1,0)</f>
        <v>SO0701</v>
      </c>
      <c r="C1987" s="29" t="s">
        <v>72</v>
      </c>
      <c r="D1987" s="50" t="str">
        <f>VLOOKUP(C1987,Product!A$2:B$21,1,0)</f>
        <v>PD0016</v>
      </c>
      <c r="E1987" s="36">
        <v>87</v>
      </c>
      <c r="F1987" s="38">
        <v>20441520</v>
      </c>
      <c r="G1987" s="39" t="s">
        <v>4361</v>
      </c>
      <c r="H1987" s="12"/>
      <c r="L1987" s="12"/>
    </row>
    <row r="1988" spans="1:12" ht="15.75" customHeight="1" x14ac:dyDescent="0.3">
      <c r="A1988" s="29" t="s">
        <v>939</v>
      </c>
      <c r="B1988" s="50" t="str">
        <f>VLOOKUP(A1988,'Sales Order'!A$2:B$1029,1,0)</f>
        <v>SO0701</v>
      </c>
      <c r="C1988" s="29" t="s">
        <v>28</v>
      </c>
      <c r="D1988" s="50" t="str">
        <f>VLOOKUP(C1988,Product!A$2:B$21,1,0)</f>
        <v>PD0003</v>
      </c>
      <c r="E1988" s="36">
        <v>134</v>
      </c>
      <c r="F1988" s="38">
        <v>117268760</v>
      </c>
      <c r="G1988" s="39" t="s">
        <v>4362</v>
      </c>
      <c r="H1988" s="12"/>
      <c r="L1988" s="12"/>
    </row>
    <row r="1989" spans="1:12" ht="15.75" customHeight="1" x14ac:dyDescent="0.3">
      <c r="A1989" s="17" t="s">
        <v>940</v>
      </c>
      <c r="B1989" s="50" t="str">
        <f>VLOOKUP(A1989,'Sales Order'!A$2:B$1029,1,0)</f>
        <v>SO0702</v>
      </c>
      <c r="C1989" s="29" t="s">
        <v>35</v>
      </c>
      <c r="D1989" s="50" t="str">
        <f>VLOOKUP(C1989,Product!A$2:B$21,1,0)</f>
        <v>PD0005</v>
      </c>
      <c r="E1989" s="36">
        <v>92</v>
      </c>
      <c r="F1989" s="38">
        <v>169629600</v>
      </c>
      <c r="G1989" s="39" t="s">
        <v>4363</v>
      </c>
      <c r="H1989" s="12"/>
      <c r="L1989" s="12"/>
    </row>
    <row r="1990" spans="1:12" ht="15.75" customHeight="1" x14ac:dyDescent="0.3">
      <c r="A1990" s="29" t="s">
        <v>940</v>
      </c>
      <c r="B1990" s="50" t="str">
        <f>VLOOKUP(A1990,'Sales Order'!A$2:B$1029,1,0)</f>
        <v>SO0702</v>
      </c>
      <c r="C1990" s="29" t="s">
        <v>52</v>
      </c>
      <c r="D1990" s="50" t="str">
        <f>VLOOKUP(C1990,Product!A$2:B$21,1,0)</f>
        <v>PD0010</v>
      </c>
      <c r="E1990" s="36">
        <v>42</v>
      </c>
      <c r="F1990" s="38">
        <v>12421500</v>
      </c>
      <c r="G1990" s="39" t="s">
        <v>4364</v>
      </c>
      <c r="H1990" s="12"/>
      <c r="L1990" s="12"/>
    </row>
    <row r="1991" spans="1:12" ht="15.75" customHeight="1" x14ac:dyDescent="0.3">
      <c r="A1991" s="29" t="s">
        <v>940</v>
      </c>
      <c r="B1991" s="50" t="str">
        <f>VLOOKUP(A1991,'Sales Order'!A$2:B$1029,1,0)</f>
        <v>SO0702</v>
      </c>
      <c r="C1991" s="29" t="s">
        <v>28</v>
      </c>
      <c r="D1991" s="50" t="str">
        <f>VLOOKUP(C1991,Product!A$2:B$21,1,0)</f>
        <v>PD0003</v>
      </c>
      <c r="E1991" s="36">
        <v>72</v>
      </c>
      <c r="F1991" s="38">
        <v>62339759.999999993</v>
      </c>
      <c r="G1991" s="39" t="s">
        <v>4365</v>
      </c>
      <c r="H1991" s="12"/>
      <c r="L1991" s="12"/>
    </row>
    <row r="1992" spans="1:12" ht="15.75" customHeight="1" x14ac:dyDescent="0.3">
      <c r="A1992" s="17" t="s">
        <v>942</v>
      </c>
      <c r="B1992" s="50" t="str">
        <f>VLOOKUP(A1992,'Sales Order'!A$2:B$1029,1,0)</f>
        <v>SO0704</v>
      </c>
      <c r="C1992" s="29" t="s">
        <v>81</v>
      </c>
      <c r="D1992" s="50" t="str">
        <f>VLOOKUP(C1992,Product!A$2:B$21,1,0)</f>
        <v>PD0019</v>
      </c>
      <c r="E1992" s="36">
        <v>68</v>
      </c>
      <c r="F1992" s="38">
        <v>147332200</v>
      </c>
      <c r="G1992" s="39" t="s">
        <v>4366</v>
      </c>
      <c r="H1992" s="12"/>
      <c r="L1992" s="12"/>
    </row>
    <row r="1993" spans="1:12" ht="15.75" customHeight="1" x14ac:dyDescent="0.3">
      <c r="A1993" s="29" t="s">
        <v>942</v>
      </c>
      <c r="B1993" s="50" t="str">
        <f>VLOOKUP(A1993,'Sales Order'!A$2:B$1029,1,0)</f>
        <v>SO0704</v>
      </c>
      <c r="C1993" s="29" t="s">
        <v>58</v>
      </c>
      <c r="D1993" s="50" t="str">
        <f>VLOOKUP(C1993,Product!A$2:B$21,1,0)</f>
        <v>PD0012</v>
      </c>
      <c r="E1993" s="36">
        <v>106</v>
      </c>
      <c r="F1993" s="38">
        <v>496119220</v>
      </c>
      <c r="G1993" s="39" t="s">
        <v>4367</v>
      </c>
      <c r="H1993" s="12"/>
      <c r="L1993" s="12"/>
    </row>
    <row r="1994" spans="1:12" ht="15.75" customHeight="1" x14ac:dyDescent="0.3">
      <c r="A1994" s="29" t="s">
        <v>942</v>
      </c>
      <c r="B1994" s="50" t="str">
        <f>VLOOKUP(A1994,'Sales Order'!A$2:B$1029,1,0)</f>
        <v>SO0704</v>
      </c>
      <c r="C1994" s="29" t="s">
        <v>28</v>
      </c>
      <c r="D1994" s="50" t="str">
        <f>VLOOKUP(C1994,Product!A$2:B$21,1,0)</f>
        <v>PD0003</v>
      </c>
      <c r="E1994" s="36">
        <v>98</v>
      </c>
      <c r="F1994" s="38">
        <v>69340880</v>
      </c>
      <c r="G1994" s="39" t="s">
        <v>4368</v>
      </c>
      <c r="H1994" s="12"/>
      <c r="L1994" s="12"/>
    </row>
    <row r="1995" spans="1:12" ht="15.75" customHeight="1" x14ac:dyDescent="0.3">
      <c r="A1995" s="17" t="s">
        <v>943</v>
      </c>
      <c r="B1995" s="50" t="str">
        <f>VLOOKUP(A1995,'Sales Order'!A$2:B$1029,1,0)</f>
        <v>SO0705</v>
      </c>
      <c r="C1995" s="29" t="s">
        <v>33</v>
      </c>
      <c r="D1995" s="50" t="str">
        <f>VLOOKUP(C1995,Product!A$2:B$21,1,0)</f>
        <v>PD0004</v>
      </c>
      <c r="E1995" s="36">
        <v>62</v>
      </c>
      <c r="F1995" s="38">
        <v>10366400</v>
      </c>
      <c r="G1995" s="39" t="s">
        <v>4369</v>
      </c>
      <c r="H1995" s="12"/>
      <c r="L1995" s="12"/>
    </row>
    <row r="1996" spans="1:12" ht="15.75" customHeight="1" x14ac:dyDescent="0.3">
      <c r="A1996" s="29" t="s">
        <v>943</v>
      </c>
      <c r="B1996" s="50" t="str">
        <f>VLOOKUP(A1996,'Sales Order'!A$2:B$1029,1,0)</f>
        <v>SO0705</v>
      </c>
      <c r="C1996" s="29" t="s">
        <v>45</v>
      </c>
      <c r="D1996" s="50" t="str">
        <f>VLOOKUP(C1996,Product!A$2:B$21,1,0)</f>
        <v>PD0008</v>
      </c>
      <c r="E1996" s="36">
        <v>78</v>
      </c>
      <c r="F1996" s="38">
        <v>9297600</v>
      </c>
      <c r="G1996" s="39" t="s">
        <v>4370</v>
      </c>
      <c r="H1996" s="12"/>
      <c r="L1996" s="12"/>
    </row>
    <row r="1997" spans="1:12" ht="15.75" customHeight="1" x14ac:dyDescent="0.3">
      <c r="A1997" s="29" t="s">
        <v>943</v>
      </c>
      <c r="B1997" s="50" t="str">
        <f>VLOOKUP(A1997,'Sales Order'!A$2:B$1029,1,0)</f>
        <v>SO0705</v>
      </c>
      <c r="C1997" s="29" t="s">
        <v>72</v>
      </c>
      <c r="D1997" s="50" t="str">
        <f>VLOOKUP(C1997,Product!A$2:B$21,1,0)</f>
        <v>PD0016</v>
      </c>
      <c r="E1997" s="36">
        <v>141</v>
      </c>
      <c r="F1997" s="38">
        <v>31999950</v>
      </c>
      <c r="G1997" s="39" t="s">
        <v>4371</v>
      </c>
      <c r="H1997" s="12"/>
      <c r="L1997" s="12"/>
    </row>
    <row r="1998" spans="1:12" ht="15.75" customHeight="1" x14ac:dyDescent="0.3">
      <c r="A1998" s="29" t="s">
        <v>943</v>
      </c>
      <c r="B1998" s="50" t="str">
        <f>VLOOKUP(A1998,'Sales Order'!A$2:B$1029,1,0)</f>
        <v>SO0705</v>
      </c>
      <c r="C1998" s="29" t="s">
        <v>52</v>
      </c>
      <c r="D1998" s="50" t="str">
        <f>VLOOKUP(C1998,Product!A$2:B$21,1,0)</f>
        <v>PD0010</v>
      </c>
      <c r="E1998" s="36">
        <v>138</v>
      </c>
      <c r="F1998" s="38">
        <v>37225500</v>
      </c>
      <c r="G1998" s="39" t="s">
        <v>4372</v>
      </c>
      <c r="H1998" s="12"/>
      <c r="L1998" s="12"/>
    </row>
    <row r="1999" spans="1:12" ht="15.75" customHeight="1" x14ac:dyDescent="0.3">
      <c r="A1999" s="29" t="s">
        <v>943</v>
      </c>
      <c r="B1999" s="50" t="str">
        <f>VLOOKUP(A1999,'Sales Order'!A$2:B$1029,1,0)</f>
        <v>SO0705</v>
      </c>
      <c r="C1999" s="29" t="s">
        <v>19</v>
      </c>
      <c r="D1999" s="50" t="str">
        <f>VLOOKUP(C1999,Product!A$2:B$21,1,0)</f>
        <v>PD0001</v>
      </c>
      <c r="E1999" s="36">
        <v>91</v>
      </c>
      <c r="F1999" s="38">
        <v>17220840</v>
      </c>
      <c r="G1999" s="39" t="s">
        <v>4373</v>
      </c>
      <c r="H1999" s="12"/>
      <c r="L1999" s="12"/>
    </row>
    <row r="2000" spans="1:12" ht="15.75" customHeight="1" x14ac:dyDescent="0.3">
      <c r="A2000" s="29" t="s">
        <v>943</v>
      </c>
      <c r="B2000" s="50" t="str">
        <f>VLOOKUP(A2000,'Sales Order'!A$2:B$1029,1,0)</f>
        <v>SO0705</v>
      </c>
      <c r="C2000" s="29" t="s">
        <v>55</v>
      </c>
      <c r="D2000" s="50" t="str">
        <f>VLOOKUP(C2000,Product!A$2:B$21,1,0)</f>
        <v>PD0011</v>
      </c>
      <c r="E2000" s="36">
        <v>54</v>
      </c>
      <c r="F2000" s="38">
        <v>108278100</v>
      </c>
      <c r="G2000" s="39" t="s">
        <v>4374</v>
      </c>
      <c r="H2000" s="12"/>
      <c r="L2000" s="12"/>
    </row>
    <row r="2001" spans="1:12" ht="15.75" customHeight="1" x14ac:dyDescent="0.3">
      <c r="A2001" s="17" t="s">
        <v>944</v>
      </c>
      <c r="B2001" s="50" t="str">
        <f>VLOOKUP(A2001,'Sales Order'!A$2:B$1029,1,0)</f>
        <v>SO0706</v>
      </c>
      <c r="C2001" s="29" t="s">
        <v>55</v>
      </c>
      <c r="D2001" s="50" t="str">
        <f>VLOOKUP(C2001,Product!A$2:B$21,1,0)</f>
        <v>PD0011</v>
      </c>
      <c r="E2001" s="36">
        <v>149</v>
      </c>
      <c r="F2001" s="38">
        <v>281192800</v>
      </c>
      <c r="G2001" s="39" t="s">
        <v>4375</v>
      </c>
      <c r="H2001" s="12"/>
      <c r="L2001" s="12"/>
    </row>
    <row r="2002" spans="1:12" ht="15.75" customHeight="1" x14ac:dyDescent="0.3">
      <c r="A2002" s="29" t="s">
        <v>944</v>
      </c>
      <c r="B2002" s="50" t="str">
        <f>VLOOKUP(A2002,'Sales Order'!A$2:B$1029,1,0)</f>
        <v>SO0706</v>
      </c>
      <c r="C2002" s="29" t="s">
        <v>45</v>
      </c>
      <c r="D2002" s="50" t="str">
        <f>VLOOKUP(C2002,Product!A$2:B$21,1,0)</f>
        <v>PD0008</v>
      </c>
      <c r="E2002" s="36">
        <v>61</v>
      </c>
      <c r="F2002" s="38">
        <v>7816540</v>
      </c>
      <c r="G2002" s="39" t="s">
        <v>4376</v>
      </c>
      <c r="H2002" s="12"/>
      <c r="L2002" s="12"/>
    </row>
    <row r="2003" spans="1:12" ht="15.75" customHeight="1" x14ac:dyDescent="0.3">
      <c r="A2003" s="29" t="s">
        <v>944</v>
      </c>
      <c r="B2003" s="50" t="str">
        <f>VLOOKUP(A2003,'Sales Order'!A$2:B$1029,1,0)</f>
        <v>SO0706</v>
      </c>
      <c r="C2003" s="29" t="s">
        <v>35</v>
      </c>
      <c r="D2003" s="50" t="str">
        <f>VLOOKUP(C2003,Product!A$2:B$21,1,0)</f>
        <v>PD0005</v>
      </c>
      <c r="E2003" s="36">
        <v>149</v>
      </c>
      <c r="F2003" s="38">
        <v>300890600</v>
      </c>
      <c r="G2003" s="39" t="s">
        <v>4377</v>
      </c>
      <c r="H2003" s="12"/>
      <c r="L2003" s="12"/>
    </row>
    <row r="2004" spans="1:12" ht="15.75" customHeight="1" x14ac:dyDescent="0.3">
      <c r="A2004" s="29" t="s">
        <v>944</v>
      </c>
      <c r="B2004" s="50" t="str">
        <f>VLOOKUP(A2004,'Sales Order'!A$2:B$1029,1,0)</f>
        <v>SO0706</v>
      </c>
      <c r="C2004" s="29" t="s">
        <v>83</v>
      </c>
      <c r="D2004" s="50" t="str">
        <f>VLOOKUP(C2004,Product!A$2:B$21,1,0)</f>
        <v>PD0020</v>
      </c>
      <c r="E2004" s="36">
        <v>111</v>
      </c>
      <c r="F2004" s="38">
        <v>30642660</v>
      </c>
      <c r="G2004" s="39" t="s">
        <v>4378</v>
      </c>
      <c r="H2004" s="12"/>
      <c r="L2004" s="12"/>
    </row>
    <row r="2005" spans="1:12" ht="15.75" customHeight="1" x14ac:dyDescent="0.3">
      <c r="A2005" s="17" t="s">
        <v>945</v>
      </c>
      <c r="B2005" s="50" t="str">
        <f>VLOOKUP(A2005,'Sales Order'!A$2:B$1029,1,0)</f>
        <v>SO0707</v>
      </c>
      <c r="C2005" s="29" t="s">
        <v>81</v>
      </c>
      <c r="D2005" s="50" t="str">
        <f>VLOOKUP(C2005,Product!A$2:B$21,1,0)</f>
        <v>PD0019</v>
      </c>
      <c r="E2005" s="36">
        <v>82</v>
      </c>
      <c r="F2005" s="38">
        <v>171394760</v>
      </c>
      <c r="G2005" s="39" t="s">
        <v>4379</v>
      </c>
      <c r="H2005" s="12"/>
      <c r="L2005" s="12"/>
    </row>
    <row r="2006" spans="1:12" ht="15.75" customHeight="1" x14ac:dyDescent="0.3">
      <c r="A2006" s="29" t="s">
        <v>945</v>
      </c>
      <c r="B2006" s="50" t="str">
        <f>VLOOKUP(A2006,'Sales Order'!A$2:B$1029,1,0)</f>
        <v>SO0707</v>
      </c>
      <c r="C2006" s="29" t="s">
        <v>65</v>
      </c>
      <c r="D2006" s="50" t="str">
        <f>VLOOKUP(C2006,Product!A$2:B$21,1,0)</f>
        <v>PD0014</v>
      </c>
      <c r="E2006" s="36">
        <v>67</v>
      </c>
      <c r="F2006" s="38">
        <v>15026760</v>
      </c>
      <c r="G2006" s="39" t="s">
        <v>4380</v>
      </c>
      <c r="H2006" s="12"/>
      <c r="L2006" s="12"/>
    </row>
    <row r="2007" spans="1:12" ht="15.75" customHeight="1" x14ac:dyDescent="0.3">
      <c r="A2007" s="17" t="s">
        <v>946</v>
      </c>
      <c r="B2007" s="50" t="str">
        <f>VLOOKUP(A2007,'Sales Order'!A$2:B$1029,1,0)</f>
        <v>SO0708</v>
      </c>
      <c r="C2007" s="29" t="s">
        <v>75</v>
      </c>
      <c r="D2007" s="50" t="str">
        <f>VLOOKUP(C2007,Product!A$2:B$21,1,0)</f>
        <v>PD0017</v>
      </c>
      <c r="E2007" s="36">
        <v>120</v>
      </c>
      <c r="F2007" s="38">
        <v>260760000.00000003</v>
      </c>
      <c r="G2007" s="39" t="s">
        <v>4381</v>
      </c>
      <c r="H2007" s="12"/>
      <c r="L2007" s="12"/>
    </row>
    <row r="2008" spans="1:12" ht="15.75" customHeight="1" x14ac:dyDescent="0.3">
      <c r="A2008" s="29" t="s">
        <v>946</v>
      </c>
      <c r="B2008" s="50" t="str">
        <f>VLOOKUP(A2008,'Sales Order'!A$2:B$1029,1,0)</f>
        <v>SO0708</v>
      </c>
      <c r="C2008" s="29" t="s">
        <v>83</v>
      </c>
      <c r="D2008" s="50" t="str">
        <f>VLOOKUP(C2008,Product!A$2:B$21,1,0)</f>
        <v>PD0020</v>
      </c>
      <c r="E2008" s="36">
        <v>90</v>
      </c>
      <c r="F2008" s="38">
        <v>26867700</v>
      </c>
      <c r="G2008" s="39" t="s">
        <v>4382</v>
      </c>
      <c r="H2008" s="12"/>
      <c r="L2008" s="12"/>
    </row>
    <row r="2009" spans="1:12" ht="15.75" customHeight="1" x14ac:dyDescent="0.3">
      <c r="A2009" s="29" t="s">
        <v>946</v>
      </c>
      <c r="B2009" s="50" t="str">
        <f>VLOOKUP(A2009,'Sales Order'!A$2:B$1029,1,0)</f>
        <v>SO0708</v>
      </c>
      <c r="C2009" s="29" t="s">
        <v>25</v>
      </c>
      <c r="D2009" s="50" t="str">
        <f>VLOOKUP(C2009,Product!A$2:B$21,1,0)</f>
        <v>PD0002</v>
      </c>
      <c r="E2009" s="36">
        <v>133</v>
      </c>
      <c r="F2009" s="38">
        <v>2394000</v>
      </c>
      <c r="G2009" s="39" t="s">
        <v>4383</v>
      </c>
      <c r="H2009" s="12"/>
      <c r="L2009" s="12"/>
    </row>
    <row r="2010" spans="1:12" ht="15.75" customHeight="1" x14ac:dyDescent="0.3">
      <c r="A2010" s="17" t="s">
        <v>947</v>
      </c>
      <c r="B2010" s="50" t="str">
        <f>VLOOKUP(A2010,'Sales Order'!A$2:B$1029,1,0)</f>
        <v>SO0709</v>
      </c>
      <c r="C2010" s="29" t="s">
        <v>78</v>
      </c>
      <c r="D2010" s="50" t="str">
        <f>VLOOKUP(C2010,Product!A$2:B$21,1,0)</f>
        <v>PD0018</v>
      </c>
      <c r="E2010" s="36">
        <v>52</v>
      </c>
      <c r="F2010" s="38">
        <v>26004160</v>
      </c>
      <c r="G2010" s="39" t="s">
        <v>4384</v>
      </c>
      <c r="H2010" s="12"/>
      <c r="L2010" s="12"/>
    </row>
    <row r="2011" spans="1:12" ht="15.75" customHeight="1" x14ac:dyDescent="0.3">
      <c r="A2011" s="29" t="s">
        <v>947</v>
      </c>
      <c r="B2011" s="50" t="str">
        <f>VLOOKUP(A2011,'Sales Order'!A$2:B$1029,1,0)</f>
        <v>SO0709</v>
      </c>
      <c r="C2011" s="29" t="s">
        <v>48</v>
      </c>
      <c r="D2011" s="50" t="str">
        <f>VLOOKUP(C2011,Product!A$2:B$21,1,0)</f>
        <v>PD0009</v>
      </c>
      <c r="E2011" s="36">
        <v>120</v>
      </c>
      <c r="F2011" s="38">
        <v>14241600</v>
      </c>
      <c r="G2011" s="39" t="s">
        <v>4385</v>
      </c>
      <c r="H2011" s="12"/>
      <c r="L2011" s="12"/>
    </row>
    <row r="2012" spans="1:12" ht="15.75" customHeight="1" x14ac:dyDescent="0.3">
      <c r="A2012" s="29" t="s">
        <v>947</v>
      </c>
      <c r="B2012" s="50" t="str">
        <f>VLOOKUP(A2012,'Sales Order'!A$2:B$1029,1,0)</f>
        <v>SO0709</v>
      </c>
      <c r="C2012" s="29" t="s">
        <v>19</v>
      </c>
      <c r="D2012" s="50" t="str">
        <f>VLOOKUP(C2012,Product!A$2:B$21,1,0)</f>
        <v>PD0001</v>
      </c>
      <c r="E2012" s="36">
        <v>126</v>
      </c>
      <c r="F2012" s="38">
        <v>28236600</v>
      </c>
      <c r="G2012" s="39" t="s">
        <v>4386</v>
      </c>
      <c r="H2012" s="12"/>
      <c r="L2012" s="12"/>
    </row>
    <row r="2013" spans="1:12" ht="15.75" customHeight="1" x14ac:dyDescent="0.3">
      <c r="A2013" s="17" t="s">
        <v>948</v>
      </c>
      <c r="B2013" s="50" t="str">
        <f>VLOOKUP(A2013,'Sales Order'!A$2:B$1029,1,0)</f>
        <v>SO0710</v>
      </c>
      <c r="C2013" s="29" t="s">
        <v>58</v>
      </c>
      <c r="D2013" s="50" t="str">
        <f>VLOOKUP(C2013,Product!A$2:B$21,1,0)</f>
        <v>PD0012</v>
      </c>
      <c r="E2013" s="36">
        <v>32</v>
      </c>
      <c r="F2013" s="38">
        <v>166012160</v>
      </c>
      <c r="G2013" s="39" t="s">
        <v>4387</v>
      </c>
      <c r="H2013" s="12"/>
      <c r="L2013" s="12"/>
    </row>
    <row r="2014" spans="1:12" ht="15.75" customHeight="1" x14ac:dyDescent="0.3">
      <c r="A2014" s="29" t="s">
        <v>948</v>
      </c>
      <c r="B2014" s="50" t="str">
        <f>VLOOKUP(A2014,'Sales Order'!A$2:B$1029,1,0)</f>
        <v>SO0710</v>
      </c>
      <c r="C2014" s="29" t="s">
        <v>40</v>
      </c>
      <c r="D2014" s="50" t="str">
        <f>VLOOKUP(C2014,Product!A$2:B$21,1,0)</f>
        <v>PD0006</v>
      </c>
      <c r="E2014" s="36">
        <v>137</v>
      </c>
      <c r="F2014" s="38">
        <v>23479060</v>
      </c>
      <c r="G2014" s="39" t="s">
        <v>4388</v>
      </c>
      <c r="H2014" s="12"/>
      <c r="L2014" s="12"/>
    </row>
    <row r="2015" spans="1:12" ht="15.75" customHeight="1" x14ac:dyDescent="0.3">
      <c r="A2015" s="29" t="s">
        <v>948</v>
      </c>
      <c r="B2015" s="50" t="str">
        <f>VLOOKUP(A2015,'Sales Order'!A$2:B$1029,1,0)</f>
        <v>SO0710</v>
      </c>
      <c r="C2015" s="29" t="s">
        <v>45</v>
      </c>
      <c r="D2015" s="50" t="str">
        <f>VLOOKUP(C2015,Product!A$2:B$21,1,0)</f>
        <v>PD0008</v>
      </c>
      <c r="E2015" s="36">
        <v>145</v>
      </c>
      <c r="F2015" s="38">
        <v>19228450</v>
      </c>
      <c r="G2015" s="39" t="s">
        <v>4389</v>
      </c>
      <c r="H2015" s="12"/>
      <c r="L2015" s="12"/>
    </row>
    <row r="2016" spans="1:12" ht="15.75" customHeight="1" x14ac:dyDescent="0.3">
      <c r="A2016" s="17" t="s">
        <v>949</v>
      </c>
      <c r="B2016" s="50" t="str">
        <f>VLOOKUP(A2016,'Sales Order'!A$2:B$1029,1,0)</f>
        <v>SO0711</v>
      </c>
      <c r="C2016" s="29" t="s">
        <v>58</v>
      </c>
      <c r="D2016" s="50" t="str">
        <f>VLOOKUP(C2016,Product!A$2:B$21,1,0)</f>
        <v>PD0012</v>
      </c>
      <c r="E2016" s="36">
        <v>144</v>
      </c>
      <c r="F2016" s="38">
        <v>649612800</v>
      </c>
      <c r="G2016" s="39" t="s">
        <v>4390</v>
      </c>
      <c r="H2016" s="12"/>
      <c r="L2016" s="12"/>
    </row>
    <row r="2017" spans="1:12" ht="15.75" customHeight="1" x14ac:dyDescent="0.3">
      <c r="A2017" s="29" t="s">
        <v>949</v>
      </c>
      <c r="B2017" s="50" t="str">
        <f>VLOOKUP(A2017,'Sales Order'!A$2:B$1029,1,0)</f>
        <v>SO0711</v>
      </c>
      <c r="C2017" s="29" t="s">
        <v>19</v>
      </c>
      <c r="D2017" s="50" t="str">
        <f>VLOOKUP(C2017,Product!A$2:B$21,1,0)</f>
        <v>PD0001</v>
      </c>
      <c r="E2017" s="36">
        <v>58</v>
      </c>
      <c r="F2017" s="38">
        <v>13286640</v>
      </c>
      <c r="G2017" s="39" t="s">
        <v>4391</v>
      </c>
      <c r="H2017" s="12"/>
      <c r="L2017" s="12"/>
    </row>
    <row r="2018" spans="1:12" ht="15.75" customHeight="1" x14ac:dyDescent="0.3">
      <c r="A2018" s="29" t="s">
        <v>949</v>
      </c>
      <c r="B2018" s="50" t="str">
        <f>VLOOKUP(A2018,'Sales Order'!A$2:B$1029,1,0)</f>
        <v>SO0711</v>
      </c>
      <c r="C2018" s="29" t="s">
        <v>55</v>
      </c>
      <c r="D2018" s="50" t="str">
        <f>VLOOKUP(C2018,Product!A$2:B$21,1,0)</f>
        <v>PD0011</v>
      </c>
      <c r="E2018" s="36">
        <v>85</v>
      </c>
      <c r="F2018" s="38">
        <v>158406850</v>
      </c>
      <c r="G2018" s="39" t="s">
        <v>4392</v>
      </c>
      <c r="H2018" s="12"/>
      <c r="L2018" s="12"/>
    </row>
    <row r="2019" spans="1:12" ht="15.75" customHeight="1" x14ac:dyDescent="0.3">
      <c r="A2019" s="29" t="s">
        <v>949</v>
      </c>
      <c r="B2019" s="50" t="str">
        <f>VLOOKUP(A2019,'Sales Order'!A$2:B$1029,1,0)</f>
        <v>SO0711</v>
      </c>
      <c r="C2019" s="29" t="s">
        <v>28</v>
      </c>
      <c r="D2019" s="50" t="str">
        <f>VLOOKUP(C2019,Product!A$2:B$21,1,0)</f>
        <v>PD0003</v>
      </c>
      <c r="E2019" s="36">
        <v>64</v>
      </c>
      <c r="F2019" s="38">
        <v>49454720</v>
      </c>
      <c r="G2019" s="39" t="s">
        <v>4393</v>
      </c>
      <c r="H2019" s="12"/>
      <c r="L2019" s="12"/>
    </row>
    <row r="2020" spans="1:12" ht="15.75" customHeight="1" x14ac:dyDescent="0.3">
      <c r="A2020" s="17" t="s">
        <v>950</v>
      </c>
      <c r="B2020" s="50" t="str">
        <f>VLOOKUP(A2020,'Sales Order'!A$2:B$1029,1,0)</f>
        <v>SO0712</v>
      </c>
      <c r="C2020" s="29" t="s">
        <v>33</v>
      </c>
      <c r="D2020" s="50" t="str">
        <f>VLOOKUP(C2020,Product!A$2:B$21,1,0)</f>
        <v>PD0004</v>
      </c>
      <c r="E2020" s="36">
        <v>66</v>
      </c>
      <c r="F2020" s="38">
        <v>11906400</v>
      </c>
      <c r="G2020" s="39" t="s">
        <v>4394</v>
      </c>
      <c r="H2020" s="12"/>
      <c r="L2020" s="12"/>
    </row>
    <row r="2021" spans="1:12" ht="15.75" customHeight="1" x14ac:dyDescent="0.3">
      <c r="A2021" s="17" t="s">
        <v>951</v>
      </c>
      <c r="B2021" s="50" t="str">
        <f>VLOOKUP(A2021,'Sales Order'!A$2:B$1029,1,0)</f>
        <v>SO0713</v>
      </c>
      <c r="C2021" s="29" t="s">
        <v>25</v>
      </c>
      <c r="D2021" s="50" t="str">
        <f>VLOOKUP(C2021,Product!A$2:B$21,1,0)</f>
        <v>PD0002</v>
      </c>
      <c r="E2021" s="36">
        <v>72</v>
      </c>
      <c r="F2021" s="38">
        <v>1281600</v>
      </c>
      <c r="G2021" s="39" t="s">
        <v>4395</v>
      </c>
      <c r="H2021" s="12"/>
      <c r="L2021" s="12"/>
    </row>
    <row r="2022" spans="1:12" ht="15.75" customHeight="1" x14ac:dyDescent="0.3">
      <c r="A2022" s="29" t="s">
        <v>951</v>
      </c>
      <c r="B2022" s="50" t="str">
        <f>VLOOKUP(A2022,'Sales Order'!A$2:B$1029,1,0)</f>
        <v>SO0713</v>
      </c>
      <c r="C2022" s="29" t="s">
        <v>83</v>
      </c>
      <c r="D2022" s="50" t="str">
        <f>VLOOKUP(C2022,Product!A$2:B$21,1,0)</f>
        <v>PD0020</v>
      </c>
      <c r="E2022" s="36">
        <v>123</v>
      </c>
      <c r="F2022" s="38">
        <v>32770890</v>
      </c>
      <c r="G2022" s="39" t="s">
        <v>4396</v>
      </c>
      <c r="H2022" s="12"/>
      <c r="L2022" s="12"/>
    </row>
    <row r="2023" spans="1:12" ht="15.75" customHeight="1" x14ac:dyDescent="0.3">
      <c r="A2023" s="29" t="s">
        <v>951</v>
      </c>
      <c r="B2023" s="50" t="str">
        <f>VLOOKUP(A2023,'Sales Order'!A$2:B$1029,1,0)</f>
        <v>SO0713</v>
      </c>
      <c r="C2023" s="29" t="s">
        <v>33</v>
      </c>
      <c r="D2023" s="50" t="str">
        <f>VLOOKUP(C2023,Product!A$2:B$21,1,0)</f>
        <v>PD0004</v>
      </c>
      <c r="E2023" s="36">
        <v>78</v>
      </c>
      <c r="F2023" s="38">
        <v>13041600</v>
      </c>
      <c r="G2023" s="39" t="s">
        <v>4397</v>
      </c>
      <c r="H2023" s="12"/>
      <c r="L2023" s="12"/>
    </row>
    <row r="2024" spans="1:12" ht="15.75" customHeight="1" x14ac:dyDescent="0.3">
      <c r="A2024" s="17" t="s">
        <v>952</v>
      </c>
      <c r="B2024" s="50" t="str">
        <f>VLOOKUP(A2024,'Sales Order'!A$2:B$1029,1,0)</f>
        <v>SO0714</v>
      </c>
      <c r="C2024" s="29" t="s">
        <v>48</v>
      </c>
      <c r="D2024" s="50" t="str">
        <f>VLOOKUP(C2024,Product!A$2:B$21,1,0)</f>
        <v>PD0009</v>
      </c>
      <c r="E2024" s="36">
        <v>140</v>
      </c>
      <c r="F2024" s="38">
        <v>16434600</v>
      </c>
      <c r="G2024" s="39" t="s">
        <v>4398</v>
      </c>
      <c r="H2024" s="12"/>
      <c r="L2024" s="12"/>
    </row>
    <row r="2025" spans="1:12" ht="15.75" customHeight="1" x14ac:dyDescent="0.3">
      <c r="A2025" s="29" t="s">
        <v>952</v>
      </c>
      <c r="B2025" s="50" t="str">
        <f>VLOOKUP(A2025,'Sales Order'!A$2:B$1029,1,0)</f>
        <v>SO0714</v>
      </c>
      <c r="C2025" s="29" t="s">
        <v>33</v>
      </c>
      <c r="D2025" s="50" t="str">
        <f>VLOOKUP(C2025,Product!A$2:B$21,1,0)</f>
        <v>PD0004</v>
      </c>
      <c r="E2025" s="36">
        <v>57</v>
      </c>
      <c r="F2025" s="38">
        <v>9655800</v>
      </c>
      <c r="G2025" s="39" t="s">
        <v>4399</v>
      </c>
      <c r="H2025" s="12"/>
      <c r="L2025" s="12"/>
    </row>
    <row r="2026" spans="1:12" ht="15.75" customHeight="1" x14ac:dyDescent="0.3">
      <c r="A2026" s="29" t="s">
        <v>952</v>
      </c>
      <c r="B2026" s="50" t="str">
        <f>VLOOKUP(A2026,'Sales Order'!A$2:B$1029,1,0)</f>
        <v>SO0714</v>
      </c>
      <c r="C2026" s="29" t="s">
        <v>75</v>
      </c>
      <c r="D2026" s="50" t="str">
        <f>VLOOKUP(C2026,Product!A$2:B$21,1,0)</f>
        <v>PD0017</v>
      </c>
      <c r="E2026" s="36">
        <v>133</v>
      </c>
      <c r="F2026" s="38">
        <v>299582500</v>
      </c>
      <c r="G2026" s="39" t="s">
        <v>4400</v>
      </c>
      <c r="H2026" s="12"/>
      <c r="L2026" s="12"/>
    </row>
    <row r="2027" spans="1:12" ht="15.75" customHeight="1" x14ac:dyDescent="0.3">
      <c r="A2027" s="17" t="s">
        <v>953</v>
      </c>
      <c r="B2027" s="50" t="str">
        <f>VLOOKUP(A2027,'Sales Order'!A$2:B$1029,1,0)</f>
        <v>SO0715</v>
      </c>
      <c r="C2027" s="29" t="s">
        <v>58</v>
      </c>
      <c r="D2027" s="50" t="str">
        <f>VLOOKUP(C2027,Product!A$2:B$21,1,0)</f>
        <v>PD0012</v>
      </c>
      <c r="E2027" s="36">
        <v>81</v>
      </c>
      <c r="F2027" s="38">
        <v>411083100</v>
      </c>
      <c r="G2027" s="39" t="s">
        <v>4401</v>
      </c>
      <c r="H2027" s="12"/>
      <c r="L2027" s="12"/>
    </row>
    <row r="2028" spans="1:12" ht="15.75" customHeight="1" x14ac:dyDescent="0.3">
      <c r="A2028" s="29" t="s">
        <v>953</v>
      </c>
      <c r="B2028" s="50" t="str">
        <f>VLOOKUP(A2028,'Sales Order'!A$2:B$1029,1,0)</f>
        <v>SO0715</v>
      </c>
      <c r="C2028" s="29" t="s">
        <v>72</v>
      </c>
      <c r="D2028" s="50" t="str">
        <f>VLOOKUP(C2028,Product!A$2:B$21,1,0)</f>
        <v>PD0016</v>
      </c>
      <c r="E2028" s="36">
        <v>132</v>
      </c>
      <c r="F2028" s="38">
        <v>33481800</v>
      </c>
      <c r="G2028" s="39" t="s">
        <v>4402</v>
      </c>
      <c r="H2028" s="12"/>
      <c r="L2028" s="12"/>
    </row>
    <row r="2029" spans="1:12" ht="15.75" customHeight="1" x14ac:dyDescent="0.3">
      <c r="A2029" s="29" t="s">
        <v>953</v>
      </c>
      <c r="B2029" s="50" t="str">
        <f>VLOOKUP(A2029,'Sales Order'!A$2:B$1029,1,0)</f>
        <v>SO0715</v>
      </c>
      <c r="C2029" s="29" t="s">
        <v>69</v>
      </c>
      <c r="D2029" s="50" t="str">
        <f>VLOOKUP(C2029,Product!A$2:B$21,1,0)</f>
        <v>PD0015</v>
      </c>
      <c r="E2029" s="36">
        <v>29</v>
      </c>
      <c r="F2029" s="38">
        <v>3349935</v>
      </c>
      <c r="G2029" s="39" t="s">
        <v>4403</v>
      </c>
      <c r="H2029" s="12"/>
      <c r="L2029" s="12"/>
    </row>
    <row r="2030" spans="1:12" ht="15.75" customHeight="1" x14ac:dyDescent="0.3">
      <c r="A2030" s="29" t="s">
        <v>953</v>
      </c>
      <c r="B2030" s="50" t="str">
        <f>VLOOKUP(A2030,'Sales Order'!A$2:B$1029,1,0)</f>
        <v>SO0715</v>
      </c>
      <c r="C2030" s="29" t="s">
        <v>55</v>
      </c>
      <c r="D2030" s="50" t="str">
        <f>VLOOKUP(C2030,Product!A$2:B$21,1,0)</f>
        <v>PD0011</v>
      </c>
      <c r="E2030" s="36">
        <v>83</v>
      </c>
      <c r="F2030" s="38">
        <v>174259330</v>
      </c>
      <c r="G2030" s="39" t="s">
        <v>4404</v>
      </c>
      <c r="H2030" s="12"/>
      <c r="L2030" s="12"/>
    </row>
    <row r="2031" spans="1:12" ht="15.75" customHeight="1" x14ac:dyDescent="0.3">
      <c r="A2031" s="17" t="s">
        <v>954</v>
      </c>
      <c r="B2031" s="50" t="str">
        <f>VLOOKUP(A2031,'Sales Order'!A$2:B$1029,1,0)</f>
        <v>SO0716</v>
      </c>
      <c r="C2031" s="29" t="s">
        <v>69</v>
      </c>
      <c r="D2031" s="50" t="str">
        <f>VLOOKUP(C2031,Product!A$2:B$21,1,0)</f>
        <v>PD0015</v>
      </c>
      <c r="E2031" s="36">
        <v>63</v>
      </c>
      <c r="F2031" s="38">
        <v>7106211</v>
      </c>
      <c r="G2031" s="39" t="s">
        <v>4405</v>
      </c>
      <c r="H2031" s="12"/>
      <c r="L2031" s="12"/>
    </row>
    <row r="2032" spans="1:12" ht="15.75" customHeight="1" x14ac:dyDescent="0.3">
      <c r="A2032" s="29" t="s">
        <v>954</v>
      </c>
      <c r="B2032" s="50" t="str">
        <f>VLOOKUP(A2032,'Sales Order'!A$2:B$1029,1,0)</f>
        <v>SO0716</v>
      </c>
      <c r="C2032" s="29" t="s">
        <v>58</v>
      </c>
      <c r="D2032" s="50" t="str">
        <f>VLOOKUP(C2032,Product!A$2:B$21,1,0)</f>
        <v>PD0012</v>
      </c>
      <c r="E2032" s="36">
        <v>82</v>
      </c>
      <c r="F2032" s="38">
        <v>397662280</v>
      </c>
      <c r="G2032" s="39" t="s">
        <v>4406</v>
      </c>
      <c r="H2032" s="12"/>
      <c r="L2032" s="12"/>
    </row>
    <row r="2033" spans="1:12" ht="15.75" customHeight="1" x14ac:dyDescent="0.3">
      <c r="A2033" s="29" t="s">
        <v>954</v>
      </c>
      <c r="B2033" s="50" t="str">
        <f>VLOOKUP(A2033,'Sales Order'!A$2:B$1029,1,0)</f>
        <v>SO0716</v>
      </c>
      <c r="C2033" s="29" t="s">
        <v>25</v>
      </c>
      <c r="D2033" s="50" t="str">
        <f>VLOOKUP(C2033,Product!A$2:B$21,1,0)</f>
        <v>PD0002</v>
      </c>
      <c r="E2033" s="36">
        <v>100</v>
      </c>
      <c r="F2033" s="38">
        <v>1540000</v>
      </c>
      <c r="G2033" s="39" t="s">
        <v>4407</v>
      </c>
      <c r="H2033" s="12"/>
      <c r="L2033" s="12"/>
    </row>
    <row r="2034" spans="1:12" ht="15.75" customHeight="1" x14ac:dyDescent="0.3">
      <c r="A2034" s="29" t="s">
        <v>954</v>
      </c>
      <c r="B2034" s="50" t="str">
        <f>VLOOKUP(A2034,'Sales Order'!A$2:B$1029,1,0)</f>
        <v>SO0716</v>
      </c>
      <c r="C2034" s="29" t="s">
        <v>28</v>
      </c>
      <c r="D2034" s="50" t="str">
        <f>VLOOKUP(C2034,Product!A$2:B$21,1,0)</f>
        <v>PD0003</v>
      </c>
      <c r="E2034" s="36">
        <v>57</v>
      </c>
      <c r="F2034" s="38">
        <v>48290970</v>
      </c>
      <c r="G2034" s="39" t="s">
        <v>4408</v>
      </c>
      <c r="H2034" s="12"/>
      <c r="L2034" s="12"/>
    </row>
    <row r="2035" spans="1:12" ht="15.75" customHeight="1" x14ac:dyDescent="0.3">
      <c r="A2035" s="29" t="s">
        <v>954</v>
      </c>
      <c r="B2035" s="50" t="str">
        <f>VLOOKUP(A2035,'Sales Order'!A$2:B$1029,1,0)</f>
        <v>SO0716</v>
      </c>
      <c r="C2035" s="29" t="s">
        <v>52</v>
      </c>
      <c r="D2035" s="50" t="str">
        <f>VLOOKUP(C2035,Product!A$2:B$21,1,0)</f>
        <v>PD0010</v>
      </c>
      <c r="E2035" s="36">
        <v>60</v>
      </c>
      <c r="F2035" s="38">
        <v>18135000</v>
      </c>
      <c r="G2035" s="39" t="s">
        <v>4409</v>
      </c>
      <c r="H2035" s="12"/>
      <c r="L2035" s="12"/>
    </row>
    <row r="2036" spans="1:12" ht="15.75" customHeight="1" x14ac:dyDescent="0.3">
      <c r="A2036" s="17" t="s">
        <v>955</v>
      </c>
      <c r="B2036" s="50" t="str">
        <f>VLOOKUP(A2036,'Sales Order'!A$2:B$1029,1,0)</f>
        <v>SO0717</v>
      </c>
      <c r="C2036" s="29" t="s">
        <v>78</v>
      </c>
      <c r="D2036" s="50" t="str">
        <f>VLOOKUP(C2036,Product!A$2:B$21,1,0)</f>
        <v>PD0018</v>
      </c>
      <c r="E2036" s="36">
        <v>149</v>
      </c>
      <c r="F2036" s="38">
        <v>71341200</v>
      </c>
      <c r="G2036" s="39" t="s">
        <v>4410</v>
      </c>
      <c r="H2036" s="12"/>
      <c r="L2036" s="12"/>
    </row>
    <row r="2037" spans="1:12" ht="15.75" customHeight="1" x14ac:dyDescent="0.3">
      <c r="A2037" s="29" t="s">
        <v>955</v>
      </c>
      <c r="B2037" s="50" t="str">
        <f>VLOOKUP(A2037,'Sales Order'!A$2:B$1029,1,0)</f>
        <v>SO0717</v>
      </c>
      <c r="C2037" s="29" t="s">
        <v>48</v>
      </c>
      <c r="D2037" s="50" t="str">
        <f>VLOOKUP(C2037,Product!A$2:B$21,1,0)</f>
        <v>PD0009</v>
      </c>
      <c r="E2037" s="36">
        <v>93</v>
      </c>
      <c r="F2037" s="38">
        <v>8997750</v>
      </c>
      <c r="G2037" s="39" t="s">
        <v>4411</v>
      </c>
      <c r="H2037" s="12"/>
      <c r="L2037" s="12"/>
    </row>
    <row r="2038" spans="1:12" ht="15.75" customHeight="1" x14ac:dyDescent="0.3">
      <c r="A2038" s="17" t="s">
        <v>956</v>
      </c>
      <c r="B2038" s="50" t="str">
        <f>VLOOKUP(A2038,'Sales Order'!A$2:B$1029,1,0)</f>
        <v>SO0718</v>
      </c>
      <c r="C2038" s="29" t="s">
        <v>45</v>
      </c>
      <c r="D2038" s="50" t="str">
        <f>VLOOKUP(C2038,Product!A$2:B$21,1,0)</f>
        <v>PD0008</v>
      </c>
      <c r="E2038" s="36">
        <v>120</v>
      </c>
      <c r="F2038" s="38">
        <v>14125200</v>
      </c>
      <c r="G2038" s="39" t="s">
        <v>4412</v>
      </c>
      <c r="H2038" s="12"/>
      <c r="L2038" s="12"/>
    </row>
    <row r="2039" spans="1:12" ht="15.75" customHeight="1" x14ac:dyDescent="0.3">
      <c r="A2039" s="29" t="s">
        <v>956</v>
      </c>
      <c r="B2039" s="50" t="str">
        <f>VLOOKUP(A2039,'Sales Order'!A$2:B$1029,1,0)</f>
        <v>SO0718</v>
      </c>
      <c r="C2039" s="29" t="s">
        <v>33</v>
      </c>
      <c r="D2039" s="50" t="str">
        <f>VLOOKUP(C2039,Product!A$2:B$21,1,0)</f>
        <v>PD0004</v>
      </c>
      <c r="E2039" s="36">
        <v>39</v>
      </c>
      <c r="F2039" s="38">
        <v>7636200</v>
      </c>
      <c r="G2039" s="39" t="s">
        <v>4413</v>
      </c>
      <c r="H2039" s="12"/>
      <c r="L2039" s="12"/>
    </row>
    <row r="2040" spans="1:12" ht="15.75" customHeight="1" x14ac:dyDescent="0.3">
      <c r="A2040" s="17" t="s">
        <v>957</v>
      </c>
      <c r="B2040" s="50" t="str">
        <f>VLOOKUP(A2040,'Sales Order'!A$2:B$1029,1,0)</f>
        <v>SO0719</v>
      </c>
      <c r="C2040" s="29" t="s">
        <v>83</v>
      </c>
      <c r="D2040" s="50" t="str">
        <f>VLOOKUP(C2040,Product!A$2:B$21,1,0)</f>
        <v>PD0020</v>
      </c>
      <c r="E2040" s="36">
        <v>141</v>
      </c>
      <c r="F2040" s="38">
        <v>39377070</v>
      </c>
      <c r="G2040" s="39" t="s">
        <v>4414</v>
      </c>
      <c r="H2040" s="12"/>
      <c r="L2040" s="12"/>
    </row>
    <row r="2041" spans="1:12" ht="15.75" customHeight="1" x14ac:dyDescent="0.3">
      <c r="A2041" s="17" t="s">
        <v>958</v>
      </c>
      <c r="B2041" s="50" t="str">
        <f>VLOOKUP(A2041,'Sales Order'!A$2:B$1029,1,0)</f>
        <v>SO0720</v>
      </c>
      <c r="C2041" s="29" t="s">
        <v>75</v>
      </c>
      <c r="D2041" s="50" t="str">
        <f>VLOOKUP(C2041,Product!A$2:B$21,1,0)</f>
        <v>PD0017</v>
      </c>
      <c r="E2041" s="36">
        <v>52</v>
      </c>
      <c r="F2041" s="38">
        <v>110240000</v>
      </c>
      <c r="G2041" s="39" t="s">
        <v>4415</v>
      </c>
      <c r="H2041" s="12"/>
      <c r="L2041" s="12"/>
    </row>
    <row r="2042" spans="1:12" ht="15.75" customHeight="1" x14ac:dyDescent="0.3">
      <c r="A2042" s="29" t="s">
        <v>958</v>
      </c>
      <c r="B2042" s="50" t="str">
        <f>VLOOKUP(A2042,'Sales Order'!A$2:B$1029,1,0)</f>
        <v>SO0720</v>
      </c>
      <c r="C2042" s="29" t="s">
        <v>55</v>
      </c>
      <c r="D2042" s="50" t="str">
        <f>VLOOKUP(C2042,Product!A$2:B$21,1,0)</f>
        <v>PD0011</v>
      </c>
      <c r="E2042" s="36">
        <v>149</v>
      </c>
      <c r="F2042" s="38">
        <v>330401540</v>
      </c>
      <c r="G2042" s="39" t="s">
        <v>4416</v>
      </c>
      <c r="H2042" s="12"/>
      <c r="L2042" s="12"/>
    </row>
    <row r="2043" spans="1:12" ht="15.75" customHeight="1" x14ac:dyDescent="0.3">
      <c r="A2043" s="17" t="s">
        <v>959</v>
      </c>
      <c r="B2043" s="50" t="str">
        <f>VLOOKUP(A2043,'Sales Order'!A$2:B$1029,1,0)</f>
        <v>SO0721</v>
      </c>
      <c r="C2043" s="29" t="s">
        <v>52</v>
      </c>
      <c r="D2043" s="50" t="str">
        <f>VLOOKUP(C2043,Product!A$2:B$21,1,0)</f>
        <v>PD0010</v>
      </c>
      <c r="E2043" s="36">
        <v>86</v>
      </c>
      <c r="F2043" s="38">
        <v>22080500</v>
      </c>
      <c r="G2043" s="39" t="s">
        <v>4417</v>
      </c>
      <c r="H2043" s="12"/>
      <c r="L2043" s="12"/>
    </row>
    <row r="2044" spans="1:12" ht="15.75" customHeight="1" x14ac:dyDescent="0.3">
      <c r="A2044" s="29" t="s">
        <v>959</v>
      </c>
      <c r="B2044" s="50" t="str">
        <f>VLOOKUP(A2044,'Sales Order'!A$2:B$1029,1,0)</f>
        <v>SO0721</v>
      </c>
      <c r="C2044" s="29" t="s">
        <v>69</v>
      </c>
      <c r="D2044" s="50" t="str">
        <f>VLOOKUP(C2044,Product!A$2:B$21,1,0)</f>
        <v>PD0015</v>
      </c>
      <c r="E2044" s="36">
        <v>132</v>
      </c>
      <c r="F2044" s="38">
        <v>13992264</v>
      </c>
      <c r="G2044" s="39" t="s">
        <v>4418</v>
      </c>
      <c r="H2044" s="12"/>
      <c r="L2044" s="12"/>
    </row>
    <row r="2045" spans="1:12" ht="15.75" customHeight="1" x14ac:dyDescent="0.3">
      <c r="A2045" s="17" t="s">
        <v>960</v>
      </c>
      <c r="B2045" s="50" t="str">
        <f>VLOOKUP(A2045,'Sales Order'!A$2:B$1029,1,0)</f>
        <v>SO0722</v>
      </c>
      <c r="C2045" s="29" t="s">
        <v>52</v>
      </c>
      <c r="D2045" s="50" t="str">
        <f>VLOOKUP(C2045,Product!A$2:B$21,1,0)</f>
        <v>PD0010</v>
      </c>
      <c r="E2045" s="36">
        <v>36</v>
      </c>
      <c r="F2045" s="38">
        <v>9594000</v>
      </c>
      <c r="G2045" s="39" t="s">
        <v>4419</v>
      </c>
      <c r="H2045" s="12"/>
      <c r="L2045" s="12"/>
    </row>
    <row r="2046" spans="1:12" ht="15.75" customHeight="1" x14ac:dyDescent="0.3">
      <c r="A2046" s="29" t="s">
        <v>960</v>
      </c>
      <c r="B2046" s="50" t="str">
        <f>VLOOKUP(A2046,'Sales Order'!A$2:B$1029,1,0)</f>
        <v>SO0722</v>
      </c>
      <c r="C2046" s="29" t="s">
        <v>81</v>
      </c>
      <c r="D2046" s="50" t="str">
        <f>VLOOKUP(C2046,Product!A$2:B$21,1,0)</f>
        <v>PD0019</v>
      </c>
      <c r="E2046" s="36">
        <v>129</v>
      </c>
      <c r="F2046" s="38">
        <v>299227110</v>
      </c>
      <c r="G2046" s="39" t="s">
        <v>4420</v>
      </c>
      <c r="H2046" s="12"/>
      <c r="L2046" s="12"/>
    </row>
    <row r="2047" spans="1:12" ht="15.75" customHeight="1" x14ac:dyDescent="0.3">
      <c r="A2047" s="29" t="s">
        <v>960</v>
      </c>
      <c r="B2047" s="50" t="str">
        <f>VLOOKUP(A2047,'Sales Order'!A$2:B$1029,1,0)</f>
        <v>SO0722</v>
      </c>
      <c r="C2047" s="29" t="s">
        <v>45</v>
      </c>
      <c r="D2047" s="50" t="str">
        <f>VLOOKUP(C2047,Product!A$2:B$21,1,0)</f>
        <v>PD0008</v>
      </c>
      <c r="E2047" s="36">
        <v>26</v>
      </c>
      <c r="F2047" s="38">
        <v>3215420</v>
      </c>
      <c r="G2047" s="39" t="s">
        <v>4421</v>
      </c>
      <c r="H2047" s="12"/>
      <c r="L2047" s="12"/>
    </row>
    <row r="2048" spans="1:12" ht="15.75" customHeight="1" x14ac:dyDescent="0.3">
      <c r="A2048" s="29" t="s">
        <v>960</v>
      </c>
      <c r="B2048" s="50" t="str">
        <f>VLOOKUP(A2048,'Sales Order'!A$2:B$1029,1,0)</f>
        <v>SO0722</v>
      </c>
      <c r="C2048" s="29" t="s">
        <v>28</v>
      </c>
      <c r="D2048" s="50" t="str">
        <f>VLOOKUP(C2048,Product!A$2:B$21,1,0)</f>
        <v>PD0003</v>
      </c>
      <c r="E2048" s="36">
        <v>98</v>
      </c>
      <c r="F2048" s="38">
        <v>75727540</v>
      </c>
      <c r="G2048" s="39" t="s">
        <v>4422</v>
      </c>
      <c r="H2048" s="12"/>
      <c r="L2048" s="12"/>
    </row>
    <row r="2049" spans="1:12" ht="15.75" customHeight="1" x14ac:dyDescent="0.3">
      <c r="A2049" s="17" t="s">
        <v>961</v>
      </c>
      <c r="B2049" s="50" t="str">
        <f>VLOOKUP(A2049,'Sales Order'!A$2:B$1029,1,0)</f>
        <v>SO0723</v>
      </c>
      <c r="C2049" s="29" t="s">
        <v>81</v>
      </c>
      <c r="D2049" s="50" t="str">
        <f>VLOOKUP(C2049,Product!A$2:B$21,1,0)</f>
        <v>PD0019</v>
      </c>
      <c r="E2049" s="36">
        <v>45</v>
      </c>
      <c r="F2049" s="38">
        <v>88322850</v>
      </c>
      <c r="G2049" s="39" t="s">
        <v>4423</v>
      </c>
      <c r="H2049" s="12"/>
      <c r="L2049" s="12"/>
    </row>
    <row r="2050" spans="1:12" ht="15.75" customHeight="1" x14ac:dyDescent="0.3">
      <c r="A2050" s="29" t="s">
        <v>961</v>
      </c>
      <c r="B2050" s="50" t="str">
        <f>VLOOKUP(A2050,'Sales Order'!A$2:B$1029,1,0)</f>
        <v>SO0723</v>
      </c>
      <c r="C2050" s="29" t="s">
        <v>28</v>
      </c>
      <c r="D2050" s="50" t="str">
        <f>VLOOKUP(C2050,Product!A$2:B$21,1,0)</f>
        <v>PD0003</v>
      </c>
      <c r="E2050" s="36">
        <v>64</v>
      </c>
      <c r="F2050" s="38">
        <v>54817280</v>
      </c>
      <c r="G2050" s="39" t="s">
        <v>4424</v>
      </c>
      <c r="H2050" s="12"/>
      <c r="L2050" s="12"/>
    </row>
    <row r="2051" spans="1:12" ht="15.75" customHeight="1" x14ac:dyDescent="0.3">
      <c r="A2051" s="17" t="s">
        <v>962</v>
      </c>
      <c r="B2051" s="50" t="str">
        <f>VLOOKUP(A2051,'Sales Order'!A$2:B$1029,1,0)</f>
        <v>SO0724</v>
      </c>
      <c r="C2051" s="29" t="s">
        <v>83</v>
      </c>
      <c r="D2051" s="50" t="str">
        <f>VLOOKUP(C2051,Product!A$2:B$21,1,0)</f>
        <v>PD0020</v>
      </c>
      <c r="E2051" s="36">
        <v>105</v>
      </c>
      <c r="F2051" s="38">
        <v>29323350</v>
      </c>
      <c r="G2051" s="39" t="s">
        <v>4425</v>
      </c>
      <c r="H2051" s="12"/>
      <c r="L2051" s="12"/>
    </row>
    <row r="2052" spans="1:12" ht="15.75" customHeight="1" x14ac:dyDescent="0.3">
      <c r="A2052" s="17" t="s">
        <v>963</v>
      </c>
      <c r="B2052" s="50" t="str">
        <f>VLOOKUP(A2052,'Sales Order'!A$2:B$1029,1,0)</f>
        <v>SO0725</v>
      </c>
      <c r="C2052" s="29" t="s">
        <v>81</v>
      </c>
      <c r="D2052" s="50" t="str">
        <f>VLOOKUP(C2052,Product!A$2:B$21,1,0)</f>
        <v>PD0019</v>
      </c>
      <c r="E2052" s="36">
        <v>97</v>
      </c>
      <c r="F2052" s="38">
        <v>197802400</v>
      </c>
      <c r="G2052" s="39" t="s">
        <v>4426</v>
      </c>
      <c r="H2052" s="12"/>
      <c r="L2052" s="12"/>
    </row>
    <row r="2053" spans="1:12" ht="15.75" customHeight="1" x14ac:dyDescent="0.3">
      <c r="A2053" s="29" t="s">
        <v>963</v>
      </c>
      <c r="B2053" s="50" t="str">
        <f>VLOOKUP(A2053,'Sales Order'!A$2:B$1029,1,0)</f>
        <v>SO0725</v>
      </c>
      <c r="C2053" s="29" t="s">
        <v>28</v>
      </c>
      <c r="D2053" s="50" t="str">
        <f>VLOOKUP(C2053,Product!A$2:B$21,1,0)</f>
        <v>PD0003</v>
      </c>
      <c r="E2053" s="36">
        <v>50</v>
      </c>
      <c r="F2053" s="38">
        <v>41895000</v>
      </c>
      <c r="G2053" s="39" t="s">
        <v>4427</v>
      </c>
      <c r="H2053" s="12"/>
      <c r="L2053" s="12"/>
    </row>
    <row r="2054" spans="1:12" ht="15.75" customHeight="1" x14ac:dyDescent="0.3">
      <c r="A2054" s="29" t="s">
        <v>963</v>
      </c>
      <c r="B2054" s="50" t="str">
        <f>VLOOKUP(A2054,'Sales Order'!A$2:B$1029,1,0)</f>
        <v>SO0725</v>
      </c>
      <c r="C2054" s="29" t="s">
        <v>48</v>
      </c>
      <c r="D2054" s="50" t="str">
        <f>VLOOKUP(C2054,Product!A$2:B$21,1,0)</f>
        <v>PD0009</v>
      </c>
      <c r="E2054" s="36">
        <v>94</v>
      </c>
      <c r="F2054" s="38">
        <v>10428360</v>
      </c>
      <c r="G2054" s="39" t="s">
        <v>4428</v>
      </c>
      <c r="H2054" s="12"/>
      <c r="L2054" s="12"/>
    </row>
    <row r="2055" spans="1:12" ht="15.75" customHeight="1" x14ac:dyDescent="0.3">
      <c r="A2055" s="29" t="s">
        <v>963</v>
      </c>
      <c r="B2055" s="50" t="str">
        <f>VLOOKUP(A2055,'Sales Order'!A$2:B$1029,1,0)</f>
        <v>SO0725</v>
      </c>
      <c r="C2055" s="29" t="s">
        <v>65</v>
      </c>
      <c r="D2055" s="50" t="str">
        <f>VLOOKUP(C2055,Product!A$2:B$21,1,0)</f>
        <v>PD0014</v>
      </c>
      <c r="E2055" s="36">
        <v>48</v>
      </c>
      <c r="F2055" s="38">
        <v>12175200</v>
      </c>
      <c r="G2055" s="39" t="s">
        <v>4429</v>
      </c>
      <c r="H2055" s="12"/>
      <c r="L2055" s="12"/>
    </row>
    <row r="2056" spans="1:12" ht="15.75" customHeight="1" x14ac:dyDescent="0.3">
      <c r="A2056" s="29" t="s">
        <v>964</v>
      </c>
      <c r="B2056" s="50" t="str">
        <f>VLOOKUP(A2056,'Sales Order'!A$2:B$1029,1,0)</f>
        <v>SO0726</v>
      </c>
      <c r="C2056" s="29" t="s">
        <v>35</v>
      </c>
      <c r="D2056" s="50" t="str">
        <f>VLOOKUP(C2056,Product!A$2:B$21,1,0)</f>
        <v>PD0005</v>
      </c>
      <c r="E2056" s="36">
        <v>91</v>
      </c>
      <c r="F2056" s="38">
        <v>181767950</v>
      </c>
      <c r="G2056" s="39" t="s">
        <v>4430</v>
      </c>
      <c r="H2056" s="12"/>
      <c r="L2056" s="12"/>
    </row>
    <row r="2057" spans="1:12" ht="15.75" customHeight="1" x14ac:dyDescent="0.3">
      <c r="A2057" s="17" t="s">
        <v>966</v>
      </c>
      <c r="B2057" s="50" t="str">
        <f>VLOOKUP(A2057,'Sales Order'!A$2:B$1029,1,0)</f>
        <v>SO0728</v>
      </c>
      <c r="C2057" s="29" t="s">
        <v>75</v>
      </c>
      <c r="D2057" s="50" t="str">
        <f>VLOOKUP(C2057,Product!A$2:B$21,1,0)</f>
        <v>PD0017</v>
      </c>
      <c r="E2057" s="36">
        <v>33</v>
      </c>
      <c r="F2057" s="38">
        <v>73458000</v>
      </c>
      <c r="G2057" s="39" t="s">
        <v>4431</v>
      </c>
      <c r="H2057" s="12"/>
      <c r="L2057" s="12"/>
    </row>
    <row r="2058" spans="1:12" ht="15.75" customHeight="1" x14ac:dyDescent="0.3">
      <c r="A2058" s="17" t="s">
        <v>967</v>
      </c>
      <c r="B2058" s="50" t="str">
        <f>VLOOKUP(A2058,'Sales Order'!A$2:B$1029,1,0)</f>
        <v>SO0729</v>
      </c>
      <c r="C2058" s="29" t="s">
        <v>65</v>
      </c>
      <c r="D2058" s="50" t="str">
        <f>VLOOKUP(C2058,Product!A$2:B$21,1,0)</f>
        <v>PD0014</v>
      </c>
      <c r="E2058" s="36">
        <v>119</v>
      </c>
      <c r="F2058" s="38">
        <v>25100670</v>
      </c>
      <c r="G2058" s="39" t="s">
        <v>4432</v>
      </c>
      <c r="H2058" s="12"/>
      <c r="L2058" s="12"/>
    </row>
    <row r="2059" spans="1:12" ht="15.75" customHeight="1" x14ac:dyDescent="0.3">
      <c r="A2059" s="29" t="s">
        <v>967</v>
      </c>
      <c r="B2059" s="50" t="str">
        <f>VLOOKUP(A2059,'Sales Order'!A$2:B$1029,1,0)</f>
        <v>SO0729</v>
      </c>
      <c r="C2059" s="29" t="s">
        <v>55</v>
      </c>
      <c r="D2059" s="50" t="str">
        <f>VLOOKUP(C2059,Product!A$2:B$21,1,0)</f>
        <v>PD0011</v>
      </c>
      <c r="E2059" s="36">
        <v>63</v>
      </c>
      <c r="F2059" s="38">
        <v>120379770.00000001</v>
      </c>
      <c r="G2059" s="39" t="s">
        <v>4433</v>
      </c>
      <c r="H2059" s="12"/>
      <c r="L2059" s="12"/>
    </row>
    <row r="2060" spans="1:12" ht="15.75" customHeight="1" x14ac:dyDescent="0.3">
      <c r="A2060" s="17" t="s">
        <v>968</v>
      </c>
      <c r="B2060" s="50" t="str">
        <f>VLOOKUP(A2060,'Sales Order'!A$2:B$1029,1,0)</f>
        <v>SO0730</v>
      </c>
      <c r="C2060" s="29" t="s">
        <v>61</v>
      </c>
      <c r="D2060" s="50" t="str">
        <f>VLOOKUP(C2060,Product!A$2:B$21,1,0)</f>
        <v>PD0013</v>
      </c>
      <c r="E2060" s="36">
        <v>33</v>
      </c>
      <c r="F2060" s="38">
        <v>13119810</v>
      </c>
      <c r="G2060" s="39" t="s">
        <v>4434</v>
      </c>
      <c r="H2060" s="12"/>
      <c r="L2060" s="12"/>
    </row>
    <row r="2061" spans="1:12" ht="15.75" customHeight="1" x14ac:dyDescent="0.3">
      <c r="A2061" s="29" t="s">
        <v>968</v>
      </c>
      <c r="B2061" s="50" t="str">
        <f>VLOOKUP(A2061,'Sales Order'!A$2:B$1029,1,0)</f>
        <v>SO0730</v>
      </c>
      <c r="C2061" s="29" t="s">
        <v>75</v>
      </c>
      <c r="D2061" s="50" t="str">
        <f>VLOOKUP(C2061,Product!A$2:B$21,1,0)</f>
        <v>PD0017</v>
      </c>
      <c r="E2061" s="36">
        <v>39</v>
      </c>
      <c r="F2061" s="38">
        <v>85780500</v>
      </c>
      <c r="G2061" s="39" t="s">
        <v>4435</v>
      </c>
      <c r="H2061" s="12"/>
      <c r="L2061" s="12"/>
    </row>
    <row r="2062" spans="1:12" ht="15.75" customHeight="1" x14ac:dyDescent="0.3">
      <c r="A2062" s="17" t="s">
        <v>969</v>
      </c>
      <c r="B2062" s="50" t="str">
        <f>VLOOKUP(A2062,'Sales Order'!A$2:B$1029,1,0)</f>
        <v>SO0731</v>
      </c>
      <c r="C2062" s="29" t="s">
        <v>55</v>
      </c>
      <c r="D2062" s="50" t="str">
        <f>VLOOKUP(C2062,Product!A$2:B$21,1,0)</f>
        <v>PD0011</v>
      </c>
      <c r="E2062" s="36">
        <v>75</v>
      </c>
      <c r="F2062" s="38">
        <v>159232500</v>
      </c>
      <c r="G2062" s="39" t="s">
        <v>4436</v>
      </c>
      <c r="H2062" s="12"/>
      <c r="L2062" s="12"/>
    </row>
    <row r="2063" spans="1:12" ht="15.75" customHeight="1" x14ac:dyDescent="0.3">
      <c r="A2063" s="29" t="s">
        <v>969</v>
      </c>
      <c r="B2063" s="50" t="str">
        <f>VLOOKUP(A2063,'Sales Order'!A$2:B$1029,1,0)</f>
        <v>SO0731</v>
      </c>
      <c r="C2063" s="29" t="s">
        <v>52</v>
      </c>
      <c r="D2063" s="50" t="str">
        <f>VLOOKUP(C2063,Product!A$2:B$21,1,0)</f>
        <v>PD0010</v>
      </c>
      <c r="E2063" s="36">
        <v>113</v>
      </c>
      <c r="F2063" s="38">
        <v>31583500</v>
      </c>
      <c r="G2063" s="39" t="s">
        <v>4437</v>
      </c>
      <c r="H2063" s="12"/>
      <c r="L2063" s="12"/>
    </row>
    <row r="2064" spans="1:12" ht="15.75" customHeight="1" x14ac:dyDescent="0.3">
      <c r="A2064" s="17" t="s">
        <v>970</v>
      </c>
      <c r="B2064" s="50" t="str">
        <f>VLOOKUP(A2064,'Sales Order'!A$2:B$1029,1,0)</f>
        <v>SO0732</v>
      </c>
      <c r="C2064" s="29" t="s">
        <v>75</v>
      </c>
      <c r="D2064" s="50" t="str">
        <f>VLOOKUP(C2064,Product!A$2:B$21,1,0)</f>
        <v>PD0017</v>
      </c>
      <c r="E2064" s="36">
        <v>75</v>
      </c>
      <c r="F2064" s="38">
        <v>182850000</v>
      </c>
      <c r="G2064" s="39" t="s">
        <v>4438</v>
      </c>
      <c r="H2064" s="12"/>
      <c r="L2064" s="12"/>
    </row>
    <row r="2065" spans="1:12" ht="15.75" customHeight="1" x14ac:dyDescent="0.3">
      <c r="A2065" s="17" t="s">
        <v>971</v>
      </c>
      <c r="B2065" s="50" t="str">
        <f>VLOOKUP(A2065,'Sales Order'!A$2:B$1029,1,0)</f>
        <v>SO0733</v>
      </c>
      <c r="C2065" s="29" t="s">
        <v>58</v>
      </c>
      <c r="D2065" s="50" t="str">
        <f>VLOOKUP(C2065,Product!A$2:B$21,1,0)</f>
        <v>PD0012</v>
      </c>
      <c r="E2065" s="36">
        <v>64</v>
      </c>
      <c r="F2065" s="38">
        <v>281498880</v>
      </c>
      <c r="G2065" s="39" t="s">
        <v>4439</v>
      </c>
      <c r="H2065" s="12"/>
      <c r="L2065" s="12"/>
    </row>
    <row r="2066" spans="1:12" ht="15.75" customHeight="1" x14ac:dyDescent="0.3">
      <c r="A2066" s="29" t="s">
        <v>971</v>
      </c>
      <c r="B2066" s="50" t="str">
        <f>VLOOKUP(A2066,'Sales Order'!A$2:B$1029,1,0)</f>
        <v>SO0733</v>
      </c>
      <c r="C2066" s="29" t="s">
        <v>61</v>
      </c>
      <c r="D2066" s="50" t="str">
        <f>VLOOKUP(C2066,Product!A$2:B$21,1,0)</f>
        <v>PD0013</v>
      </c>
      <c r="E2066" s="36">
        <v>35</v>
      </c>
      <c r="F2066" s="38">
        <v>14920850</v>
      </c>
      <c r="G2066" s="39" t="s">
        <v>4440</v>
      </c>
      <c r="H2066" s="12"/>
      <c r="L2066" s="12"/>
    </row>
    <row r="2067" spans="1:12" ht="15.75" customHeight="1" x14ac:dyDescent="0.3">
      <c r="A2067" s="29" t="s">
        <v>971</v>
      </c>
      <c r="B2067" s="50" t="str">
        <f>VLOOKUP(A2067,'Sales Order'!A$2:B$1029,1,0)</f>
        <v>SO0733</v>
      </c>
      <c r="C2067" s="29" t="s">
        <v>43</v>
      </c>
      <c r="D2067" s="50" t="str">
        <f>VLOOKUP(C2067,Product!A$2:B$21,1,0)</f>
        <v>PD0007</v>
      </c>
      <c r="E2067" s="36">
        <v>93</v>
      </c>
      <c r="F2067" s="38">
        <v>264864000</v>
      </c>
      <c r="G2067" s="39" t="s">
        <v>4441</v>
      </c>
      <c r="H2067" s="12"/>
      <c r="L2067" s="12"/>
    </row>
    <row r="2068" spans="1:12" ht="15.75" customHeight="1" x14ac:dyDescent="0.3">
      <c r="A2068" s="29" t="s">
        <v>971</v>
      </c>
      <c r="B2068" s="50" t="str">
        <f>VLOOKUP(A2068,'Sales Order'!A$2:B$1029,1,0)</f>
        <v>SO0733</v>
      </c>
      <c r="C2068" s="29" t="s">
        <v>25</v>
      </c>
      <c r="D2068" s="50" t="str">
        <f>VLOOKUP(C2068,Product!A$2:B$21,1,0)</f>
        <v>PD0002</v>
      </c>
      <c r="E2068" s="36">
        <v>63</v>
      </c>
      <c r="F2068" s="38">
        <v>1008000</v>
      </c>
      <c r="G2068" s="39" t="s">
        <v>4442</v>
      </c>
      <c r="H2068" s="12"/>
      <c r="L2068" s="12"/>
    </row>
    <row r="2069" spans="1:12" ht="15.75" customHeight="1" x14ac:dyDescent="0.3">
      <c r="A2069" s="29" t="s">
        <v>971</v>
      </c>
      <c r="B2069" s="50" t="str">
        <f>VLOOKUP(A2069,'Sales Order'!A$2:B$1029,1,0)</f>
        <v>SO0733</v>
      </c>
      <c r="C2069" s="29" t="s">
        <v>55</v>
      </c>
      <c r="D2069" s="50" t="str">
        <f>VLOOKUP(C2069,Product!A$2:B$21,1,0)</f>
        <v>PD0011</v>
      </c>
      <c r="E2069" s="36">
        <v>37</v>
      </c>
      <c r="F2069" s="38">
        <v>73317720</v>
      </c>
      <c r="G2069" s="39" t="s">
        <v>4443</v>
      </c>
      <c r="H2069" s="12"/>
      <c r="L2069" s="12"/>
    </row>
    <row r="2070" spans="1:12" ht="15.75" customHeight="1" x14ac:dyDescent="0.3">
      <c r="A2070" s="17" t="s">
        <v>972</v>
      </c>
      <c r="B2070" s="50" t="str">
        <f>VLOOKUP(A2070,'Sales Order'!A$2:B$1029,1,0)</f>
        <v>SO0734</v>
      </c>
      <c r="C2070" s="29" t="s">
        <v>28</v>
      </c>
      <c r="D2070" s="50" t="str">
        <f>VLOOKUP(C2070,Product!A$2:B$21,1,0)</f>
        <v>PD0003</v>
      </c>
      <c r="E2070" s="36">
        <v>30</v>
      </c>
      <c r="F2070" s="38">
        <v>24578400</v>
      </c>
      <c r="G2070" s="39" t="s">
        <v>4444</v>
      </c>
      <c r="H2070" s="12"/>
      <c r="L2070" s="12"/>
    </row>
    <row r="2071" spans="1:12" ht="15.75" customHeight="1" x14ac:dyDescent="0.3">
      <c r="A2071" s="29" t="s">
        <v>972</v>
      </c>
      <c r="B2071" s="50" t="str">
        <f>VLOOKUP(A2071,'Sales Order'!A$2:B$1029,1,0)</f>
        <v>SO0734</v>
      </c>
      <c r="C2071" s="29" t="s">
        <v>65</v>
      </c>
      <c r="D2071" s="50" t="str">
        <f>VLOOKUP(C2071,Product!A$2:B$21,1,0)</f>
        <v>PD0014</v>
      </c>
      <c r="E2071" s="36">
        <v>25</v>
      </c>
      <c r="F2071" s="38">
        <v>6074250</v>
      </c>
      <c r="G2071" s="39" t="s">
        <v>4445</v>
      </c>
      <c r="H2071" s="12"/>
      <c r="L2071" s="12"/>
    </row>
    <row r="2072" spans="1:12" ht="15.75" customHeight="1" x14ac:dyDescent="0.3">
      <c r="A2072" s="29" t="s">
        <v>972</v>
      </c>
      <c r="B2072" s="50" t="str">
        <f>VLOOKUP(A2072,'Sales Order'!A$2:B$1029,1,0)</f>
        <v>SO0734</v>
      </c>
      <c r="C2072" s="29" t="s">
        <v>40</v>
      </c>
      <c r="D2072" s="50" t="str">
        <f>VLOOKUP(C2072,Product!A$2:B$21,1,0)</f>
        <v>PD0006</v>
      </c>
      <c r="E2072" s="36">
        <v>91</v>
      </c>
      <c r="F2072" s="38">
        <v>15595580.000000002</v>
      </c>
      <c r="G2072" s="39" t="s">
        <v>4446</v>
      </c>
      <c r="H2072" s="12"/>
      <c r="L2072" s="12"/>
    </row>
    <row r="2073" spans="1:12" ht="15.75" customHeight="1" x14ac:dyDescent="0.3">
      <c r="A2073" s="29" t="s">
        <v>972</v>
      </c>
      <c r="B2073" s="50" t="str">
        <f>VLOOKUP(A2073,'Sales Order'!A$2:B$1029,1,0)</f>
        <v>SO0734</v>
      </c>
      <c r="C2073" s="29" t="s">
        <v>43</v>
      </c>
      <c r="D2073" s="50" t="str">
        <f>VLOOKUP(C2073,Product!A$2:B$21,1,0)</f>
        <v>PD0007</v>
      </c>
      <c r="E2073" s="36">
        <v>145</v>
      </c>
      <c r="F2073" s="38">
        <v>385120000</v>
      </c>
      <c r="G2073" s="39" t="s">
        <v>4447</v>
      </c>
      <c r="H2073" s="12"/>
      <c r="L2073" s="12"/>
    </row>
    <row r="2074" spans="1:12" ht="15.75" customHeight="1" x14ac:dyDescent="0.3">
      <c r="A2074" s="17" t="s">
        <v>973</v>
      </c>
      <c r="B2074" s="50" t="str">
        <f>VLOOKUP(A2074,'Sales Order'!A$2:B$1029,1,0)</f>
        <v>SO0735</v>
      </c>
      <c r="C2074" s="29" t="s">
        <v>43</v>
      </c>
      <c r="D2074" s="50" t="str">
        <f>VLOOKUP(C2074,Product!A$2:B$21,1,0)</f>
        <v>PD0007</v>
      </c>
      <c r="E2074" s="36">
        <v>41</v>
      </c>
      <c r="F2074" s="38">
        <v>107584000.00000001</v>
      </c>
      <c r="G2074" s="39" t="s">
        <v>4448</v>
      </c>
      <c r="H2074" s="12"/>
      <c r="L2074" s="12"/>
    </row>
    <row r="2075" spans="1:12" ht="15.75" customHeight="1" x14ac:dyDescent="0.3">
      <c r="A2075" s="29" t="s">
        <v>973</v>
      </c>
      <c r="B2075" s="50" t="str">
        <f>VLOOKUP(A2075,'Sales Order'!A$2:B$1029,1,0)</f>
        <v>SO0735</v>
      </c>
      <c r="C2075" s="29" t="s">
        <v>69</v>
      </c>
      <c r="D2075" s="50" t="str">
        <f>VLOOKUP(C2075,Product!A$2:B$21,1,0)</f>
        <v>PD0015</v>
      </c>
      <c r="E2075" s="36">
        <v>25</v>
      </c>
      <c r="F2075" s="38">
        <v>2819925</v>
      </c>
      <c r="G2075" s="39" t="s">
        <v>4449</v>
      </c>
      <c r="H2075" s="12"/>
      <c r="L2075" s="12"/>
    </row>
    <row r="2076" spans="1:12" ht="15.75" customHeight="1" x14ac:dyDescent="0.3">
      <c r="A2076" s="17" t="s">
        <v>974</v>
      </c>
      <c r="B2076" s="50" t="str">
        <f>VLOOKUP(A2076,'Sales Order'!A$2:B$1029,1,0)</f>
        <v>SO0736</v>
      </c>
      <c r="C2076" s="29" t="s">
        <v>45</v>
      </c>
      <c r="D2076" s="50" t="str">
        <f>VLOOKUP(C2076,Product!A$2:B$21,1,0)</f>
        <v>PD0008</v>
      </c>
      <c r="E2076" s="36">
        <v>60</v>
      </c>
      <c r="F2076" s="38">
        <v>8314199.9999999991</v>
      </c>
      <c r="G2076" s="39" t="s">
        <v>4450</v>
      </c>
      <c r="H2076" s="12"/>
      <c r="L2076" s="12"/>
    </row>
    <row r="2077" spans="1:12" ht="15.75" customHeight="1" x14ac:dyDescent="0.3">
      <c r="A2077" s="29" t="s">
        <v>974</v>
      </c>
      <c r="B2077" s="50" t="str">
        <f>VLOOKUP(A2077,'Sales Order'!A$2:B$1029,1,0)</f>
        <v>SO0736</v>
      </c>
      <c r="C2077" s="29" t="s">
        <v>25</v>
      </c>
      <c r="D2077" s="50" t="str">
        <f>VLOOKUP(C2077,Product!A$2:B$21,1,0)</f>
        <v>PD0002</v>
      </c>
      <c r="E2077" s="36">
        <v>105</v>
      </c>
      <c r="F2077" s="38">
        <v>1596000</v>
      </c>
      <c r="G2077" s="39" t="s">
        <v>4451</v>
      </c>
      <c r="H2077" s="12"/>
      <c r="L2077" s="12"/>
    </row>
    <row r="2078" spans="1:12" ht="15.75" customHeight="1" x14ac:dyDescent="0.3">
      <c r="A2078" s="29" t="s">
        <v>974</v>
      </c>
      <c r="B2078" s="50" t="str">
        <f>VLOOKUP(A2078,'Sales Order'!A$2:B$1029,1,0)</f>
        <v>SO0736</v>
      </c>
      <c r="C2078" s="29" t="s">
        <v>48</v>
      </c>
      <c r="D2078" s="50" t="str">
        <f>VLOOKUP(C2078,Product!A$2:B$21,1,0)</f>
        <v>PD0009</v>
      </c>
      <c r="E2078" s="36">
        <v>28</v>
      </c>
      <c r="F2078" s="38">
        <v>2961840</v>
      </c>
      <c r="G2078" s="39" t="s">
        <v>4452</v>
      </c>
      <c r="H2078" s="12"/>
      <c r="L2078" s="12"/>
    </row>
    <row r="2079" spans="1:12" ht="15.75" customHeight="1" x14ac:dyDescent="0.3">
      <c r="A2079" s="29" t="s">
        <v>974</v>
      </c>
      <c r="B2079" s="50" t="str">
        <f>VLOOKUP(A2079,'Sales Order'!A$2:B$1029,1,0)</f>
        <v>SO0736</v>
      </c>
      <c r="C2079" s="29" t="s">
        <v>69</v>
      </c>
      <c r="D2079" s="50" t="str">
        <f>VLOOKUP(C2079,Product!A$2:B$21,1,0)</f>
        <v>PD0015</v>
      </c>
      <c r="E2079" s="36">
        <v>120</v>
      </c>
      <c r="F2079" s="38">
        <v>12231000</v>
      </c>
      <c r="G2079" s="39" t="s">
        <v>4453</v>
      </c>
      <c r="H2079" s="12"/>
      <c r="L2079" s="12"/>
    </row>
    <row r="2080" spans="1:12" ht="15.75" customHeight="1" x14ac:dyDescent="0.3">
      <c r="A2080" s="17" t="s">
        <v>975</v>
      </c>
      <c r="B2080" s="50" t="str">
        <f>VLOOKUP(A2080,'Sales Order'!A$2:B$1029,1,0)</f>
        <v>SO0737</v>
      </c>
      <c r="C2080" s="29" t="s">
        <v>40</v>
      </c>
      <c r="D2080" s="50" t="str">
        <f>VLOOKUP(C2080,Product!A$2:B$21,1,0)</f>
        <v>PD0006</v>
      </c>
      <c r="E2080" s="36">
        <v>80</v>
      </c>
      <c r="F2080" s="38">
        <v>13041600</v>
      </c>
      <c r="G2080" s="39" t="s">
        <v>4454</v>
      </c>
      <c r="H2080" s="12"/>
      <c r="L2080" s="12"/>
    </row>
    <row r="2081" spans="1:12" ht="15.75" customHeight="1" x14ac:dyDescent="0.3">
      <c r="A2081" s="29" t="s">
        <v>975</v>
      </c>
      <c r="B2081" s="50" t="str">
        <f>VLOOKUP(A2081,'Sales Order'!A$2:B$1029,1,0)</f>
        <v>SO0737</v>
      </c>
      <c r="C2081" s="29" t="s">
        <v>65</v>
      </c>
      <c r="D2081" s="50" t="str">
        <f>VLOOKUP(C2081,Product!A$2:B$21,1,0)</f>
        <v>PD0014</v>
      </c>
      <c r="E2081" s="36">
        <v>98</v>
      </c>
      <c r="F2081" s="38">
        <v>23549400</v>
      </c>
      <c r="G2081" s="39" t="s">
        <v>4455</v>
      </c>
      <c r="H2081" s="12"/>
      <c r="L2081" s="12"/>
    </row>
    <row r="2082" spans="1:12" ht="15.75" customHeight="1" x14ac:dyDescent="0.3">
      <c r="A2082" s="29" t="s">
        <v>975</v>
      </c>
      <c r="B2082" s="50" t="str">
        <f>VLOOKUP(A2082,'Sales Order'!A$2:B$1029,1,0)</f>
        <v>SO0737</v>
      </c>
      <c r="C2082" s="29" t="s">
        <v>43</v>
      </c>
      <c r="D2082" s="50" t="str">
        <f>VLOOKUP(C2082,Product!A$2:B$21,1,0)</f>
        <v>PD0007</v>
      </c>
      <c r="E2082" s="36">
        <v>81</v>
      </c>
      <c r="F2082" s="38">
        <v>220320000</v>
      </c>
      <c r="G2082" s="39" t="s">
        <v>4456</v>
      </c>
      <c r="H2082" s="12"/>
      <c r="L2082" s="12"/>
    </row>
    <row r="2083" spans="1:12" ht="15.75" customHeight="1" x14ac:dyDescent="0.3">
      <c r="A2083" s="29" t="s">
        <v>975</v>
      </c>
      <c r="B2083" s="50" t="str">
        <f>VLOOKUP(A2083,'Sales Order'!A$2:B$1029,1,0)</f>
        <v>SO0737</v>
      </c>
      <c r="C2083" s="29" t="s">
        <v>61</v>
      </c>
      <c r="D2083" s="50" t="str">
        <f>VLOOKUP(C2083,Product!A$2:B$21,1,0)</f>
        <v>PD0013</v>
      </c>
      <c r="E2083" s="36">
        <v>99</v>
      </c>
      <c r="F2083" s="38">
        <v>44575740</v>
      </c>
      <c r="G2083" s="39" t="s">
        <v>4457</v>
      </c>
      <c r="H2083" s="12"/>
      <c r="L2083" s="12"/>
    </row>
    <row r="2084" spans="1:12" ht="15.75" customHeight="1" x14ac:dyDescent="0.3">
      <c r="A2084" s="17" t="s">
        <v>976</v>
      </c>
      <c r="B2084" s="50" t="str">
        <f>VLOOKUP(A2084,'Sales Order'!A$2:B$1029,1,0)</f>
        <v>SO0738</v>
      </c>
      <c r="C2084" s="29" t="s">
        <v>75</v>
      </c>
      <c r="D2084" s="50" t="str">
        <f>VLOOKUP(C2084,Product!A$2:B$21,1,0)</f>
        <v>PD0017</v>
      </c>
      <c r="E2084" s="36">
        <v>133</v>
      </c>
      <c r="F2084" s="38">
        <v>274911000</v>
      </c>
      <c r="G2084" s="39" t="s">
        <v>4458</v>
      </c>
      <c r="H2084" s="12"/>
      <c r="L2084" s="12"/>
    </row>
    <row r="2085" spans="1:12" ht="15.75" customHeight="1" x14ac:dyDescent="0.3">
      <c r="A2085" s="29" t="s">
        <v>976</v>
      </c>
      <c r="B2085" s="50" t="str">
        <f>VLOOKUP(A2085,'Sales Order'!A$2:B$1029,1,0)</f>
        <v>SO0738</v>
      </c>
      <c r="C2085" s="29" t="s">
        <v>65</v>
      </c>
      <c r="D2085" s="50" t="str">
        <f>VLOOKUP(C2085,Product!A$2:B$21,1,0)</f>
        <v>PD0014</v>
      </c>
      <c r="E2085" s="36">
        <v>146</v>
      </c>
      <c r="F2085" s="38">
        <v>33134700</v>
      </c>
      <c r="G2085" s="39" t="s">
        <v>4459</v>
      </c>
      <c r="H2085" s="12"/>
      <c r="L2085" s="12"/>
    </row>
    <row r="2086" spans="1:12" ht="15.75" customHeight="1" x14ac:dyDescent="0.3">
      <c r="A2086" s="29" t="s">
        <v>976</v>
      </c>
      <c r="B2086" s="50" t="str">
        <f>VLOOKUP(A2086,'Sales Order'!A$2:B$1029,1,0)</f>
        <v>SO0738</v>
      </c>
      <c r="C2086" s="29" t="s">
        <v>69</v>
      </c>
      <c r="D2086" s="50" t="str">
        <f>VLOOKUP(C2086,Product!A$2:B$21,1,0)</f>
        <v>PD0015</v>
      </c>
      <c r="E2086" s="36">
        <v>136</v>
      </c>
      <c r="F2086" s="38">
        <v>17558280</v>
      </c>
      <c r="G2086" s="39" t="s">
        <v>4460</v>
      </c>
      <c r="H2086" s="12"/>
      <c r="L2086" s="12"/>
    </row>
    <row r="2087" spans="1:12" ht="15.75" customHeight="1" x14ac:dyDescent="0.3">
      <c r="A2087" s="29" t="s">
        <v>976</v>
      </c>
      <c r="B2087" s="50" t="str">
        <f>VLOOKUP(A2087,'Sales Order'!A$2:B$1029,1,0)</f>
        <v>SO0738</v>
      </c>
      <c r="C2087" s="29" t="s">
        <v>55</v>
      </c>
      <c r="D2087" s="50" t="str">
        <f>VLOOKUP(C2087,Product!A$2:B$21,1,0)</f>
        <v>PD0011</v>
      </c>
      <c r="E2087" s="36">
        <v>29</v>
      </c>
      <c r="F2087" s="38">
        <v>58833460</v>
      </c>
      <c r="G2087" s="39" t="s">
        <v>4461</v>
      </c>
      <c r="H2087" s="12"/>
      <c r="L2087" s="12"/>
    </row>
    <row r="2088" spans="1:12" ht="15.75" customHeight="1" x14ac:dyDescent="0.3">
      <c r="A2088" s="17" t="s">
        <v>977</v>
      </c>
      <c r="B2088" s="50" t="str">
        <f>VLOOKUP(A2088,'Sales Order'!A$2:B$1029,1,0)</f>
        <v>SO0739</v>
      </c>
      <c r="C2088" s="29" t="s">
        <v>61</v>
      </c>
      <c r="D2088" s="50" t="str">
        <f>VLOOKUP(C2088,Product!A$2:B$21,1,0)</f>
        <v>PD0013</v>
      </c>
      <c r="E2088" s="36">
        <v>124</v>
      </c>
      <c r="F2088" s="38">
        <v>50486600</v>
      </c>
      <c r="G2088" s="39" t="s">
        <v>4462</v>
      </c>
      <c r="H2088" s="12"/>
      <c r="L2088" s="12"/>
    </row>
    <row r="2089" spans="1:12" ht="15.75" customHeight="1" x14ac:dyDescent="0.3">
      <c r="A2089" s="29" t="s">
        <v>977</v>
      </c>
      <c r="B2089" s="50" t="str">
        <f>VLOOKUP(A2089,'Sales Order'!A$2:B$1029,1,0)</f>
        <v>SO0739</v>
      </c>
      <c r="C2089" s="29" t="s">
        <v>72</v>
      </c>
      <c r="D2089" s="50" t="str">
        <f>VLOOKUP(C2089,Product!A$2:B$21,1,0)</f>
        <v>PD0016</v>
      </c>
      <c r="E2089" s="36">
        <v>123</v>
      </c>
      <c r="F2089" s="38">
        <v>26601210</v>
      </c>
      <c r="G2089" s="39" t="s">
        <v>4463</v>
      </c>
      <c r="H2089" s="12"/>
      <c r="L2089" s="12"/>
    </row>
    <row r="2090" spans="1:12" ht="15.75" customHeight="1" x14ac:dyDescent="0.3">
      <c r="A2090" s="29" t="s">
        <v>977</v>
      </c>
      <c r="B2090" s="50" t="str">
        <f>VLOOKUP(A2090,'Sales Order'!A$2:B$1029,1,0)</f>
        <v>SO0739</v>
      </c>
      <c r="C2090" s="29" t="s">
        <v>45</v>
      </c>
      <c r="D2090" s="50" t="str">
        <f>VLOOKUP(C2090,Product!A$2:B$21,1,0)</f>
        <v>PD0008</v>
      </c>
      <c r="E2090" s="36">
        <v>119</v>
      </c>
      <c r="F2090" s="38">
        <v>14362110.000000002</v>
      </c>
      <c r="G2090" s="39" t="s">
        <v>4464</v>
      </c>
      <c r="H2090" s="12"/>
      <c r="L2090" s="12"/>
    </row>
    <row r="2091" spans="1:12" ht="15.75" customHeight="1" x14ac:dyDescent="0.3">
      <c r="A2091" s="29" t="s">
        <v>977</v>
      </c>
      <c r="B2091" s="50" t="str">
        <f>VLOOKUP(A2091,'Sales Order'!A$2:B$1029,1,0)</f>
        <v>SO0739</v>
      </c>
      <c r="C2091" s="29" t="s">
        <v>48</v>
      </c>
      <c r="D2091" s="50" t="str">
        <f>VLOOKUP(C2091,Product!A$2:B$21,1,0)</f>
        <v>PD0009</v>
      </c>
      <c r="E2091" s="36">
        <v>40</v>
      </c>
      <c r="F2091" s="38">
        <v>4489200</v>
      </c>
      <c r="G2091" s="39" t="s">
        <v>4465</v>
      </c>
      <c r="H2091" s="12"/>
      <c r="L2091" s="12"/>
    </row>
    <row r="2092" spans="1:12" ht="15.75" customHeight="1" x14ac:dyDescent="0.3">
      <c r="A2092" s="29" t="s">
        <v>978</v>
      </c>
      <c r="B2092" s="50" t="str">
        <f>VLOOKUP(A2092,'Sales Order'!A$2:B$1029,1,0)</f>
        <v>SO0740</v>
      </c>
      <c r="C2092" s="29" t="s">
        <v>65</v>
      </c>
      <c r="D2092" s="50" t="str">
        <f>VLOOKUP(C2092,Product!A$2:B$21,1,0)</f>
        <v>PD0014</v>
      </c>
      <c r="E2092" s="36">
        <v>102</v>
      </c>
      <c r="F2092" s="38">
        <v>20697840</v>
      </c>
      <c r="G2092" s="39" t="s">
        <v>4466</v>
      </c>
      <c r="H2092" s="12"/>
      <c r="L2092" s="12"/>
    </row>
    <row r="2093" spans="1:12" ht="15.75" customHeight="1" x14ac:dyDescent="0.3">
      <c r="A2093" s="29" t="s">
        <v>978</v>
      </c>
      <c r="B2093" s="50" t="str">
        <f>VLOOKUP(A2093,'Sales Order'!A$2:B$1029,1,0)</f>
        <v>SO0740</v>
      </c>
      <c r="C2093" s="29" t="s">
        <v>28</v>
      </c>
      <c r="D2093" s="50" t="str">
        <f>VLOOKUP(C2093,Product!A$2:B$21,1,0)</f>
        <v>PD0003</v>
      </c>
      <c r="E2093" s="36">
        <v>31</v>
      </c>
      <c r="F2093" s="38">
        <v>22222970</v>
      </c>
      <c r="G2093" s="39" t="s">
        <v>4467</v>
      </c>
      <c r="H2093" s="12"/>
      <c r="L2093" s="12"/>
    </row>
    <row r="2094" spans="1:12" ht="15.75" customHeight="1" x14ac:dyDescent="0.3">
      <c r="A2094" s="29" t="s">
        <v>978</v>
      </c>
      <c r="B2094" s="50" t="str">
        <f>VLOOKUP(A2094,'Sales Order'!A$2:B$1029,1,0)</f>
        <v>SO0740</v>
      </c>
      <c r="C2094" s="29" t="s">
        <v>48</v>
      </c>
      <c r="D2094" s="50" t="str">
        <f>VLOOKUP(C2094,Product!A$2:B$21,1,0)</f>
        <v>PD0009</v>
      </c>
      <c r="E2094" s="36">
        <v>44</v>
      </c>
      <c r="F2094" s="38">
        <v>4938120</v>
      </c>
      <c r="G2094" s="39" t="s">
        <v>4468</v>
      </c>
      <c r="H2094" s="12"/>
      <c r="L2094" s="12"/>
    </row>
    <row r="2095" spans="1:12" ht="15.75" customHeight="1" x14ac:dyDescent="0.3">
      <c r="A2095" s="17" t="s">
        <v>979</v>
      </c>
      <c r="B2095" s="50" t="str">
        <f>VLOOKUP(A2095,'Sales Order'!A$2:B$1029,1,0)</f>
        <v>SO0741</v>
      </c>
      <c r="C2095" s="29" t="s">
        <v>35</v>
      </c>
      <c r="D2095" s="50" t="str">
        <f>VLOOKUP(C2095,Product!A$2:B$21,1,0)</f>
        <v>PD0005</v>
      </c>
      <c r="E2095" s="36">
        <v>73</v>
      </c>
      <c r="F2095" s="38">
        <v>124983300</v>
      </c>
      <c r="G2095" s="39" t="s">
        <v>4469</v>
      </c>
      <c r="H2095" s="12"/>
      <c r="L2095" s="12"/>
    </row>
    <row r="2096" spans="1:12" ht="15.75" customHeight="1" x14ac:dyDescent="0.3">
      <c r="A2096" s="29" t="s">
        <v>979</v>
      </c>
      <c r="B2096" s="50" t="str">
        <f>VLOOKUP(A2096,'Sales Order'!A$2:B$1029,1,0)</f>
        <v>SO0741</v>
      </c>
      <c r="C2096" s="29" t="s">
        <v>83</v>
      </c>
      <c r="D2096" s="50" t="str">
        <f>VLOOKUP(C2096,Product!A$2:B$21,1,0)</f>
        <v>PD0020</v>
      </c>
      <c r="E2096" s="36">
        <v>144</v>
      </c>
      <c r="F2096" s="38">
        <v>39752640</v>
      </c>
      <c r="G2096" s="39" t="s">
        <v>4470</v>
      </c>
      <c r="H2096" s="12"/>
      <c r="L2096" s="12"/>
    </row>
    <row r="2097" spans="1:12" ht="15.75" customHeight="1" x14ac:dyDescent="0.3">
      <c r="A2097" s="29" t="s">
        <v>980</v>
      </c>
      <c r="B2097" s="50" t="str">
        <f>VLOOKUP(A2097,'Sales Order'!A$2:B$1029,1,0)</f>
        <v>SO0742</v>
      </c>
      <c r="C2097" s="29" t="s">
        <v>25</v>
      </c>
      <c r="D2097" s="50" t="str">
        <f>VLOOKUP(C2097,Product!A$2:B$21,1,0)</f>
        <v>PD0002</v>
      </c>
      <c r="E2097" s="36">
        <v>131</v>
      </c>
      <c r="F2097" s="38">
        <v>2096000</v>
      </c>
      <c r="G2097" s="39" t="s">
        <v>4471</v>
      </c>
      <c r="H2097" s="12"/>
      <c r="L2097" s="12"/>
    </row>
    <row r="2098" spans="1:12" ht="15.75" customHeight="1" x14ac:dyDescent="0.3">
      <c r="A2098" s="29" t="s">
        <v>980</v>
      </c>
      <c r="B2098" s="50" t="str">
        <f>VLOOKUP(A2098,'Sales Order'!A$2:B$1029,1,0)</f>
        <v>SO0742</v>
      </c>
      <c r="C2098" s="29" t="s">
        <v>45</v>
      </c>
      <c r="D2098" s="50" t="str">
        <f>VLOOKUP(C2098,Product!A$2:B$21,1,0)</f>
        <v>PD0008</v>
      </c>
      <c r="E2098" s="36">
        <v>135</v>
      </c>
      <c r="F2098" s="38">
        <v>15287400</v>
      </c>
      <c r="G2098" s="39" t="s">
        <v>4472</v>
      </c>
      <c r="H2098" s="12"/>
      <c r="L2098" s="12"/>
    </row>
    <row r="2099" spans="1:12" ht="15.75" customHeight="1" x14ac:dyDescent="0.3">
      <c r="A2099" s="17" t="s">
        <v>981</v>
      </c>
      <c r="B2099" s="50" t="str">
        <f>VLOOKUP(A2099,'Sales Order'!A$2:B$1029,1,0)</f>
        <v>SO0743</v>
      </c>
      <c r="C2099" s="29" t="s">
        <v>45</v>
      </c>
      <c r="D2099" s="50" t="str">
        <f>VLOOKUP(C2099,Product!A$2:B$21,1,0)</f>
        <v>PD0008</v>
      </c>
      <c r="E2099" s="36">
        <v>69</v>
      </c>
      <c r="F2099" s="38">
        <v>9664140</v>
      </c>
      <c r="G2099" s="39" t="s">
        <v>4473</v>
      </c>
      <c r="H2099" s="12"/>
      <c r="L2099" s="12"/>
    </row>
    <row r="2100" spans="1:12" ht="15.75" customHeight="1" x14ac:dyDescent="0.3">
      <c r="A2100" s="29" t="s">
        <v>981</v>
      </c>
      <c r="B2100" s="50" t="str">
        <f>VLOOKUP(A2100,'Sales Order'!A$2:B$1029,1,0)</f>
        <v>SO0743</v>
      </c>
      <c r="C2100" s="29" t="s">
        <v>78</v>
      </c>
      <c r="D2100" s="50" t="str">
        <f>VLOOKUP(C2100,Product!A$2:B$21,1,0)</f>
        <v>PD0018</v>
      </c>
      <c r="E2100" s="36">
        <v>131</v>
      </c>
      <c r="F2100" s="38">
        <v>52965920</v>
      </c>
      <c r="G2100" s="39" t="s">
        <v>4474</v>
      </c>
      <c r="H2100" s="12"/>
      <c r="L2100" s="12"/>
    </row>
    <row r="2101" spans="1:12" ht="15.75" customHeight="1" x14ac:dyDescent="0.3">
      <c r="A2101" s="29" t="s">
        <v>981</v>
      </c>
      <c r="B2101" s="50" t="str">
        <f>VLOOKUP(A2101,'Sales Order'!A$2:B$1029,1,0)</f>
        <v>SO0743</v>
      </c>
      <c r="C2101" s="29" t="s">
        <v>25</v>
      </c>
      <c r="D2101" s="50" t="str">
        <f>VLOOKUP(C2101,Product!A$2:B$21,1,0)</f>
        <v>PD0002</v>
      </c>
      <c r="E2101" s="36">
        <v>112</v>
      </c>
      <c r="F2101" s="38">
        <v>1680000</v>
      </c>
      <c r="G2101" s="39" t="s">
        <v>4475</v>
      </c>
      <c r="H2101" s="12"/>
      <c r="L2101" s="12"/>
    </row>
    <row r="2102" spans="1:12" ht="15.75" customHeight="1" x14ac:dyDescent="0.3">
      <c r="A2102" s="29" t="s">
        <v>981</v>
      </c>
      <c r="B2102" s="50" t="str">
        <f>VLOOKUP(A2102,'Sales Order'!A$2:B$1029,1,0)</f>
        <v>SO0743</v>
      </c>
      <c r="C2102" s="29" t="s">
        <v>72</v>
      </c>
      <c r="D2102" s="50" t="str">
        <f>VLOOKUP(C2102,Product!A$2:B$21,1,0)</f>
        <v>PD0016</v>
      </c>
      <c r="E2102" s="36">
        <v>49</v>
      </c>
      <c r="F2102" s="38">
        <v>12298020</v>
      </c>
      <c r="G2102" s="39" t="s">
        <v>4476</v>
      </c>
      <c r="H2102" s="12"/>
      <c r="L2102" s="12"/>
    </row>
    <row r="2103" spans="1:12" ht="15.75" customHeight="1" x14ac:dyDescent="0.3">
      <c r="A2103" s="17" t="s">
        <v>982</v>
      </c>
      <c r="B2103" s="50" t="str">
        <f>VLOOKUP(A2103,'Sales Order'!A$2:B$1029,1,0)</f>
        <v>SO0744</v>
      </c>
      <c r="C2103" s="29" t="s">
        <v>72</v>
      </c>
      <c r="D2103" s="50" t="str">
        <f>VLOOKUP(C2103,Product!A$2:B$21,1,0)</f>
        <v>PD0016</v>
      </c>
      <c r="E2103" s="36">
        <v>87</v>
      </c>
      <c r="F2103" s="38">
        <v>22067550</v>
      </c>
      <c r="G2103" s="39" t="s">
        <v>4477</v>
      </c>
      <c r="H2103" s="12"/>
      <c r="L2103" s="12"/>
    </row>
    <row r="2104" spans="1:12" ht="15.75" customHeight="1" x14ac:dyDescent="0.3">
      <c r="A2104" s="29" t="s">
        <v>982</v>
      </c>
      <c r="B2104" s="50" t="str">
        <f>VLOOKUP(A2104,'Sales Order'!A$2:B$1029,1,0)</f>
        <v>SO0744</v>
      </c>
      <c r="C2104" s="29" t="s">
        <v>45</v>
      </c>
      <c r="D2104" s="50" t="str">
        <f>VLOOKUP(C2104,Product!A$2:B$21,1,0)</f>
        <v>PD0008</v>
      </c>
      <c r="E2104" s="36">
        <v>136</v>
      </c>
      <c r="F2104" s="38">
        <v>19250800</v>
      </c>
      <c r="G2104" s="39" t="s">
        <v>4478</v>
      </c>
      <c r="H2104" s="12"/>
      <c r="L2104" s="12"/>
    </row>
    <row r="2105" spans="1:12" ht="15.75" customHeight="1" x14ac:dyDescent="0.3">
      <c r="A2105" s="29" t="s">
        <v>982</v>
      </c>
      <c r="B2105" s="50" t="str">
        <f>VLOOKUP(A2105,'Sales Order'!A$2:B$1029,1,0)</f>
        <v>SO0744</v>
      </c>
      <c r="C2105" s="29" t="s">
        <v>75</v>
      </c>
      <c r="D2105" s="50" t="str">
        <f>VLOOKUP(C2105,Product!A$2:B$21,1,0)</f>
        <v>PD0017</v>
      </c>
      <c r="E2105" s="36">
        <v>51</v>
      </c>
      <c r="F2105" s="38">
        <v>120283500</v>
      </c>
      <c r="G2105" s="39" t="s">
        <v>4479</v>
      </c>
      <c r="H2105" s="12"/>
      <c r="L2105" s="12"/>
    </row>
    <row r="2106" spans="1:12" ht="15.75" customHeight="1" x14ac:dyDescent="0.3">
      <c r="A2106" s="29" t="s">
        <v>982</v>
      </c>
      <c r="B2106" s="50" t="str">
        <f>VLOOKUP(A2106,'Sales Order'!A$2:B$1029,1,0)</f>
        <v>SO0744</v>
      </c>
      <c r="C2106" s="29" t="s">
        <v>58</v>
      </c>
      <c r="D2106" s="50" t="str">
        <f>VLOOKUP(C2106,Product!A$2:B$21,1,0)</f>
        <v>PD0012</v>
      </c>
      <c r="E2106" s="36">
        <v>34</v>
      </c>
      <c r="F2106" s="38">
        <v>157215320</v>
      </c>
      <c r="G2106" s="39" t="s">
        <v>4480</v>
      </c>
      <c r="H2106" s="12"/>
      <c r="L2106" s="12"/>
    </row>
    <row r="2107" spans="1:12" ht="15.75" customHeight="1" x14ac:dyDescent="0.3">
      <c r="A2107" s="17" t="s">
        <v>983</v>
      </c>
      <c r="B2107" s="50" t="str">
        <f>VLOOKUP(A2107,'Sales Order'!A$2:B$1029,1,0)</f>
        <v>SO0745</v>
      </c>
      <c r="C2107" s="29" t="s">
        <v>28</v>
      </c>
      <c r="D2107" s="50" t="str">
        <f>VLOOKUP(C2107,Product!A$2:B$21,1,0)</f>
        <v>PD0003</v>
      </c>
      <c r="E2107" s="36">
        <v>62</v>
      </c>
      <c r="F2107" s="38">
        <v>53681460</v>
      </c>
      <c r="G2107" s="39" t="s">
        <v>4481</v>
      </c>
      <c r="H2107" s="12"/>
      <c r="L2107" s="12"/>
    </row>
    <row r="2108" spans="1:12" ht="15.75" customHeight="1" x14ac:dyDescent="0.3">
      <c r="A2108" s="29" t="s">
        <v>983</v>
      </c>
      <c r="B2108" s="50" t="str">
        <f>VLOOKUP(A2108,'Sales Order'!A$2:B$1029,1,0)</f>
        <v>SO0745</v>
      </c>
      <c r="C2108" s="29" t="s">
        <v>45</v>
      </c>
      <c r="D2108" s="50" t="str">
        <f>VLOOKUP(C2108,Product!A$2:B$21,1,0)</f>
        <v>PD0008</v>
      </c>
      <c r="E2108" s="36">
        <v>72</v>
      </c>
      <c r="F2108" s="38">
        <v>9118800</v>
      </c>
      <c r="G2108" s="39" t="s">
        <v>4482</v>
      </c>
      <c r="H2108" s="12"/>
      <c r="L2108" s="12"/>
    </row>
    <row r="2109" spans="1:12" ht="15.75" customHeight="1" x14ac:dyDescent="0.3">
      <c r="A2109" s="29" t="s">
        <v>983</v>
      </c>
      <c r="B2109" s="50" t="str">
        <f>VLOOKUP(A2109,'Sales Order'!A$2:B$1029,1,0)</f>
        <v>SO0745</v>
      </c>
      <c r="C2109" s="29" t="s">
        <v>83</v>
      </c>
      <c r="D2109" s="50" t="str">
        <f>VLOOKUP(C2109,Product!A$2:B$21,1,0)</f>
        <v>PD0020</v>
      </c>
      <c r="E2109" s="36">
        <v>125</v>
      </c>
      <c r="F2109" s="38">
        <v>33705000</v>
      </c>
      <c r="G2109" s="39" t="s">
        <v>4483</v>
      </c>
      <c r="H2109" s="12"/>
      <c r="L2109" s="12"/>
    </row>
    <row r="2110" spans="1:12" ht="15.75" customHeight="1" x14ac:dyDescent="0.3">
      <c r="A2110" s="29" t="s">
        <v>983</v>
      </c>
      <c r="B2110" s="50" t="str">
        <f>VLOOKUP(A2110,'Sales Order'!A$2:B$1029,1,0)</f>
        <v>SO0745</v>
      </c>
      <c r="C2110" s="29" t="s">
        <v>35</v>
      </c>
      <c r="D2110" s="50" t="str">
        <f>VLOOKUP(C2110,Product!A$2:B$21,1,0)</f>
        <v>PD0005</v>
      </c>
      <c r="E2110" s="36">
        <v>119</v>
      </c>
      <c r="F2110" s="38">
        <v>206351950</v>
      </c>
      <c r="G2110" s="39" t="s">
        <v>4484</v>
      </c>
      <c r="H2110" s="12"/>
      <c r="L2110" s="12"/>
    </row>
    <row r="2111" spans="1:12" ht="15.75" customHeight="1" x14ac:dyDescent="0.3">
      <c r="A2111" s="29" t="s">
        <v>983</v>
      </c>
      <c r="B2111" s="50" t="str">
        <f>VLOOKUP(A2111,'Sales Order'!A$2:B$1029,1,0)</f>
        <v>SO0745</v>
      </c>
      <c r="C2111" s="29" t="s">
        <v>69</v>
      </c>
      <c r="D2111" s="50" t="str">
        <f>VLOOKUP(C2111,Product!A$2:B$21,1,0)</f>
        <v>PD0015</v>
      </c>
      <c r="E2111" s="36">
        <v>102</v>
      </c>
      <c r="F2111" s="38">
        <v>12614238</v>
      </c>
      <c r="G2111" s="39" t="s">
        <v>4485</v>
      </c>
      <c r="H2111" s="12"/>
      <c r="L2111" s="12"/>
    </row>
    <row r="2112" spans="1:12" ht="15.75" customHeight="1" x14ac:dyDescent="0.3">
      <c r="A2112" s="29" t="s">
        <v>983</v>
      </c>
      <c r="B2112" s="50" t="str">
        <f>VLOOKUP(A2112,'Sales Order'!A$2:B$1029,1,0)</f>
        <v>SO0745</v>
      </c>
      <c r="C2112" s="29" t="s">
        <v>55</v>
      </c>
      <c r="D2112" s="50" t="str">
        <f>VLOOKUP(C2112,Product!A$2:B$21,1,0)</f>
        <v>PD0011</v>
      </c>
      <c r="E2112" s="36">
        <v>92</v>
      </c>
      <c r="F2112" s="38">
        <v>184473800</v>
      </c>
      <c r="G2112" s="39" t="s">
        <v>4486</v>
      </c>
      <c r="H2112" s="12"/>
      <c r="L2112" s="12"/>
    </row>
    <row r="2113" spans="1:12" ht="15.75" customHeight="1" x14ac:dyDescent="0.3">
      <c r="A2113" s="17" t="s">
        <v>984</v>
      </c>
      <c r="B2113" s="50" t="str">
        <f>VLOOKUP(A2113,'Sales Order'!A$2:B$1029,1,0)</f>
        <v>SO0746</v>
      </c>
      <c r="C2113" s="29" t="s">
        <v>55</v>
      </c>
      <c r="D2113" s="50" t="str">
        <f>VLOOKUP(C2113,Product!A$2:B$21,1,0)</f>
        <v>PD0011</v>
      </c>
      <c r="E2113" s="36">
        <v>128</v>
      </c>
      <c r="F2113" s="38">
        <v>244581120.00000003</v>
      </c>
      <c r="G2113" s="39" t="s">
        <v>4487</v>
      </c>
      <c r="H2113" s="12"/>
      <c r="L2113" s="12"/>
    </row>
    <row r="2114" spans="1:12" ht="15.75" customHeight="1" x14ac:dyDescent="0.3">
      <c r="A2114" s="29" t="s">
        <v>984</v>
      </c>
      <c r="B2114" s="50" t="str">
        <f>VLOOKUP(A2114,'Sales Order'!A$2:B$1029,1,0)</f>
        <v>SO0746</v>
      </c>
      <c r="C2114" s="29" t="s">
        <v>81</v>
      </c>
      <c r="D2114" s="50" t="str">
        <f>VLOOKUP(C2114,Product!A$2:B$21,1,0)</f>
        <v>PD0019</v>
      </c>
      <c r="E2114" s="36">
        <v>105</v>
      </c>
      <c r="F2114" s="38">
        <v>243556950</v>
      </c>
      <c r="G2114" s="39" t="s">
        <v>4488</v>
      </c>
      <c r="H2114" s="12"/>
      <c r="L2114" s="12"/>
    </row>
    <row r="2115" spans="1:12" ht="15.75" customHeight="1" x14ac:dyDescent="0.3">
      <c r="A2115" s="29" t="s">
        <v>984</v>
      </c>
      <c r="B2115" s="50" t="str">
        <f>VLOOKUP(A2115,'Sales Order'!A$2:B$1029,1,0)</f>
        <v>SO0746</v>
      </c>
      <c r="C2115" s="29" t="s">
        <v>45</v>
      </c>
      <c r="D2115" s="50" t="str">
        <f>VLOOKUP(C2115,Product!A$2:B$21,1,0)</f>
        <v>PD0008</v>
      </c>
      <c r="E2115" s="36">
        <v>69</v>
      </c>
      <c r="F2115" s="38">
        <v>8019180</v>
      </c>
      <c r="G2115" s="39" t="s">
        <v>4489</v>
      </c>
      <c r="H2115" s="12"/>
      <c r="L2115" s="12"/>
    </row>
    <row r="2116" spans="1:12" ht="15.75" customHeight="1" x14ac:dyDescent="0.3">
      <c r="A2116" s="17" t="s">
        <v>985</v>
      </c>
      <c r="B2116" s="50" t="str">
        <f>VLOOKUP(A2116,'Sales Order'!A$2:B$1029,1,0)</f>
        <v>SO0747</v>
      </c>
      <c r="C2116" s="29" t="s">
        <v>83</v>
      </c>
      <c r="D2116" s="50" t="str">
        <f>VLOOKUP(C2116,Product!A$2:B$21,1,0)</f>
        <v>PD0020</v>
      </c>
      <c r="E2116" s="36">
        <v>89</v>
      </c>
      <c r="F2116" s="38">
        <v>23140890</v>
      </c>
      <c r="G2116" s="39" t="s">
        <v>4490</v>
      </c>
      <c r="H2116" s="12"/>
      <c r="L2116" s="12"/>
    </row>
    <row r="2117" spans="1:12" ht="15.75" customHeight="1" x14ac:dyDescent="0.3">
      <c r="A2117" s="29" t="s">
        <v>985</v>
      </c>
      <c r="B2117" s="50" t="str">
        <f>VLOOKUP(A2117,'Sales Order'!A$2:B$1029,1,0)</f>
        <v>SO0747</v>
      </c>
      <c r="C2117" s="29" t="s">
        <v>43</v>
      </c>
      <c r="D2117" s="50" t="str">
        <f>VLOOKUP(C2117,Product!A$2:B$21,1,0)</f>
        <v>PD0007</v>
      </c>
      <c r="E2117" s="36">
        <v>70</v>
      </c>
      <c r="F2117" s="38">
        <v>201600000</v>
      </c>
      <c r="G2117" s="39" t="s">
        <v>4491</v>
      </c>
      <c r="H2117" s="12"/>
      <c r="L2117" s="12"/>
    </row>
    <row r="2118" spans="1:12" ht="15.75" customHeight="1" x14ac:dyDescent="0.3">
      <c r="A2118" s="29" t="s">
        <v>985</v>
      </c>
      <c r="B2118" s="50" t="str">
        <f>VLOOKUP(A2118,'Sales Order'!A$2:B$1029,1,0)</f>
        <v>SO0747</v>
      </c>
      <c r="C2118" s="29" t="s">
        <v>48</v>
      </c>
      <c r="D2118" s="50" t="str">
        <f>VLOOKUP(C2118,Product!A$2:B$21,1,0)</f>
        <v>PD0009</v>
      </c>
      <c r="E2118" s="36">
        <v>126</v>
      </c>
      <c r="F2118" s="38">
        <v>14303520</v>
      </c>
      <c r="G2118" s="39" t="s">
        <v>4492</v>
      </c>
      <c r="H2118" s="12"/>
      <c r="L2118" s="12"/>
    </row>
    <row r="2119" spans="1:12" ht="15.75" customHeight="1" x14ac:dyDescent="0.3">
      <c r="A2119" s="29" t="s">
        <v>985</v>
      </c>
      <c r="B2119" s="50" t="str">
        <f>VLOOKUP(A2119,'Sales Order'!A$2:B$1029,1,0)</f>
        <v>SO0747</v>
      </c>
      <c r="C2119" s="29" t="s">
        <v>65</v>
      </c>
      <c r="D2119" s="50" t="str">
        <f>VLOOKUP(C2119,Product!A$2:B$21,1,0)</f>
        <v>PD0014</v>
      </c>
      <c r="E2119" s="36">
        <v>36</v>
      </c>
      <c r="F2119" s="38">
        <v>8362440</v>
      </c>
      <c r="G2119" s="39" t="s">
        <v>4493</v>
      </c>
      <c r="H2119" s="12"/>
      <c r="L2119" s="12"/>
    </row>
    <row r="2120" spans="1:12" ht="15.75" customHeight="1" x14ac:dyDescent="0.3">
      <c r="A2120" s="29" t="s">
        <v>985</v>
      </c>
      <c r="B2120" s="50" t="str">
        <f>VLOOKUP(A2120,'Sales Order'!A$2:B$1029,1,0)</f>
        <v>SO0747</v>
      </c>
      <c r="C2120" s="29" t="s">
        <v>58</v>
      </c>
      <c r="D2120" s="50" t="str">
        <f>VLOOKUP(C2120,Product!A$2:B$21,1,0)</f>
        <v>PD0012</v>
      </c>
      <c r="E2120" s="36">
        <v>117</v>
      </c>
      <c r="F2120" s="38">
        <v>514615140</v>
      </c>
      <c r="G2120" s="39" t="s">
        <v>4494</v>
      </c>
      <c r="H2120" s="12"/>
      <c r="L2120" s="12"/>
    </row>
    <row r="2121" spans="1:12" ht="15.75" customHeight="1" x14ac:dyDescent="0.3">
      <c r="A2121" s="17" t="s">
        <v>986</v>
      </c>
      <c r="B2121" s="50" t="str">
        <f>VLOOKUP(A2121,'Sales Order'!A$2:B$1029,1,0)</f>
        <v>SO0748</v>
      </c>
      <c r="C2121" s="29" t="s">
        <v>40</v>
      </c>
      <c r="D2121" s="50" t="str">
        <f>VLOOKUP(C2121,Product!A$2:B$21,1,0)</f>
        <v>PD0006</v>
      </c>
      <c r="E2121" s="36">
        <v>55</v>
      </c>
      <c r="F2121" s="38">
        <v>8966100</v>
      </c>
      <c r="G2121" s="39" t="s">
        <v>4495</v>
      </c>
      <c r="H2121" s="12"/>
      <c r="L2121" s="12"/>
    </row>
    <row r="2122" spans="1:12" ht="15.75" customHeight="1" x14ac:dyDescent="0.3">
      <c r="A2122" s="29" t="s">
        <v>986</v>
      </c>
      <c r="B2122" s="50" t="str">
        <f>VLOOKUP(A2122,'Sales Order'!A$2:B$1029,1,0)</f>
        <v>SO0748</v>
      </c>
      <c r="C2122" s="29" t="s">
        <v>83</v>
      </c>
      <c r="D2122" s="50" t="str">
        <f>VLOOKUP(C2122,Product!A$2:B$21,1,0)</f>
        <v>PD0020</v>
      </c>
      <c r="E2122" s="36">
        <v>96</v>
      </c>
      <c r="F2122" s="38">
        <v>29275200</v>
      </c>
      <c r="G2122" s="39" t="s">
        <v>4496</v>
      </c>
      <c r="H2122" s="12"/>
      <c r="L2122" s="12"/>
    </row>
    <row r="2123" spans="1:12" ht="15.75" customHeight="1" x14ac:dyDescent="0.3">
      <c r="A2123" s="17" t="s">
        <v>987</v>
      </c>
      <c r="B2123" s="50" t="str">
        <f>VLOOKUP(A2123,'Sales Order'!A$2:B$1029,1,0)</f>
        <v>SO0749</v>
      </c>
      <c r="C2123" s="29" t="s">
        <v>58</v>
      </c>
      <c r="D2123" s="50" t="str">
        <f>VLOOKUP(C2123,Product!A$2:B$21,1,0)</f>
        <v>PD0012</v>
      </c>
      <c r="E2123" s="36">
        <v>146</v>
      </c>
      <c r="F2123" s="38">
        <v>765663420</v>
      </c>
      <c r="G2123" s="39" t="s">
        <v>4497</v>
      </c>
      <c r="H2123" s="12"/>
      <c r="L2123" s="12"/>
    </row>
    <row r="2124" spans="1:12" ht="15.75" customHeight="1" x14ac:dyDescent="0.3">
      <c r="A2124" s="29" t="s">
        <v>987</v>
      </c>
      <c r="B2124" s="50" t="str">
        <f>VLOOKUP(A2124,'Sales Order'!A$2:B$1029,1,0)</f>
        <v>SO0749</v>
      </c>
      <c r="C2124" s="29" t="s">
        <v>28</v>
      </c>
      <c r="D2124" s="50" t="str">
        <f>VLOOKUP(C2124,Product!A$2:B$21,1,0)</f>
        <v>PD0003</v>
      </c>
      <c r="E2124" s="36">
        <v>128</v>
      </c>
      <c r="F2124" s="38">
        <v>109634560</v>
      </c>
      <c r="G2124" s="39" t="s">
        <v>4498</v>
      </c>
      <c r="H2124" s="12"/>
      <c r="L2124" s="12"/>
    </row>
    <row r="2125" spans="1:12" ht="15.75" customHeight="1" x14ac:dyDescent="0.3">
      <c r="A2125" s="29" t="s">
        <v>987</v>
      </c>
      <c r="B2125" s="50" t="str">
        <f>VLOOKUP(A2125,'Sales Order'!A$2:B$1029,1,0)</f>
        <v>SO0749</v>
      </c>
      <c r="C2125" s="29" t="s">
        <v>33</v>
      </c>
      <c r="D2125" s="50" t="str">
        <f>VLOOKUP(C2125,Product!A$2:B$21,1,0)</f>
        <v>PD0004</v>
      </c>
      <c r="E2125" s="36">
        <v>29</v>
      </c>
      <c r="F2125" s="38">
        <v>5423000</v>
      </c>
      <c r="G2125" s="39" t="s">
        <v>4499</v>
      </c>
      <c r="H2125" s="12"/>
      <c r="L2125" s="12"/>
    </row>
    <row r="2126" spans="1:12" ht="15.75" customHeight="1" x14ac:dyDescent="0.3">
      <c r="A2126" s="29" t="s">
        <v>987</v>
      </c>
      <c r="B2126" s="50" t="str">
        <f>VLOOKUP(A2126,'Sales Order'!A$2:B$1029,1,0)</f>
        <v>SO0749</v>
      </c>
      <c r="C2126" s="29" t="s">
        <v>81</v>
      </c>
      <c r="D2126" s="50" t="str">
        <f>VLOOKUP(C2126,Product!A$2:B$21,1,0)</f>
        <v>PD0019</v>
      </c>
      <c r="E2126" s="36">
        <v>36</v>
      </c>
      <c r="F2126" s="38">
        <v>68823000</v>
      </c>
      <c r="G2126" s="39" t="s">
        <v>4500</v>
      </c>
      <c r="H2126" s="12"/>
      <c r="L2126" s="12"/>
    </row>
    <row r="2127" spans="1:12" ht="15.75" customHeight="1" x14ac:dyDescent="0.3">
      <c r="A2127" s="29" t="s">
        <v>989</v>
      </c>
      <c r="B2127" s="50" t="str">
        <f>VLOOKUP(A2127,'Sales Order'!A$2:B$1029,1,0)</f>
        <v>SO0751</v>
      </c>
      <c r="C2127" s="29" t="s">
        <v>25</v>
      </c>
      <c r="D2127" s="50" t="str">
        <f>VLOOKUP(C2127,Product!A$2:B$21,1,0)</f>
        <v>PD0002</v>
      </c>
      <c r="E2127" s="36">
        <v>134</v>
      </c>
      <c r="F2127" s="38">
        <v>2492400</v>
      </c>
      <c r="G2127" s="39" t="s">
        <v>4501</v>
      </c>
      <c r="H2127" s="12"/>
      <c r="L2127" s="12"/>
    </row>
    <row r="2128" spans="1:12" ht="15.75" customHeight="1" x14ac:dyDescent="0.3">
      <c r="A2128" s="29" t="s">
        <v>989</v>
      </c>
      <c r="B2128" s="50" t="str">
        <f>VLOOKUP(A2128,'Sales Order'!A$2:B$1029,1,0)</f>
        <v>SO0751</v>
      </c>
      <c r="C2128" s="29" t="s">
        <v>72</v>
      </c>
      <c r="D2128" s="50" t="str">
        <f>VLOOKUP(C2128,Product!A$2:B$21,1,0)</f>
        <v>PD0016</v>
      </c>
      <c r="E2128" s="36">
        <v>44</v>
      </c>
      <c r="F2128" s="38">
        <v>9045960</v>
      </c>
      <c r="G2128" s="39" t="s">
        <v>4502</v>
      </c>
      <c r="H2128" s="12"/>
      <c r="L2128" s="12"/>
    </row>
    <row r="2129" spans="1:12" ht="15.75" customHeight="1" x14ac:dyDescent="0.3">
      <c r="A2129" s="17" t="s">
        <v>991</v>
      </c>
      <c r="B2129" s="50" t="str">
        <f>VLOOKUP(A2129,'Sales Order'!A$2:B$1029,1,0)</f>
        <v>SO0753</v>
      </c>
      <c r="C2129" s="29" t="s">
        <v>72</v>
      </c>
      <c r="D2129" s="50" t="str">
        <f>VLOOKUP(C2129,Product!A$2:B$21,1,0)</f>
        <v>PD0016</v>
      </c>
      <c r="E2129" s="36">
        <v>87</v>
      </c>
      <c r="F2129" s="38">
        <v>21602970</v>
      </c>
      <c r="G2129" s="39" t="s">
        <v>4503</v>
      </c>
      <c r="H2129" s="12"/>
      <c r="L2129" s="12"/>
    </row>
    <row r="2130" spans="1:12" ht="15.75" customHeight="1" x14ac:dyDescent="0.3">
      <c r="A2130" s="29" t="s">
        <v>991</v>
      </c>
      <c r="B2130" s="50" t="str">
        <f>VLOOKUP(A2130,'Sales Order'!A$2:B$1029,1,0)</f>
        <v>SO0753</v>
      </c>
      <c r="C2130" s="29" t="s">
        <v>83</v>
      </c>
      <c r="D2130" s="50" t="str">
        <f>VLOOKUP(C2130,Product!A$2:B$21,1,0)</f>
        <v>PD0020</v>
      </c>
      <c r="E2130" s="36">
        <v>66</v>
      </c>
      <c r="F2130" s="38">
        <v>16525080</v>
      </c>
      <c r="G2130" s="39" t="s">
        <v>4504</v>
      </c>
      <c r="H2130" s="12"/>
      <c r="L2130" s="12"/>
    </row>
    <row r="2131" spans="1:12" ht="15.75" customHeight="1" x14ac:dyDescent="0.3">
      <c r="A2131" s="29" t="s">
        <v>991</v>
      </c>
      <c r="B2131" s="50" t="str">
        <f>VLOOKUP(A2131,'Sales Order'!A$2:B$1029,1,0)</f>
        <v>SO0753</v>
      </c>
      <c r="C2131" s="29" t="s">
        <v>65</v>
      </c>
      <c r="D2131" s="50" t="str">
        <f>VLOOKUP(C2131,Product!A$2:B$21,1,0)</f>
        <v>PD0014</v>
      </c>
      <c r="E2131" s="36">
        <v>138</v>
      </c>
      <c r="F2131" s="38">
        <v>28371420</v>
      </c>
      <c r="G2131" s="39" t="s">
        <v>4505</v>
      </c>
      <c r="H2131" s="12"/>
      <c r="L2131" s="12"/>
    </row>
    <row r="2132" spans="1:12" ht="15.75" customHeight="1" x14ac:dyDescent="0.3">
      <c r="A2132" s="29" t="s">
        <v>991</v>
      </c>
      <c r="B2132" s="50" t="str">
        <f>VLOOKUP(A2132,'Sales Order'!A$2:B$1029,1,0)</f>
        <v>SO0753</v>
      </c>
      <c r="C2132" s="29" t="s">
        <v>28</v>
      </c>
      <c r="D2132" s="50" t="str">
        <f>VLOOKUP(C2132,Product!A$2:B$21,1,0)</f>
        <v>PD0003</v>
      </c>
      <c r="E2132" s="36">
        <v>138</v>
      </c>
      <c r="F2132" s="38">
        <v>111775860</v>
      </c>
      <c r="G2132" s="39" t="s">
        <v>4506</v>
      </c>
      <c r="H2132" s="12"/>
      <c r="L2132" s="12"/>
    </row>
    <row r="2133" spans="1:12" ht="15.75" customHeight="1" x14ac:dyDescent="0.3">
      <c r="A2133" s="29" t="s">
        <v>992</v>
      </c>
      <c r="B2133" s="50" t="str">
        <f>VLOOKUP(A2133,'Sales Order'!A$2:B$1029,1,0)</f>
        <v>SO0754</v>
      </c>
      <c r="C2133" s="29" t="s">
        <v>61</v>
      </c>
      <c r="D2133" s="50" t="str">
        <f>VLOOKUP(C2133,Product!A$2:B$21,1,0)</f>
        <v>PD0013</v>
      </c>
      <c r="E2133" s="36">
        <v>90</v>
      </c>
      <c r="F2133" s="38">
        <v>35350200</v>
      </c>
      <c r="G2133" s="39" t="s">
        <v>4507</v>
      </c>
      <c r="H2133" s="12"/>
      <c r="L2133" s="12"/>
    </row>
    <row r="2134" spans="1:12" ht="15.75" customHeight="1" x14ac:dyDescent="0.3">
      <c r="A2134" s="29" t="s">
        <v>992</v>
      </c>
      <c r="B2134" s="50" t="str">
        <f>VLOOKUP(A2134,'Sales Order'!A$2:B$1029,1,0)</f>
        <v>SO0754</v>
      </c>
      <c r="C2134" s="29" t="s">
        <v>43</v>
      </c>
      <c r="D2134" s="50" t="str">
        <f>VLOOKUP(C2134,Product!A$2:B$21,1,0)</f>
        <v>PD0007</v>
      </c>
      <c r="E2134" s="36">
        <v>141</v>
      </c>
      <c r="F2134" s="38">
        <v>347424000</v>
      </c>
      <c r="G2134" s="39" t="s">
        <v>4508</v>
      </c>
      <c r="H2134" s="12"/>
      <c r="L2134" s="12"/>
    </row>
    <row r="2135" spans="1:12" ht="15.75" customHeight="1" x14ac:dyDescent="0.3">
      <c r="A2135" s="29" t="s">
        <v>992</v>
      </c>
      <c r="B2135" s="50" t="str">
        <f>VLOOKUP(A2135,'Sales Order'!A$2:B$1029,1,0)</f>
        <v>SO0754</v>
      </c>
      <c r="C2135" s="29" t="s">
        <v>35</v>
      </c>
      <c r="D2135" s="50" t="str">
        <f>VLOOKUP(C2135,Product!A$2:B$21,1,0)</f>
        <v>PD0005</v>
      </c>
      <c r="E2135" s="36">
        <v>137</v>
      </c>
      <c r="F2135" s="38">
        <v>246586300.00000003</v>
      </c>
      <c r="G2135" s="39" t="s">
        <v>4509</v>
      </c>
      <c r="H2135" s="12"/>
      <c r="L2135" s="12"/>
    </row>
    <row r="2136" spans="1:12" ht="15.75" customHeight="1" x14ac:dyDescent="0.3">
      <c r="A2136" s="17" t="s">
        <v>993</v>
      </c>
      <c r="B2136" s="50" t="str">
        <f>VLOOKUP(A2136,'Sales Order'!A$2:B$1029,1,0)</f>
        <v>SO0755</v>
      </c>
      <c r="C2136" s="29" t="s">
        <v>72</v>
      </c>
      <c r="D2136" s="50" t="str">
        <f>VLOOKUP(C2136,Product!A$2:B$21,1,0)</f>
        <v>PD0016</v>
      </c>
      <c r="E2136" s="36">
        <v>147</v>
      </c>
      <c r="F2136" s="38">
        <v>33361650</v>
      </c>
      <c r="G2136" s="39" t="s">
        <v>4510</v>
      </c>
      <c r="H2136" s="12"/>
      <c r="L2136" s="12"/>
    </row>
    <row r="2137" spans="1:12" ht="15.75" customHeight="1" x14ac:dyDescent="0.3">
      <c r="A2137" s="29" t="s">
        <v>993</v>
      </c>
      <c r="B2137" s="50" t="str">
        <f>VLOOKUP(A2137,'Sales Order'!A$2:B$1029,1,0)</f>
        <v>SO0755</v>
      </c>
      <c r="C2137" s="29" t="s">
        <v>19</v>
      </c>
      <c r="D2137" s="50" t="str">
        <f>VLOOKUP(C2137,Product!A$2:B$21,1,0)</f>
        <v>PD0001</v>
      </c>
      <c r="E2137" s="36">
        <v>147</v>
      </c>
      <c r="F2137" s="38">
        <v>28916370</v>
      </c>
      <c r="G2137" s="39" t="s">
        <v>4511</v>
      </c>
      <c r="H2137" s="12"/>
      <c r="L2137" s="12"/>
    </row>
    <row r="2138" spans="1:12" ht="15.75" customHeight="1" x14ac:dyDescent="0.3">
      <c r="A2138" s="17" t="s">
        <v>994</v>
      </c>
      <c r="B2138" s="50" t="str">
        <f>VLOOKUP(A2138,'Sales Order'!A$2:B$1029,1,0)</f>
        <v>SO0756</v>
      </c>
      <c r="C2138" s="29" t="s">
        <v>58</v>
      </c>
      <c r="D2138" s="50" t="str">
        <f>VLOOKUP(C2138,Product!A$2:B$21,1,0)</f>
        <v>PD0012</v>
      </c>
      <c r="E2138" s="36">
        <v>133</v>
      </c>
      <c r="F2138" s="38">
        <v>577489990</v>
      </c>
      <c r="G2138" s="39" t="s">
        <v>4512</v>
      </c>
      <c r="H2138" s="12"/>
      <c r="L2138" s="12"/>
    </row>
    <row r="2139" spans="1:12" ht="15.75" customHeight="1" x14ac:dyDescent="0.3">
      <c r="A2139" s="17" t="s">
        <v>995</v>
      </c>
      <c r="B2139" s="50" t="str">
        <f>VLOOKUP(A2139,'Sales Order'!A$2:B$1029,1,0)</f>
        <v>SO0757</v>
      </c>
      <c r="C2139" s="29" t="s">
        <v>33</v>
      </c>
      <c r="D2139" s="50" t="str">
        <f>VLOOKUP(C2139,Product!A$2:B$21,1,0)</f>
        <v>PD0004</v>
      </c>
      <c r="E2139" s="36">
        <v>66</v>
      </c>
      <c r="F2139" s="38">
        <v>13068000</v>
      </c>
      <c r="G2139" s="39" t="s">
        <v>4513</v>
      </c>
      <c r="H2139" s="12"/>
      <c r="L2139" s="12"/>
    </row>
    <row r="2140" spans="1:12" ht="15.75" customHeight="1" x14ac:dyDescent="0.3">
      <c r="A2140" s="29" t="s">
        <v>995</v>
      </c>
      <c r="B2140" s="50" t="str">
        <f>VLOOKUP(A2140,'Sales Order'!A$2:B$1029,1,0)</f>
        <v>SO0757</v>
      </c>
      <c r="C2140" s="29" t="s">
        <v>43</v>
      </c>
      <c r="D2140" s="50" t="str">
        <f>VLOOKUP(C2140,Product!A$2:B$21,1,0)</f>
        <v>PD0007</v>
      </c>
      <c r="E2140" s="36">
        <v>59</v>
      </c>
      <c r="F2140" s="38">
        <v>145376000</v>
      </c>
      <c r="G2140" s="39" t="s">
        <v>4514</v>
      </c>
      <c r="H2140" s="12"/>
      <c r="L2140" s="12"/>
    </row>
    <row r="2141" spans="1:12" ht="15.75" customHeight="1" x14ac:dyDescent="0.3">
      <c r="A2141" s="29" t="s">
        <v>995</v>
      </c>
      <c r="B2141" s="50" t="str">
        <f>VLOOKUP(A2141,'Sales Order'!A$2:B$1029,1,0)</f>
        <v>SO0757</v>
      </c>
      <c r="C2141" s="29" t="s">
        <v>25</v>
      </c>
      <c r="D2141" s="50" t="str">
        <f>VLOOKUP(C2141,Product!A$2:B$21,1,0)</f>
        <v>PD0002</v>
      </c>
      <c r="E2141" s="36">
        <v>31</v>
      </c>
      <c r="F2141" s="38">
        <v>582800</v>
      </c>
      <c r="G2141" s="39" t="s">
        <v>4515</v>
      </c>
      <c r="H2141" s="12"/>
      <c r="L2141" s="12"/>
    </row>
    <row r="2142" spans="1:12" ht="15.75" customHeight="1" x14ac:dyDescent="0.3">
      <c r="A2142" s="17" t="s">
        <v>996</v>
      </c>
      <c r="B2142" s="50" t="str">
        <f>VLOOKUP(A2142,'Sales Order'!A$2:B$1029,1,0)</f>
        <v>SO0758</v>
      </c>
      <c r="C2142" s="29" t="s">
        <v>28</v>
      </c>
      <c r="D2142" s="50" t="str">
        <f>VLOOKUP(C2142,Product!A$2:B$21,1,0)</f>
        <v>PD0003</v>
      </c>
      <c r="E2142" s="36">
        <v>35</v>
      </c>
      <c r="F2142" s="38">
        <v>30304049.999999996</v>
      </c>
      <c r="G2142" s="39" t="s">
        <v>4516</v>
      </c>
      <c r="H2142" s="12"/>
      <c r="L2142" s="12"/>
    </row>
    <row r="2143" spans="1:12" ht="15.75" customHeight="1" x14ac:dyDescent="0.3">
      <c r="A2143" s="29" t="s">
        <v>996</v>
      </c>
      <c r="B2143" s="50" t="str">
        <f>VLOOKUP(A2143,'Sales Order'!A$2:B$1029,1,0)</f>
        <v>SO0758</v>
      </c>
      <c r="C2143" s="29" t="s">
        <v>78</v>
      </c>
      <c r="D2143" s="50" t="str">
        <f>VLOOKUP(C2143,Product!A$2:B$21,1,0)</f>
        <v>PD0018</v>
      </c>
      <c r="E2143" s="36">
        <v>64</v>
      </c>
      <c r="F2143" s="38">
        <v>30302720</v>
      </c>
      <c r="G2143" s="39" t="s">
        <v>4517</v>
      </c>
      <c r="H2143" s="12"/>
      <c r="L2143" s="12"/>
    </row>
    <row r="2144" spans="1:12" ht="15.75" customHeight="1" x14ac:dyDescent="0.3">
      <c r="A2144" s="29" t="s">
        <v>996</v>
      </c>
      <c r="B2144" s="50" t="str">
        <f>VLOOKUP(A2144,'Sales Order'!A$2:B$1029,1,0)</f>
        <v>SO0758</v>
      </c>
      <c r="C2144" s="29" t="s">
        <v>25</v>
      </c>
      <c r="D2144" s="50" t="str">
        <f>VLOOKUP(C2144,Product!A$2:B$21,1,0)</f>
        <v>PD0002</v>
      </c>
      <c r="E2144" s="36">
        <v>85</v>
      </c>
      <c r="F2144" s="38">
        <v>1292000</v>
      </c>
      <c r="G2144" s="39" t="s">
        <v>4518</v>
      </c>
      <c r="H2144" s="12"/>
      <c r="L2144" s="12"/>
    </row>
    <row r="2145" spans="1:12" ht="15.75" customHeight="1" x14ac:dyDescent="0.3">
      <c r="A2145" s="29" t="s">
        <v>996</v>
      </c>
      <c r="B2145" s="50" t="str">
        <f>VLOOKUP(A2145,'Sales Order'!A$2:B$1029,1,0)</f>
        <v>SO0758</v>
      </c>
      <c r="C2145" s="29" t="s">
        <v>35</v>
      </c>
      <c r="D2145" s="50" t="str">
        <f>VLOOKUP(C2145,Product!A$2:B$21,1,0)</f>
        <v>PD0005</v>
      </c>
      <c r="E2145" s="36">
        <v>127</v>
      </c>
      <c r="F2145" s="38">
        <v>248100850</v>
      </c>
      <c r="G2145" s="39" t="s">
        <v>4519</v>
      </c>
      <c r="H2145" s="12"/>
      <c r="L2145" s="12"/>
    </row>
    <row r="2146" spans="1:12" ht="15.75" customHeight="1" x14ac:dyDescent="0.3">
      <c r="A2146" s="17" t="s">
        <v>997</v>
      </c>
      <c r="B2146" s="50" t="str">
        <f>VLOOKUP(A2146,'Sales Order'!A$2:B$1029,1,0)</f>
        <v>SO0759</v>
      </c>
      <c r="C2146" s="29" t="s">
        <v>48</v>
      </c>
      <c r="D2146" s="50" t="str">
        <f>VLOOKUP(C2146,Product!A$2:B$21,1,0)</f>
        <v>PD0009</v>
      </c>
      <c r="E2146" s="36">
        <v>70</v>
      </c>
      <c r="F2146" s="38">
        <v>6953100</v>
      </c>
      <c r="G2146" s="39" t="s">
        <v>4520</v>
      </c>
      <c r="H2146" s="12"/>
      <c r="L2146" s="12"/>
    </row>
    <row r="2147" spans="1:12" ht="15.75" customHeight="1" x14ac:dyDescent="0.3">
      <c r="A2147" s="17" t="s">
        <v>998</v>
      </c>
      <c r="B2147" s="50" t="str">
        <f>VLOOKUP(A2147,'Sales Order'!A$2:B$1029,1,0)</f>
        <v>SO0760</v>
      </c>
      <c r="C2147" s="29" t="s">
        <v>72</v>
      </c>
      <c r="D2147" s="50" t="str">
        <f>VLOOKUP(C2147,Product!A$2:B$21,1,0)</f>
        <v>PD0016</v>
      </c>
      <c r="E2147" s="36">
        <v>38</v>
      </c>
      <c r="F2147" s="38">
        <v>9029940</v>
      </c>
      <c r="G2147" s="39" t="s">
        <v>4521</v>
      </c>
      <c r="H2147" s="12"/>
      <c r="L2147" s="12"/>
    </row>
    <row r="2148" spans="1:12" ht="15.75" customHeight="1" x14ac:dyDescent="0.3">
      <c r="A2148" s="29" t="s">
        <v>998</v>
      </c>
      <c r="B2148" s="50" t="str">
        <f>VLOOKUP(A2148,'Sales Order'!A$2:B$1029,1,0)</f>
        <v>SO0760</v>
      </c>
      <c r="C2148" s="29" t="s">
        <v>52</v>
      </c>
      <c r="D2148" s="50" t="str">
        <f>VLOOKUP(C2148,Product!A$2:B$21,1,0)</f>
        <v>PD0010</v>
      </c>
      <c r="E2148" s="36">
        <v>96</v>
      </c>
      <c r="F2148" s="38">
        <v>25896000</v>
      </c>
      <c r="G2148" s="39" t="s">
        <v>4522</v>
      </c>
      <c r="H2148" s="12"/>
      <c r="L2148" s="12"/>
    </row>
    <row r="2149" spans="1:12" ht="15.75" customHeight="1" x14ac:dyDescent="0.3">
      <c r="A2149" s="29" t="s">
        <v>998</v>
      </c>
      <c r="B2149" s="50" t="str">
        <f>VLOOKUP(A2149,'Sales Order'!A$2:B$1029,1,0)</f>
        <v>SO0760</v>
      </c>
      <c r="C2149" s="29" t="s">
        <v>40</v>
      </c>
      <c r="D2149" s="50" t="str">
        <f>VLOOKUP(C2149,Product!A$2:B$21,1,0)</f>
        <v>PD0006</v>
      </c>
      <c r="E2149" s="36">
        <v>97</v>
      </c>
      <c r="F2149" s="38">
        <v>17637510</v>
      </c>
      <c r="G2149" s="39" t="s">
        <v>4523</v>
      </c>
      <c r="H2149" s="12"/>
      <c r="L2149" s="12"/>
    </row>
    <row r="2150" spans="1:12" ht="15.75" customHeight="1" x14ac:dyDescent="0.3">
      <c r="A2150" s="17" t="s">
        <v>999</v>
      </c>
      <c r="B2150" s="50" t="str">
        <f>VLOOKUP(A2150,'Sales Order'!A$2:B$1029,1,0)</f>
        <v>SO0761</v>
      </c>
      <c r="C2150" s="29" t="s">
        <v>65</v>
      </c>
      <c r="D2150" s="50" t="str">
        <f>VLOOKUP(C2150,Product!A$2:B$21,1,0)</f>
        <v>PD0014</v>
      </c>
      <c r="E2150" s="36">
        <v>57</v>
      </c>
      <c r="F2150" s="38">
        <v>12631770</v>
      </c>
      <c r="G2150" s="39" t="s">
        <v>4524</v>
      </c>
      <c r="H2150" s="12"/>
      <c r="L2150" s="12"/>
    </row>
    <row r="2151" spans="1:12" ht="15.75" customHeight="1" x14ac:dyDescent="0.3">
      <c r="A2151" s="29" t="s">
        <v>999</v>
      </c>
      <c r="B2151" s="50" t="str">
        <f>VLOOKUP(A2151,'Sales Order'!A$2:B$1029,1,0)</f>
        <v>SO0761</v>
      </c>
      <c r="C2151" s="29" t="s">
        <v>45</v>
      </c>
      <c r="D2151" s="50" t="str">
        <f>VLOOKUP(C2151,Product!A$2:B$21,1,0)</f>
        <v>PD0008</v>
      </c>
      <c r="E2151" s="36">
        <v>107</v>
      </c>
      <c r="F2151" s="38">
        <v>12276110</v>
      </c>
      <c r="G2151" s="39" t="s">
        <v>4525</v>
      </c>
      <c r="H2151" s="12"/>
      <c r="L2151" s="12"/>
    </row>
    <row r="2152" spans="1:12" ht="15.75" customHeight="1" x14ac:dyDescent="0.3">
      <c r="A2152" s="29" t="s">
        <v>999</v>
      </c>
      <c r="B2152" s="50" t="str">
        <f>VLOOKUP(A2152,'Sales Order'!A$2:B$1029,1,0)</f>
        <v>SO0761</v>
      </c>
      <c r="C2152" s="29" t="s">
        <v>78</v>
      </c>
      <c r="D2152" s="50" t="str">
        <f>VLOOKUP(C2152,Product!A$2:B$21,1,0)</f>
        <v>PD0018</v>
      </c>
      <c r="E2152" s="36">
        <v>126</v>
      </c>
      <c r="F2152" s="38">
        <v>52284960</v>
      </c>
      <c r="G2152" s="39" t="s">
        <v>4526</v>
      </c>
      <c r="H2152" s="12"/>
      <c r="L2152" s="12"/>
    </row>
    <row r="2153" spans="1:12" ht="15.75" customHeight="1" x14ac:dyDescent="0.3">
      <c r="A2153" s="17" t="s">
        <v>1000</v>
      </c>
      <c r="B2153" s="50" t="str">
        <f>VLOOKUP(A2153,'Sales Order'!A$2:B$1029,1,0)</f>
        <v>SO0762</v>
      </c>
      <c r="C2153" s="29" t="s">
        <v>65</v>
      </c>
      <c r="D2153" s="50" t="str">
        <f>VLOOKUP(C2153,Product!A$2:B$21,1,0)</f>
        <v>PD0014</v>
      </c>
      <c r="E2153" s="36">
        <v>93</v>
      </c>
      <c r="F2153" s="38">
        <v>20361420</v>
      </c>
      <c r="G2153" s="39" t="s">
        <v>4527</v>
      </c>
      <c r="H2153" s="12"/>
      <c r="L2153" s="12"/>
    </row>
    <row r="2154" spans="1:12" ht="15.75" customHeight="1" x14ac:dyDescent="0.3">
      <c r="A2154" s="29" t="s">
        <v>1000</v>
      </c>
      <c r="B2154" s="50" t="str">
        <f>VLOOKUP(A2154,'Sales Order'!A$2:B$1029,1,0)</f>
        <v>SO0762</v>
      </c>
      <c r="C2154" s="29" t="s">
        <v>58</v>
      </c>
      <c r="D2154" s="50" t="str">
        <f>VLOOKUP(C2154,Product!A$2:B$21,1,0)</f>
        <v>PD0012</v>
      </c>
      <c r="E2154" s="36">
        <v>58</v>
      </c>
      <c r="F2154" s="38">
        <v>300897040</v>
      </c>
      <c r="G2154" s="39" t="s">
        <v>4528</v>
      </c>
      <c r="H2154" s="12"/>
      <c r="L2154" s="12"/>
    </row>
    <row r="2155" spans="1:12" ht="15.75" customHeight="1" x14ac:dyDescent="0.3">
      <c r="A2155" s="29" t="s">
        <v>1000</v>
      </c>
      <c r="B2155" s="50" t="str">
        <f>VLOOKUP(A2155,'Sales Order'!A$2:B$1029,1,0)</f>
        <v>SO0762</v>
      </c>
      <c r="C2155" s="29" t="s">
        <v>43</v>
      </c>
      <c r="D2155" s="50" t="str">
        <f>VLOOKUP(C2155,Product!A$2:B$21,1,0)</f>
        <v>PD0007</v>
      </c>
      <c r="E2155" s="36">
        <v>118</v>
      </c>
      <c r="F2155" s="38">
        <v>298304000</v>
      </c>
      <c r="G2155" s="39" t="s">
        <v>4529</v>
      </c>
      <c r="H2155" s="12"/>
      <c r="L2155" s="12"/>
    </row>
    <row r="2156" spans="1:12" ht="15.75" customHeight="1" x14ac:dyDescent="0.3">
      <c r="A2156" s="29" t="s">
        <v>1000</v>
      </c>
      <c r="B2156" s="50" t="str">
        <f>VLOOKUP(A2156,'Sales Order'!A$2:B$1029,1,0)</f>
        <v>SO0762</v>
      </c>
      <c r="C2156" s="29" t="s">
        <v>69</v>
      </c>
      <c r="D2156" s="50" t="str">
        <f>VLOOKUP(C2156,Product!A$2:B$21,1,0)</f>
        <v>PD0015</v>
      </c>
      <c r="E2156" s="36">
        <v>93</v>
      </c>
      <c r="F2156" s="38">
        <v>10742895</v>
      </c>
      <c r="G2156" s="39" t="s">
        <v>4530</v>
      </c>
      <c r="H2156" s="12"/>
      <c r="L2156" s="12"/>
    </row>
    <row r="2157" spans="1:12" ht="15.75" customHeight="1" x14ac:dyDescent="0.3">
      <c r="A2157" s="29" t="s">
        <v>1002</v>
      </c>
      <c r="B2157" s="50" t="str">
        <f>VLOOKUP(A2157,'Sales Order'!A$2:B$1029,1,0)</f>
        <v>SO0764</v>
      </c>
      <c r="C2157" s="29" t="s">
        <v>48</v>
      </c>
      <c r="D2157" s="50" t="str">
        <f>VLOOKUP(C2157,Product!A$2:B$21,1,0)</f>
        <v>PD0009</v>
      </c>
      <c r="E2157" s="36">
        <v>86</v>
      </c>
      <c r="F2157" s="38">
        <v>9762720</v>
      </c>
      <c r="G2157" s="39" t="s">
        <v>4531</v>
      </c>
      <c r="H2157" s="12"/>
      <c r="L2157" s="12"/>
    </row>
    <row r="2158" spans="1:12" ht="15.75" customHeight="1" x14ac:dyDescent="0.3">
      <c r="A2158" s="29" t="s">
        <v>1002</v>
      </c>
      <c r="B2158" s="50" t="str">
        <f>VLOOKUP(A2158,'Sales Order'!A$2:B$1029,1,0)</f>
        <v>SO0764</v>
      </c>
      <c r="C2158" s="29" t="s">
        <v>58</v>
      </c>
      <c r="D2158" s="50" t="str">
        <f>VLOOKUP(C2158,Product!A$2:B$21,1,0)</f>
        <v>PD0012</v>
      </c>
      <c r="E2158" s="36">
        <v>64</v>
      </c>
      <c r="F2158" s="38">
        <v>321197440</v>
      </c>
      <c r="G2158" s="39" t="s">
        <v>4532</v>
      </c>
      <c r="H2158" s="12"/>
      <c r="L2158" s="12"/>
    </row>
    <row r="2159" spans="1:12" ht="15.75" customHeight="1" x14ac:dyDescent="0.3">
      <c r="A2159" s="29" t="s">
        <v>1002</v>
      </c>
      <c r="B2159" s="50" t="str">
        <f>VLOOKUP(A2159,'Sales Order'!A$2:B$1029,1,0)</f>
        <v>SO0764</v>
      </c>
      <c r="C2159" s="29" t="s">
        <v>75</v>
      </c>
      <c r="D2159" s="50" t="str">
        <f>VLOOKUP(C2159,Product!A$2:B$21,1,0)</f>
        <v>PD0017</v>
      </c>
      <c r="E2159" s="36">
        <v>93</v>
      </c>
      <c r="F2159" s="38">
        <v>229198499.99999997</v>
      </c>
      <c r="G2159" s="39" t="s">
        <v>4533</v>
      </c>
      <c r="H2159" s="12"/>
      <c r="L2159" s="12"/>
    </row>
    <row r="2160" spans="1:12" ht="15.75" customHeight="1" x14ac:dyDescent="0.3">
      <c r="A2160" s="29" t="s">
        <v>1002</v>
      </c>
      <c r="B2160" s="50" t="str">
        <f>VLOOKUP(A2160,'Sales Order'!A$2:B$1029,1,0)</f>
        <v>SO0764</v>
      </c>
      <c r="C2160" s="29" t="s">
        <v>19</v>
      </c>
      <c r="D2160" s="50" t="str">
        <f>VLOOKUP(C2160,Product!A$2:B$21,1,0)</f>
        <v>PD0001</v>
      </c>
      <c r="E2160" s="36">
        <v>118</v>
      </c>
      <c r="F2160" s="38">
        <v>24974700</v>
      </c>
      <c r="G2160" s="39" t="s">
        <v>4534</v>
      </c>
      <c r="H2160" s="12"/>
      <c r="L2160" s="12"/>
    </row>
    <row r="2161" spans="1:12" ht="15.75" customHeight="1" x14ac:dyDescent="0.3">
      <c r="A2161" s="17" t="s">
        <v>1003</v>
      </c>
      <c r="B2161" s="50" t="str">
        <f>VLOOKUP(A2161,'Sales Order'!A$2:B$1029,1,0)</f>
        <v>SO0765</v>
      </c>
      <c r="C2161" s="29" t="s">
        <v>83</v>
      </c>
      <c r="D2161" s="50" t="str">
        <f>VLOOKUP(C2161,Product!A$2:B$21,1,0)</f>
        <v>PD0020</v>
      </c>
      <c r="E2161" s="36">
        <v>87</v>
      </c>
      <c r="F2161" s="38">
        <v>25134300</v>
      </c>
      <c r="G2161" s="39" t="s">
        <v>4535</v>
      </c>
      <c r="H2161" s="12"/>
      <c r="L2161" s="12"/>
    </row>
    <row r="2162" spans="1:12" ht="15.75" customHeight="1" x14ac:dyDescent="0.3">
      <c r="A2162" s="29" t="s">
        <v>1003</v>
      </c>
      <c r="B2162" s="50" t="str">
        <f>VLOOKUP(A2162,'Sales Order'!A$2:B$1029,1,0)</f>
        <v>SO0765</v>
      </c>
      <c r="C2162" s="29" t="s">
        <v>43</v>
      </c>
      <c r="D2162" s="50" t="str">
        <f>VLOOKUP(C2162,Product!A$2:B$21,1,0)</f>
        <v>PD0007</v>
      </c>
      <c r="E2162" s="36">
        <v>53</v>
      </c>
      <c r="F2162" s="38">
        <v>159424000</v>
      </c>
      <c r="G2162" s="39" t="s">
        <v>4536</v>
      </c>
      <c r="H2162" s="12"/>
      <c r="L2162" s="12"/>
    </row>
    <row r="2163" spans="1:12" ht="15.75" customHeight="1" x14ac:dyDescent="0.3">
      <c r="A2163" s="29" t="s">
        <v>1003</v>
      </c>
      <c r="B2163" s="50" t="str">
        <f>VLOOKUP(A2163,'Sales Order'!A$2:B$1029,1,0)</f>
        <v>SO0765</v>
      </c>
      <c r="C2163" s="29" t="s">
        <v>81</v>
      </c>
      <c r="D2163" s="50" t="str">
        <f>VLOOKUP(C2163,Product!A$2:B$21,1,0)</f>
        <v>PD0019</v>
      </c>
      <c r="E2163" s="36">
        <v>62</v>
      </c>
      <c r="F2163" s="38">
        <v>135912680</v>
      </c>
      <c r="G2163" s="39" t="s">
        <v>4537</v>
      </c>
      <c r="H2163" s="12"/>
      <c r="L2163" s="12"/>
    </row>
    <row r="2164" spans="1:12" ht="15.75" customHeight="1" x14ac:dyDescent="0.3">
      <c r="A2164" s="17" t="s">
        <v>1004</v>
      </c>
      <c r="B2164" s="50" t="str">
        <f>VLOOKUP(A2164,'Sales Order'!A$2:B$1029,1,0)</f>
        <v>SO0766</v>
      </c>
      <c r="C2164" s="29" t="s">
        <v>43</v>
      </c>
      <c r="D2164" s="50" t="str">
        <f>VLOOKUP(C2164,Product!A$2:B$21,1,0)</f>
        <v>PD0007</v>
      </c>
      <c r="E2164" s="36">
        <v>119</v>
      </c>
      <c r="F2164" s="38">
        <v>331296000</v>
      </c>
      <c r="G2164" s="39" t="s">
        <v>4538</v>
      </c>
      <c r="H2164" s="12"/>
      <c r="L2164" s="12"/>
    </row>
    <row r="2165" spans="1:12" ht="15.75" customHeight="1" x14ac:dyDescent="0.3">
      <c r="A2165" s="29" t="s">
        <v>1004</v>
      </c>
      <c r="B2165" s="50" t="str">
        <f>VLOOKUP(A2165,'Sales Order'!A$2:B$1029,1,0)</f>
        <v>SO0766</v>
      </c>
      <c r="C2165" s="29" t="s">
        <v>75</v>
      </c>
      <c r="D2165" s="50" t="str">
        <f>VLOOKUP(C2165,Product!A$2:B$21,1,0)</f>
        <v>PD0017</v>
      </c>
      <c r="E2165" s="36">
        <v>106</v>
      </c>
      <c r="F2165" s="38">
        <v>227529000.00000003</v>
      </c>
      <c r="G2165" s="39" t="s">
        <v>4539</v>
      </c>
      <c r="H2165" s="12"/>
      <c r="L2165" s="12"/>
    </row>
    <row r="2166" spans="1:12" ht="15.75" customHeight="1" x14ac:dyDescent="0.3">
      <c r="A2166" s="29" t="s">
        <v>1004</v>
      </c>
      <c r="B2166" s="50" t="str">
        <f>VLOOKUP(A2166,'Sales Order'!A$2:B$1029,1,0)</f>
        <v>SO0766</v>
      </c>
      <c r="C2166" s="29" t="s">
        <v>28</v>
      </c>
      <c r="D2166" s="50" t="str">
        <f>VLOOKUP(C2166,Product!A$2:B$21,1,0)</f>
        <v>PD0003</v>
      </c>
      <c r="E2166" s="36">
        <v>99</v>
      </c>
      <c r="F2166" s="38">
        <v>72813510</v>
      </c>
      <c r="G2166" s="39" t="s">
        <v>4540</v>
      </c>
      <c r="H2166" s="12"/>
      <c r="L2166" s="12"/>
    </row>
    <row r="2167" spans="1:12" ht="15.75" customHeight="1" x14ac:dyDescent="0.3">
      <c r="A2167" s="29" t="s">
        <v>1004</v>
      </c>
      <c r="B2167" s="50" t="str">
        <f>VLOOKUP(A2167,'Sales Order'!A$2:B$1029,1,0)</f>
        <v>SO0766</v>
      </c>
      <c r="C2167" s="29" t="s">
        <v>81</v>
      </c>
      <c r="D2167" s="50" t="str">
        <f>VLOOKUP(C2167,Product!A$2:B$21,1,0)</f>
        <v>PD0019</v>
      </c>
      <c r="E2167" s="36">
        <v>111</v>
      </c>
      <c r="F2167" s="38">
        <v>226351200</v>
      </c>
      <c r="G2167" s="39" t="s">
        <v>4541</v>
      </c>
      <c r="H2167" s="12"/>
      <c r="L2167" s="12"/>
    </row>
    <row r="2168" spans="1:12" ht="15.75" customHeight="1" x14ac:dyDescent="0.3">
      <c r="A2168" s="17" t="s">
        <v>1005</v>
      </c>
      <c r="B2168" s="50" t="str">
        <f>VLOOKUP(A2168,'Sales Order'!A$2:B$1029,1,0)</f>
        <v>SO0767</v>
      </c>
      <c r="C2168" s="29" t="s">
        <v>48</v>
      </c>
      <c r="D2168" s="50" t="str">
        <f>VLOOKUP(C2168,Product!A$2:B$21,1,0)</f>
        <v>PD0009</v>
      </c>
      <c r="E2168" s="36">
        <v>25</v>
      </c>
      <c r="F2168" s="38">
        <v>3063750</v>
      </c>
      <c r="G2168" s="39" t="s">
        <v>4542</v>
      </c>
      <c r="H2168" s="12"/>
      <c r="L2168" s="12"/>
    </row>
    <row r="2169" spans="1:12" ht="15.75" customHeight="1" x14ac:dyDescent="0.3">
      <c r="A2169" s="29" t="s">
        <v>1005</v>
      </c>
      <c r="B2169" s="50" t="str">
        <f>VLOOKUP(A2169,'Sales Order'!A$2:B$1029,1,0)</f>
        <v>SO0767</v>
      </c>
      <c r="C2169" s="29" t="s">
        <v>65</v>
      </c>
      <c r="D2169" s="50" t="str">
        <f>VLOOKUP(C2169,Product!A$2:B$21,1,0)</f>
        <v>PD0014</v>
      </c>
      <c r="E2169" s="36">
        <v>77</v>
      </c>
      <c r="F2169" s="38">
        <v>16036020</v>
      </c>
      <c r="G2169" s="39" t="s">
        <v>4543</v>
      </c>
      <c r="H2169" s="12"/>
      <c r="L2169" s="12"/>
    </row>
    <row r="2170" spans="1:12" ht="15.75" customHeight="1" x14ac:dyDescent="0.3">
      <c r="A2170" s="29" t="s">
        <v>1005</v>
      </c>
      <c r="B2170" s="50" t="str">
        <f>VLOOKUP(A2170,'Sales Order'!A$2:B$1029,1,0)</f>
        <v>SO0767</v>
      </c>
      <c r="C2170" s="29" t="s">
        <v>33</v>
      </c>
      <c r="D2170" s="50" t="str">
        <f>VLOOKUP(C2170,Product!A$2:B$21,1,0)</f>
        <v>PD0004</v>
      </c>
      <c r="E2170" s="36">
        <v>125</v>
      </c>
      <c r="F2170" s="38">
        <v>23925000</v>
      </c>
      <c r="G2170" s="39" t="s">
        <v>4544</v>
      </c>
      <c r="H2170" s="12"/>
      <c r="L2170" s="12"/>
    </row>
    <row r="2171" spans="1:12" ht="15.75" customHeight="1" x14ac:dyDescent="0.3">
      <c r="A2171" s="29" t="s">
        <v>1005</v>
      </c>
      <c r="B2171" s="50" t="str">
        <f>VLOOKUP(A2171,'Sales Order'!A$2:B$1029,1,0)</f>
        <v>SO0767</v>
      </c>
      <c r="C2171" s="29" t="s">
        <v>43</v>
      </c>
      <c r="D2171" s="50" t="str">
        <f>VLOOKUP(C2171,Product!A$2:B$21,1,0)</f>
        <v>PD0007</v>
      </c>
      <c r="E2171" s="36">
        <v>80</v>
      </c>
      <c r="F2171" s="38">
        <v>220160000</v>
      </c>
      <c r="G2171" s="39" t="s">
        <v>4545</v>
      </c>
      <c r="H2171" s="12"/>
      <c r="L2171" s="12"/>
    </row>
    <row r="2172" spans="1:12" ht="15.75" customHeight="1" x14ac:dyDescent="0.3">
      <c r="A2172" s="17" t="s">
        <v>1006</v>
      </c>
      <c r="B2172" s="50" t="str">
        <f>VLOOKUP(A2172,'Sales Order'!A$2:B$1029,1,0)</f>
        <v>SO0768</v>
      </c>
      <c r="C2172" s="29" t="s">
        <v>40</v>
      </c>
      <c r="D2172" s="50" t="str">
        <f>VLOOKUP(C2172,Product!A$2:B$21,1,0)</f>
        <v>PD0006</v>
      </c>
      <c r="E2172" s="36">
        <v>141</v>
      </c>
      <c r="F2172" s="38">
        <v>23869890</v>
      </c>
      <c r="G2172" s="39" t="s">
        <v>4546</v>
      </c>
      <c r="H2172" s="12"/>
      <c r="L2172" s="12"/>
    </row>
    <row r="2173" spans="1:12" ht="15.75" customHeight="1" x14ac:dyDescent="0.3">
      <c r="A2173" s="29" t="s">
        <v>1006</v>
      </c>
      <c r="B2173" s="50" t="str">
        <f>VLOOKUP(A2173,'Sales Order'!A$2:B$1029,1,0)</f>
        <v>SO0768</v>
      </c>
      <c r="C2173" s="29" t="s">
        <v>48</v>
      </c>
      <c r="D2173" s="50" t="str">
        <f>VLOOKUP(C2173,Product!A$2:B$21,1,0)</f>
        <v>PD0009</v>
      </c>
      <c r="E2173" s="36">
        <v>105</v>
      </c>
      <c r="F2173" s="38">
        <v>10429650</v>
      </c>
      <c r="G2173" s="39" t="s">
        <v>4547</v>
      </c>
      <c r="H2173" s="12"/>
      <c r="L2173" s="12"/>
    </row>
    <row r="2174" spans="1:12" ht="15.75" customHeight="1" x14ac:dyDescent="0.3">
      <c r="A2174" s="29" t="s">
        <v>1006</v>
      </c>
      <c r="B2174" s="50" t="str">
        <f>VLOOKUP(A2174,'Sales Order'!A$2:B$1029,1,0)</f>
        <v>SO0768</v>
      </c>
      <c r="C2174" s="29" t="s">
        <v>69</v>
      </c>
      <c r="D2174" s="50" t="str">
        <f>VLOOKUP(C2174,Product!A$2:B$21,1,0)</f>
        <v>PD0015</v>
      </c>
      <c r="E2174" s="36">
        <v>55</v>
      </c>
      <c r="F2174" s="38">
        <v>6203835</v>
      </c>
      <c r="G2174" s="39" t="s">
        <v>4548</v>
      </c>
      <c r="H2174" s="12"/>
      <c r="L2174" s="12"/>
    </row>
    <row r="2175" spans="1:12" ht="15.75" customHeight="1" x14ac:dyDescent="0.3">
      <c r="A2175" s="17" t="s">
        <v>1007</v>
      </c>
      <c r="B2175" s="50" t="str">
        <f>VLOOKUP(A2175,'Sales Order'!A$2:B$1029,1,0)</f>
        <v>SO0769</v>
      </c>
      <c r="C2175" s="29" t="s">
        <v>45</v>
      </c>
      <c r="D2175" s="50" t="str">
        <f>VLOOKUP(C2175,Product!A$2:B$21,1,0)</f>
        <v>PD0008</v>
      </c>
      <c r="E2175" s="36">
        <v>132</v>
      </c>
      <c r="F2175" s="38">
        <v>15931080.000000002</v>
      </c>
      <c r="G2175" s="39" t="s">
        <v>4549</v>
      </c>
      <c r="H2175" s="12"/>
      <c r="L2175" s="12"/>
    </row>
    <row r="2176" spans="1:12" ht="15.75" customHeight="1" x14ac:dyDescent="0.3">
      <c r="A2176" s="29" t="s">
        <v>1007</v>
      </c>
      <c r="B2176" s="50" t="str">
        <f>VLOOKUP(A2176,'Sales Order'!A$2:B$1029,1,0)</f>
        <v>SO0769</v>
      </c>
      <c r="C2176" s="29" t="s">
        <v>28</v>
      </c>
      <c r="D2176" s="50" t="str">
        <f>VLOOKUP(C2176,Product!A$2:B$21,1,0)</f>
        <v>PD0003</v>
      </c>
      <c r="E2176" s="36">
        <v>139</v>
      </c>
      <c r="F2176" s="38">
        <v>99644930</v>
      </c>
      <c r="G2176" s="39" t="s">
        <v>4550</v>
      </c>
      <c r="H2176" s="12"/>
      <c r="L2176" s="12"/>
    </row>
    <row r="2177" spans="1:12" ht="15.75" customHeight="1" x14ac:dyDescent="0.3">
      <c r="A2177" s="29" t="s">
        <v>1007</v>
      </c>
      <c r="B2177" s="50" t="str">
        <f>VLOOKUP(A2177,'Sales Order'!A$2:B$1029,1,0)</f>
        <v>SO0769</v>
      </c>
      <c r="C2177" s="29" t="s">
        <v>75</v>
      </c>
      <c r="D2177" s="50" t="str">
        <f>VLOOKUP(C2177,Product!A$2:B$21,1,0)</f>
        <v>PD0017</v>
      </c>
      <c r="E2177" s="36">
        <v>104</v>
      </c>
      <c r="F2177" s="38">
        <v>225992000.00000003</v>
      </c>
      <c r="G2177" s="39" t="s">
        <v>4551</v>
      </c>
      <c r="H2177" s="12"/>
      <c r="L2177" s="12"/>
    </row>
    <row r="2178" spans="1:12" ht="15.75" customHeight="1" x14ac:dyDescent="0.3">
      <c r="A2178" s="17" t="s">
        <v>1008</v>
      </c>
      <c r="B2178" s="50" t="str">
        <f>VLOOKUP(A2178,'Sales Order'!A$2:B$1029,1,0)</f>
        <v>SO0770</v>
      </c>
      <c r="C2178" s="29" t="s">
        <v>78</v>
      </c>
      <c r="D2178" s="50" t="str">
        <f>VLOOKUP(C2178,Product!A$2:B$21,1,0)</f>
        <v>PD0018</v>
      </c>
      <c r="E2178" s="36">
        <v>83</v>
      </c>
      <c r="F2178" s="38">
        <v>35766360</v>
      </c>
      <c r="G2178" s="39" t="s">
        <v>4552</v>
      </c>
      <c r="H2178" s="12"/>
      <c r="L2178" s="12"/>
    </row>
    <row r="2179" spans="1:12" ht="15.75" customHeight="1" x14ac:dyDescent="0.3">
      <c r="A2179" s="29" t="s">
        <v>1008</v>
      </c>
      <c r="B2179" s="50" t="str">
        <f>VLOOKUP(A2179,'Sales Order'!A$2:B$1029,1,0)</f>
        <v>SO0770</v>
      </c>
      <c r="C2179" s="29" t="s">
        <v>25</v>
      </c>
      <c r="D2179" s="50" t="str">
        <f>VLOOKUP(C2179,Product!A$2:B$21,1,0)</f>
        <v>PD0002</v>
      </c>
      <c r="E2179" s="36">
        <v>89</v>
      </c>
      <c r="F2179" s="38">
        <v>1602000</v>
      </c>
      <c r="G2179" s="39" t="s">
        <v>4553</v>
      </c>
      <c r="H2179" s="12"/>
      <c r="L2179" s="12"/>
    </row>
    <row r="2180" spans="1:12" ht="15.75" customHeight="1" x14ac:dyDescent="0.3">
      <c r="A2180" s="29" t="s">
        <v>1008</v>
      </c>
      <c r="B2180" s="50" t="str">
        <f>VLOOKUP(A2180,'Sales Order'!A$2:B$1029,1,0)</f>
        <v>SO0770</v>
      </c>
      <c r="C2180" s="29" t="s">
        <v>75</v>
      </c>
      <c r="D2180" s="50" t="str">
        <f>VLOOKUP(C2180,Product!A$2:B$21,1,0)</f>
        <v>PD0017</v>
      </c>
      <c r="E2180" s="36">
        <v>63</v>
      </c>
      <c r="F2180" s="38">
        <v>140238000</v>
      </c>
      <c r="G2180" s="39" t="s">
        <v>4554</v>
      </c>
      <c r="H2180" s="12"/>
      <c r="L2180" s="12"/>
    </row>
    <row r="2181" spans="1:12" ht="15.75" customHeight="1" x14ac:dyDescent="0.3">
      <c r="A2181" s="29" t="s">
        <v>1008</v>
      </c>
      <c r="B2181" s="50" t="str">
        <f>VLOOKUP(A2181,'Sales Order'!A$2:B$1029,1,0)</f>
        <v>SO0770</v>
      </c>
      <c r="C2181" s="29" t="s">
        <v>40</v>
      </c>
      <c r="D2181" s="50" t="str">
        <f>VLOOKUP(C2181,Product!A$2:B$21,1,0)</f>
        <v>PD0006</v>
      </c>
      <c r="E2181" s="36">
        <v>149</v>
      </c>
      <c r="F2181" s="38">
        <v>28961129.999999996</v>
      </c>
      <c r="G2181" s="39" t="s">
        <v>4555</v>
      </c>
      <c r="H2181" s="12"/>
      <c r="L2181" s="12"/>
    </row>
    <row r="2182" spans="1:12" ht="15.75" customHeight="1" x14ac:dyDescent="0.3">
      <c r="A2182" s="17" t="s">
        <v>1009</v>
      </c>
      <c r="B2182" s="50" t="str">
        <f>VLOOKUP(A2182,'Sales Order'!A$2:B$1029,1,0)</f>
        <v>SO0771</v>
      </c>
      <c r="C2182" s="29" t="s">
        <v>35</v>
      </c>
      <c r="D2182" s="50" t="str">
        <f>VLOOKUP(C2182,Product!A$2:B$21,1,0)</f>
        <v>PD0005</v>
      </c>
      <c r="E2182" s="36">
        <v>107</v>
      </c>
      <c r="F2182" s="38">
        <v>209029850</v>
      </c>
      <c r="G2182" s="39" t="s">
        <v>4556</v>
      </c>
      <c r="H2182" s="12"/>
      <c r="L2182" s="12"/>
    </row>
    <row r="2183" spans="1:12" ht="15.75" customHeight="1" x14ac:dyDescent="0.3">
      <c r="A2183" s="29" t="s">
        <v>1009</v>
      </c>
      <c r="B2183" s="50" t="str">
        <f>VLOOKUP(A2183,'Sales Order'!A$2:B$1029,1,0)</f>
        <v>SO0771</v>
      </c>
      <c r="C2183" s="29" t="s">
        <v>65</v>
      </c>
      <c r="D2183" s="50" t="str">
        <f>VLOOKUP(C2183,Product!A$2:B$21,1,0)</f>
        <v>PD0014</v>
      </c>
      <c r="E2183" s="36">
        <v>45</v>
      </c>
      <c r="F2183" s="38">
        <v>11414250</v>
      </c>
      <c r="G2183" s="39" t="s">
        <v>4557</v>
      </c>
      <c r="H2183" s="12"/>
      <c r="L2183" s="12"/>
    </row>
    <row r="2184" spans="1:12" ht="15.75" customHeight="1" x14ac:dyDescent="0.3">
      <c r="A2184" s="29" t="s">
        <v>1009</v>
      </c>
      <c r="B2184" s="50" t="str">
        <f>VLOOKUP(A2184,'Sales Order'!A$2:B$1029,1,0)</f>
        <v>SO0771</v>
      </c>
      <c r="C2184" s="29" t="s">
        <v>83</v>
      </c>
      <c r="D2184" s="50" t="str">
        <f>VLOOKUP(C2184,Product!A$2:B$21,1,0)</f>
        <v>PD0020</v>
      </c>
      <c r="E2184" s="36">
        <v>110</v>
      </c>
      <c r="F2184" s="38">
        <v>27541800</v>
      </c>
      <c r="G2184" s="39" t="s">
        <v>4558</v>
      </c>
      <c r="H2184" s="12"/>
      <c r="L2184" s="12"/>
    </row>
    <row r="2185" spans="1:12" ht="15.75" customHeight="1" x14ac:dyDescent="0.3">
      <c r="A2185" s="29" t="s">
        <v>1009</v>
      </c>
      <c r="B2185" s="50" t="str">
        <f>VLOOKUP(A2185,'Sales Order'!A$2:B$1029,1,0)</f>
        <v>SO0771</v>
      </c>
      <c r="C2185" s="29" t="s">
        <v>72</v>
      </c>
      <c r="D2185" s="50" t="str">
        <f>VLOOKUP(C2185,Product!A$2:B$21,1,0)</f>
        <v>PD0016</v>
      </c>
      <c r="E2185" s="36">
        <v>126</v>
      </c>
      <c r="F2185" s="38">
        <v>30950640</v>
      </c>
      <c r="G2185" s="39" t="s">
        <v>4559</v>
      </c>
      <c r="H2185" s="12"/>
      <c r="L2185" s="12"/>
    </row>
    <row r="2186" spans="1:12" ht="15.75" customHeight="1" x14ac:dyDescent="0.3">
      <c r="A2186" s="29" t="s">
        <v>1010</v>
      </c>
      <c r="B2186" s="50" t="str">
        <f>VLOOKUP(A2186,'Sales Order'!A$2:B$1029,1,0)</f>
        <v>SO0772</v>
      </c>
      <c r="C2186" s="29" t="s">
        <v>25</v>
      </c>
      <c r="D2186" s="50" t="str">
        <f>VLOOKUP(C2186,Product!A$2:B$21,1,0)</f>
        <v>PD0002</v>
      </c>
      <c r="E2186" s="36">
        <v>63</v>
      </c>
      <c r="F2186" s="38">
        <v>957600</v>
      </c>
      <c r="G2186" s="39" t="s">
        <v>4560</v>
      </c>
      <c r="H2186" s="12"/>
      <c r="L2186" s="12"/>
    </row>
    <row r="2187" spans="1:12" ht="15.75" customHeight="1" x14ac:dyDescent="0.3">
      <c r="A2187" s="29" t="s">
        <v>1010</v>
      </c>
      <c r="B2187" s="50" t="str">
        <f>VLOOKUP(A2187,'Sales Order'!A$2:B$1029,1,0)</f>
        <v>SO0772</v>
      </c>
      <c r="C2187" s="29" t="s">
        <v>75</v>
      </c>
      <c r="D2187" s="50" t="str">
        <f>VLOOKUP(C2187,Product!A$2:B$21,1,0)</f>
        <v>PD0017</v>
      </c>
      <c r="E2187" s="36">
        <v>66</v>
      </c>
      <c r="F2187" s="38">
        <v>139920000</v>
      </c>
      <c r="G2187" s="39" t="s">
        <v>4561</v>
      </c>
      <c r="H2187" s="12"/>
      <c r="L2187" s="12"/>
    </row>
    <row r="2188" spans="1:12" ht="15.75" customHeight="1" x14ac:dyDescent="0.3">
      <c r="A2188" s="17" t="s">
        <v>1011</v>
      </c>
      <c r="B2188" s="50" t="str">
        <f>VLOOKUP(A2188,'Sales Order'!A$2:B$1029,1,0)</f>
        <v>SO0773</v>
      </c>
      <c r="C2188" s="29" t="s">
        <v>35</v>
      </c>
      <c r="D2188" s="50" t="str">
        <f>VLOOKUP(C2188,Product!A$2:B$21,1,0)</f>
        <v>PD0005</v>
      </c>
      <c r="E2188" s="36">
        <v>91</v>
      </c>
      <c r="F2188" s="38">
        <v>187760300</v>
      </c>
      <c r="G2188" s="39" t="s">
        <v>4562</v>
      </c>
      <c r="H2188" s="12"/>
      <c r="L2188" s="12"/>
    </row>
    <row r="2189" spans="1:12" ht="15.75" customHeight="1" x14ac:dyDescent="0.3">
      <c r="A2189" s="29" t="s">
        <v>1011</v>
      </c>
      <c r="B2189" s="50" t="str">
        <f>VLOOKUP(A2189,'Sales Order'!A$2:B$1029,1,0)</f>
        <v>SO0773</v>
      </c>
      <c r="C2189" s="29" t="s">
        <v>40</v>
      </c>
      <c r="D2189" s="50" t="str">
        <f>VLOOKUP(C2189,Product!A$2:B$21,1,0)</f>
        <v>PD0006</v>
      </c>
      <c r="E2189" s="36">
        <v>93</v>
      </c>
      <c r="F2189" s="38">
        <v>17493300</v>
      </c>
      <c r="G2189" s="39" t="s">
        <v>4563</v>
      </c>
      <c r="H2189" s="12"/>
      <c r="L2189" s="12"/>
    </row>
    <row r="2190" spans="1:12" ht="15.75" customHeight="1" x14ac:dyDescent="0.3">
      <c r="A2190" s="29" t="s">
        <v>1011</v>
      </c>
      <c r="B2190" s="50" t="str">
        <f>VLOOKUP(A2190,'Sales Order'!A$2:B$1029,1,0)</f>
        <v>SO0773</v>
      </c>
      <c r="C2190" s="29" t="s">
        <v>81</v>
      </c>
      <c r="D2190" s="50" t="str">
        <f>VLOOKUP(C2190,Product!A$2:B$21,1,0)</f>
        <v>PD0019</v>
      </c>
      <c r="E2190" s="36">
        <v>56</v>
      </c>
      <c r="F2190" s="38">
        <v>117050080.00000001</v>
      </c>
      <c r="G2190" s="39" t="s">
        <v>4564</v>
      </c>
      <c r="H2190" s="12"/>
      <c r="L2190" s="12"/>
    </row>
    <row r="2191" spans="1:12" ht="15.75" customHeight="1" x14ac:dyDescent="0.3">
      <c r="A2191" s="29" t="s">
        <v>1011</v>
      </c>
      <c r="B2191" s="50" t="str">
        <f>VLOOKUP(A2191,'Sales Order'!A$2:B$1029,1,0)</f>
        <v>SO0773</v>
      </c>
      <c r="C2191" s="29" t="s">
        <v>83</v>
      </c>
      <c r="D2191" s="50" t="str">
        <f>VLOOKUP(C2191,Product!A$2:B$21,1,0)</f>
        <v>PD0020</v>
      </c>
      <c r="E2191" s="36">
        <v>102</v>
      </c>
      <c r="F2191" s="38">
        <v>27503280</v>
      </c>
      <c r="G2191" s="39" t="s">
        <v>4565</v>
      </c>
      <c r="H2191" s="12"/>
      <c r="L2191" s="12"/>
    </row>
    <row r="2192" spans="1:12" ht="15.75" customHeight="1" x14ac:dyDescent="0.3">
      <c r="A2192" s="17" t="s">
        <v>1012</v>
      </c>
      <c r="B2192" s="50" t="str">
        <f>VLOOKUP(A2192,'Sales Order'!A$2:B$1029,1,0)</f>
        <v>SO0774</v>
      </c>
      <c r="C2192" s="29" t="s">
        <v>45</v>
      </c>
      <c r="D2192" s="50" t="str">
        <f>VLOOKUP(C2192,Product!A$2:B$21,1,0)</f>
        <v>PD0008</v>
      </c>
      <c r="E2192" s="36">
        <v>35</v>
      </c>
      <c r="F2192" s="38">
        <v>4067700</v>
      </c>
      <c r="G2192" s="39" t="s">
        <v>4566</v>
      </c>
      <c r="H2192" s="12"/>
      <c r="L2192" s="12"/>
    </row>
    <row r="2193" spans="1:12" ht="15.75" customHeight="1" x14ac:dyDescent="0.3">
      <c r="A2193" s="29" t="s">
        <v>1013</v>
      </c>
      <c r="B2193" s="50" t="str">
        <f>VLOOKUP(A2193,'Sales Order'!A$2:B$1029,1,0)</f>
        <v>SO0775</v>
      </c>
      <c r="C2193" s="29" t="s">
        <v>65</v>
      </c>
      <c r="D2193" s="50" t="str">
        <f>VLOOKUP(C2193,Product!A$2:B$21,1,0)</f>
        <v>PD0014</v>
      </c>
      <c r="E2193" s="36">
        <v>96</v>
      </c>
      <c r="F2193" s="38">
        <v>23581440</v>
      </c>
      <c r="G2193" s="39" t="s">
        <v>4567</v>
      </c>
      <c r="H2193" s="12"/>
      <c r="L2193" s="12"/>
    </row>
    <row r="2194" spans="1:12" ht="15.75" customHeight="1" x14ac:dyDescent="0.3">
      <c r="A2194" s="17" t="s">
        <v>1014</v>
      </c>
      <c r="B2194" s="50" t="str">
        <f>VLOOKUP(A2194,'Sales Order'!A$2:B$1029,1,0)</f>
        <v>SO0776</v>
      </c>
      <c r="C2194" s="29" t="s">
        <v>35</v>
      </c>
      <c r="D2194" s="50" t="str">
        <f>VLOOKUP(C2194,Product!A$2:B$21,1,0)</f>
        <v>PD0005</v>
      </c>
      <c r="E2194" s="36">
        <v>61</v>
      </c>
      <c r="F2194" s="38">
        <v>101760200</v>
      </c>
      <c r="G2194" s="39" t="s">
        <v>4568</v>
      </c>
      <c r="H2194" s="12"/>
      <c r="L2194" s="12"/>
    </row>
    <row r="2195" spans="1:12" ht="15.75" customHeight="1" x14ac:dyDescent="0.3">
      <c r="A2195" s="17" t="s">
        <v>1015</v>
      </c>
      <c r="B2195" s="50" t="str">
        <f>VLOOKUP(A2195,'Sales Order'!A$2:B$1029,1,0)</f>
        <v>SO0777</v>
      </c>
      <c r="C2195" s="29" t="s">
        <v>25</v>
      </c>
      <c r="D2195" s="50" t="str">
        <f>VLOOKUP(C2195,Product!A$2:B$21,1,0)</f>
        <v>PD0002</v>
      </c>
      <c r="E2195" s="36">
        <v>126</v>
      </c>
      <c r="F2195" s="38">
        <v>2318400</v>
      </c>
      <c r="G2195" s="39" t="s">
        <v>4569</v>
      </c>
      <c r="H2195" s="12"/>
      <c r="L2195" s="12"/>
    </row>
    <row r="2196" spans="1:12" ht="15.75" customHeight="1" x14ac:dyDescent="0.3">
      <c r="A2196" s="29" t="s">
        <v>1015</v>
      </c>
      <c r="B2196" s="50" t="str">
        <f>VLOOKUP(A2196,'Sales Order'!A$2:B$1029,1,0)</f>
        <v>SO0777</v>
      </c>
      <c r="C2196" s="29" t="s">
        <v>83</v>
      </c>
      <c r="D2196" s="50" t="str">
        <f>VLOOKUP(C2196,Product!A$2:B$21,1,0)</f>
        <v>PD0020</v>
      </c>
      <c r="E2196" s="36">
        <v>68</v>
      </c>
      <c r="F2196" s="38">
        <v>17244120</v>
      </c>
      <c r="G2196" s="39" t="s">
        <v>4570</v>
      </c>
      <c r="H2196" s="12"/>
      <c r="L2196" s="12"/>
    </row>
    <row r="2197" spans="1:12" ht="15.75" customHeight="1" x14ac:dyDescent="0.3">
      <c r="A2197" s="29" t="s">
        <v>1015</v>
      </c>
      <c r="B2197" s="50" t="str">
        <f>VLOOKUP(A2197,'Sales Order'!A$2:B$1029,1,0)</f>
        <v>SO0777</v>
      </c>
      <c r="C2197" s="29" t="s">
        <v>48</v>
      </c>
      <c r="D2197" s="50" t="str">
        <f>VLOOKUP(C2197,Product!A$2:B$21,1,0)</f>
        <v>PD0009</v>
      </c>
      <c r="E2197" s="36">
        <v>124</v>
      </c>
      <c r="F2197" s="38">
        <v>13756560</v>
      </c>
      <c r="G2197" s="39" t="s">
        <v>4571</v>
      </c>
      <c r="H2197" s="12"/>
      <c r="L2197" s="12"/>
    </row>
    <row r="2198" spans="1:12" ht="15.75" customHeight="1" x14ac:dyDescent="0.3">
      <c r="A2198" s="17" t="s">
        <v>1016</v>
      </c>
      <c r="B2198" s="50" t="str">
        <f>VLOOKUP(A2198,'Sales Order'!A$2:B$1029,1,0)</f>
        <v>SO0778</v>
      </c>
      <c r="C2198" s="29" t="s">
        <v>81</v>
      </c>
      <c r="D2198" s="50" t="str">
        <f>VLOOKUP(C2198,Product!A$2:B$21,1,0)</f>
        <v>PD0019</v>
      </c>
      <c r="E2198" s="36">
        <v>143</v>
      </c>
      <c r="F2198" s="38">
        <v>335346440</v>
      </c>
      <c r="G2198" s="39" t="s">
        <v>4572</v>
      </c>
      <c r="H2198" s="12"/>
      <c r="L2198" s="12"/>
    </row>
    <row r="2199" spans="1:12" ht="15.75" customHeight="1" x14ac:dyDescent="0.3">
      <c r="A2199" s="29" t="s">
        <v>1016</v>
      </c>
      <c r="B2199" s="50" t="str">
        <f>VLOOKUP(A2199,'Sales Order'!A$2:B$1029,1,0)</f>
        <v>SO0778</v>
      </c>
      <c r="C2199" s="29" t="s">
        <v>25</v>
      </c>
      <c r="D2199" s="50" t="str">
        <f>VLOOKUP(C2199,Product!A$2:B$21,1,0)</f>
        <v>PD0002</v>
      </c>
      <c r="E2199" s="36">
        <v>93</v>
      </c>
      <c r="F2199" s="38">
        <v>1488000</v>
      </c>
      <c r="G2199" s="39" t="s">
        <v>4573</v>
      </c>
      <c r="H2199" s="12"/>
      <c r="L2199" s="12"/>
    </row>
    <row r="2200" spans="1:12" ht="15.75" customHeight="1" x14ac:dyDescent="0.3">
      <c r="A2200" s="29" t="s">
        <v>1016</v>
      </c>
      <c r="B2200" s="50" t="str">
        <f>VLOOKUP(A2200,'Sales Order'!A$2:B$1029,1,0)</f>
        <v>SO0778</v>
      </c>
      <c r="C2200" s="29" t="s">
        <v>28</v>
      </c>
      <c r="D2200" s="50" t="str">
        <f>VLOOKUP(C2200,Product!A$2:B$21,1,0)</f>
        <v>PD0003</v>
      </c>
      <c r="E2200" s="36">
        <v>105</v>
      </c>
      <c r="F2200" s="38">
        <v>88957050</v>
      </c>
      <c r="G2200" s="39" t="s">
        <v>4574</v>
      </c>
      <c r="H2200" s="12"/>
      <c r="L2200" s="12"/>
    </row>
    <row r="2201" spans="1:12" ht="15.75" customHeight="1" x14ac:dyDescent="0.3">
      <c r="A2201" s="29" t="s">
        <v>1016</v>
      </c>
      <c r="B2201" s="50" t="str">
        <f>VLOOKUP(A2201,'Sales Order'!A$2:B$1029,1,0)</f>
        <v>SO0778</v>
      </c>
      <c r="C2201" s="29" t="s">
        <v>69</v>
      </c>
      <c r="D2201" s="50" t="str">
        <f>VLOOKUP(C2201,Product!A$2:B$21,1,0)</f>
        <v>PD0015</v>
      </c>
      <c r="E2201" s="36">
        <v>115</v>
      </c>
      <c r="F2201" s="38">
        <v>14065650</v>
      </c>
      <c r="G2201" s="39" t="s">
        <v>4575</v>
      </c>
      <c r="H2201" s="12"/>
      <c r="L2201" s="12"/>
    </row>
    <row r="2202" spans="1:12" ht="15.75" customHeight="1" x14ac:dyDescent="0.3">
      <c r="A2202" s="29" t="s">
        <v>1016</v>
      </c>
      <c r="B2202" s="50" t="str">
        <f>VLOOKUP(A2202,'Sales Order'!A$2:B$1029,1,0)</f>
        <v>SO0778</v>
      </c>
      <c r="C2202" s="29" t="s">
        <v>78</v>
      </c>
      <c r="D2202" s="50" t="str">
        <f>VLOOKUP(C2202,Product!A$2:B$21,1,0)</f>
        <v>PD0018</v>
      </c>
      <c r="E2202" s="36">
        <v>117</v>
      </c>
      <c r="F2202" s="38">
        <v>56642040</v>
      </c>
      <c r="G2202" s="39" t="s">
        <v>4576</v>
      </c>
      <c r="H2202" s="12"/>
      <c r="L2202" s="12"/>
    </row>
    <row r="2203" spans="1:12" ht="15.75" customHeight="1" x14ac:dyDescent="0.3">
      <c r="A2203" s="29" t="s">
        <v>1017</v>
      </c>
      <c r="B2203" s="50" t="str">
        <f>VLOOKUP(A2203,'Sales Order'!A$2:B$1029,1,0)</f>
        <v>SO0779</v>
      </c>
      <c r="C2203" s="29" t="s">
        <v>25</v>
      </c>
      <c r="D2203" s="50" t="str">
        <f>VLOOKUP(C2203,Product!A$2:B$21,1,0)</f>
        <v>PD0002</v>
      </c>
      <c r="E2203" s="36">
        <v>64</v>
      </c>
      <c r="F2203" s="38">
        <v>1062400</v>
      </c>
      <c r="G2203" s="39" t="s">
        <v>4577</v>
      </c>
      <c r="H2203" s="12"/>
      <c r="L2203" s="12"/>
    </row>
    <row r="2204" spans="1:12" ht="15.75" customHeight="1" x14ac:dyDescent="0.3">
      <c r="A2204" s="29" t="s">
        <v>1017</v>
      </c>
      <c r="B2204" s="50" t="str">
        <f>VLOOKUP(A2204,'Sales Order'!A$2:B$1029,1,0)</f>
        <v>SO0779</v>
      </c>
      <c r="C2204" s="29" t="s">
        <v>72</v>
      </c>
      <c r="D2204" s="50" t="str">
        <f>VLOOKUP(C2204,Product!A$2:B$21,1,0)</f>
        <v>PD0016</v>
      </c>
      <c r="E2204" s="36">
        <v>134</v>
      </c>
      <c r="F2204" s="38">
        <v>28264620</v>
      </c>
      <c r="G2204" s="39" t="s">
        <v>4578</v>
      </c>
      <c r="H2204" s="12"/>
      <c r="L2204" s="12"/>
    </row>
    <row r="2205" spans="1:12" ht="15.75" customHeight="1" x14ac:dyDescent="0.3">
      <c r="A2205" s="29" t="s">
        <v>1017</v>
      </c>
      <c r="B2205" s="50" t="str">
        <f>VLOOKUP(A2205,'Sales Order'!A$2:B$1029,1,0)</f>
        <v>SO0779</v>
      </c>
      <c r="C2205" s="29" t="s">
        <v>33</v>
      </c>
      <c r="D2205" s="50" t="str">
        <f>VLOOKUP(C2205,Product!A$2:B$21,1,0)</f>
        <v>PD0004</v>
      </c>
      <c r="E2205" s="36">
        <v>94</v>
      </c>
      <c r="F2205" s="38">
        <v>19439200</v>
      </c>
      <c r="G2205" s="39" t="s">
        <v>4579</v>
      </c>
      <c r="H2205" s="12"/>
      <c r="L2205" s="12"/>
    </row>
    <row r="2206" spans="1:12" ht="15.75" customHeight="1" x14ac:dyDescent="0.3">
      <c r="A2206" s="29" t="s">
        <v>1017</v>
      </c>
      <c r="B2206" s="50" t="str">
        <f>VLOOKUP(A2206,'Sales Order'!A$2:B$1029,1,0)</f>
        <v>SO0779</v>
      </c>
      <c r="C2206" s="29" t="s">
        <v>69</v>
      </c>
      <c r="D2206" s="50" t="str">
        <f>VLOOKUP(C2206,Product!A$2:B$21,1,0)</f>
        <v>PD0015</v>
      </c>
      <c r="E2206" s="36">
        <v>142</v>
      </c>
      <c r="F2206" s="38">
        <v>15052284</v>
      </c>
      <c r="G2206" s="39" t="s">
        <v>4580</v>
      </c>
      <c r="H2206" s="12"/>
      <c r="L2206" s="12"/>
    </row>
    <row r="2207" spans="1:12" ht="15.75" customHeight="1" x14ac:dyDescent="0.3">
      <c r="A2207" s="17" t="s">
        <v>1018</v>
      </c>
      <c r="B2207" s="50" t="str">
        <f>VLOOKUP(A2207,'Sales Order'!A$2:B$1029,1,0)</f>
        <v>SO0780</v>
      </c>
      <c r="C2207" s="29" t="s">
        <v>28</v>
      </c>
      <c r="D2207" s="50" t="str">
        <f>VLOOKUP(C2207,Product!A$2:B$21,1,0)</f>
        <v>PD0003</v>
      </c>
      <c r="E2207" s="36">
        <v>72</v>
      </c>
      <c r="F2207" s="38">
        <v>51614640</v>
      </c>
      <c r="G2207" s="39" t="s">
        <v>4581</v>
      </c>
      <c r="H2207" s="12"/>
      <c r="L2207" s="12"/>
    </row>
    <row r="2208" spans="1:12" ht="15.75" customHeight="1" x14ac:dyDescent="0.3">
      <c r="A2208" s="29" t="s">
        <v>1018</v>
      </c>
      <c r="B2208" s="50" t="str">
        <f>VLOOKUP(A2208,'Sales Order'!A$2:B$1029,1,0)</f>
        <v>SO0780</v>
      </c>
      <c r="C2208" s="29" t="s">
        <v>83</v>
      </c>
      <c r="D2208" s="50" t="str">
        <f>VLOOKUP(C2208,Product!A$2:B$21,1,0)</f>
        <v>PD0020</v>
      </c>
      <c r="E2208" s="36">
        <v>84</v>
      </c>
      <c r="F2208" s="38">
        <v>21840840</v>
      </c>
      <c r="G2208" s="39" t="s">
        <v>4582</v>
      </c>
      <c r="H2208" s="12"/>
      <c r="L2208" s="12"/>
    </row>
    <row r="2209" spans="1:12" ht="15.75" customHeight="1" x14ac:dyDescent="0.3">
      <c r="A2209" s="29" t="s">
        <v>1018</v>
      </c>
      <c r="B2209" s="50" t="str">
        <f>VLOOKUP(A2209,'Sales Order'!A$2:B$1029,1,0)</f>
        <v>SO0780</v>
      </c>
      <c r="C2209" s="29" t="s">
        <v>61</v>
      </c>
      <c r="D2209" s="50" t="str">
        <f>VLOOKUP(C2209,Product!A$2:B$21,1,0)</f>
        <v>PD0013</v>
      </c>
      <c r="E2209" s="36">
        <v>74</v>
      </c>
      <c r="F2209" s="38">
        <v>28356800</v>
      </c>
      <c r="G2209" s="39" t="s">
        <v>4583</v>
      </c>
      <c r="H2209" s="12"/>
      <c r="L2209" s="12"/>
    </row>
    <row r="2210" spans="1:12" ht="15.75" customHeight="1" x14ac:dyDescent="0.3">
      <c r="A2210" s="29" t="s">
        <v>1018</v>
      </c>
      <c r="B2210" s="50" t="str">
        <f>VLOOKUP(A2210,'Sales Order'!A$2:B$1029,1,0)</f>
        <v>SO0780</v>
      </c>
      <c r="C2210" s="29" t="s">
        <v>52</v>
      </c>
      <c r="D2210" s="50" t="str">
        <f>VLOOKUP(C2210,Product!A$2:B$21,1,0)</f>
        <v>PD0010</v>
      </c>
      <c r="E2210" s="36">
        <v>85</v>
      </c>
      <c r="F2210" s="38">
        <v>21271250</v>
      </c>
      <c r="G2210" s="39" t="s">
        <v>4584</v>
      </c>
      <c r="H2210" s="12"/>
      <c r="L2210" s="12"/>
    </row>
    <row r="2211" spans="1:12" ht="15.75" customHeight="1" x14ac:dyDescent="0.3">
      <c r="A2211" s="17" t="s">
        <v>1019</v>
      </c>
      <c r="B2211" s="50" t="str">
        <f>VLOOKUP(A2211,'Sales Order'!A$2:B$1029,1,0)</f>
        <v>SO0781</v>
      </c>
      <c r="C2211" s="29" t="s">
        <v>55</v>
      </c>
      <c r="D2211" s="50" t="str">
        <f>VLOOKUP(C2211,Product!A$2:B$21,1,0)</f>
        <v>PD0011</v>
      </c>
      <c r="E2211" s="36">
        <v>39</v>
      </c>
      <c r="F2211" s="38">
        <v>80960880</v>
      </c>
      <c r="G2211" s="39" t="s">
        <v>4585</v>
      </c>
      <c r="H2211" s="12"/>
      <c r="L2211" s="12"/>
    </row>
    <row r="2212" spans="1:12" ht="15.75" customHeight="1" x14ac:dyDescent="0.3">
      <c r="A2212" s="29" t="s">
        <v>1019</v>
      </c>
      <c r="B2212" s="50" t="str">
        <f>VLOOKUP(A2212,'Sales Order'!A$2:B$1029,1,0)</f>
        <v>SO0781</v>
      </c>
      <c r="C2212" s="29" t="s">
        <v>83</v>
      </c>
      <c r="D2212" s="50" t="str">
        <f>VLOOKUP(C2212,Product!A$2:B$21,1,0)</f>
        <v>PD0020</v>
      </c>
      <c r="E2212" s="36">
        <v>92</v>
      </c>
      <c r="F2212" s="38">
        <v>22149000</v>
      </c>
      <c r="G2212" s="39" t="s">
        <v>4586</v>
      </c>
      <c r="H2212" s="12"/>
      <c r="L2212" s="12"/>
    </row>
    <row r="2213" spans="1:12" ht="15.75" customHeight="1" x14ac:dyDescent="0.3">
      <c r="A2213" s="29" t="s">
        <v>1019</v>
      </c>
      <c r="B2213" s="50" t="str">
        <f>VLOOKUP(A2213,'Sales Order'!A$2:B$1029,1,0)</f>
        <v>SO0781</v>
      </c>
      <c r="C2213" s="29" t="s">
        <v>28</v>
      </c>
      <c r="D2213" s="50" t="str">
        <f>VLOOKUP(C2213,Product!A$2:B$21,1,0)</f>
        <v>PD0003</v>
      </c>
      <c r="E2213" s="36">
        <v>104</v>
      </c>
      <c r="F2213" s="38">
        <v>83268640</v>
      </c>
      <c r="G2213" s="39" t="s">
        <v>4587</v>
      </c>
      <c r="H2213" s="12"/>
      <c r="L2213" s="12"/>
    </row>
    <row r="2214" spans="1:12" ht="15.75" customHeight="1" x14ac:dyDescent="0.3">
      <c r="A2214" s="17" t="s">
        <v>1020</v>
      </c>
      <c r="B2214" s="50" t="str">
        <f>VLOOKUP(A2214,'Sales Order'!A$2:B$1029,1,0)</f>
        <v>SO0782</v>
      </c>
      <c r="C2214" s="29" t="s">
        <v>75</v>
      </c>
      <c r="D2214" s="50" t="str">
        <f>VLOOKUP(C2214,Product!A$2:B$21,1,0)</f>
        <v>PD0017</v>
      </c>
      <c r="E2214" s="36">
        <v>26</v>
      </c>
      <c r="F2214" s="38">
        <v>51675000</v>
      </c>
      <c r="G2214" s="39" t="s">
        <v>4588</v>
      </c>
      <c r="H2214" s="12"/>
      <c r="L2214" s="12"/>
    </row>
    <row r="2215" spans="1:12" ht="15.75" customHeight="1" x14ac:dyDescent="0.3">
      <c r="A2215" s="29" t="s">
        <v>1020</v>
      </c>
      <c r="B2215" s="50" t="str">
        <f>VLOOKUP(A2215,'Sales Order'!A$2:B$1029,1,0)</f>
        <v>SO0782</v>
      </c>
      <c r="C2215" s="29" t="s">
        <v>35</v>
      </c>
      <c r="D2215" s="50" t="str">
        <f>VLOOKUP(C2215,Product!A$2:B$21,1,0)</f>
        <v>PD0005</v>
      </c>
      <c r="E2215" s="36">
        <v>145</v>
      </c>
      <c r="F2215" s="38">
        <v>241889000</v>
      </c>
      <c r="G2215" s="39" t="s">
        <v>4589</v>
      </c>
      <c r="H2215" s="12"/>
      <c r="L2215" s="12"/>
    </row>
    <row r="2216" spans="1:12" ht="15.75" customHeight="1" x14ac:dyDescent="0.3">
      <c r="A2216" s="29" t="s">
        <v>1020</v>
      </c>
      <c r="B2216" s="50" t="str">
        <f>VLOOKUP(A2216,'Sales Order'!A$2:B$1029,1,0)</f>
        <v>SO0782</v>
      </c>
      <c r="C2216" s="29" t="s">
        <v>55</v>
      </c>
      <c r="D2216" s="50" t="str">
        <f>VLOOKUP(C2216,Product!A$2:B$21,1,0)</f>
        <v>PD0011</v>
      </c>
      <c r="E2216" s="36">
        <v>60</v>
      </c>
      <c r="F2216" s="38">
        <v>125970600</v>
      </c>
      <c r="G2216" s="39" t="s">
        <v>4590</v>
      </c>
      <c r="H2216" s="12"/>
      <c r="L2216" s="12"/>
    </row>
    <row r="2217" spans="1:12" ht="15.75" customHeight="1" x14ac:dyDescent="0.3">
      <c r="A2217" s="29" t="s">
        <v>1020</v>
      </c>
      <c r="B2217" s="50" t="str">
        <f>VLOOKUP(A2217,'Sales Order'!A$2:B$1029,1,0)</f>
        <v>SO0782</v>
      </c>
      <c r="C2217" s="29" t="s">
        <v>65</v>
      </c>
      <c r="D2217" s="50" t="str">
        <f>VLOOKUP(C2217,Product!A$2:B$21,1,0)</f>
        <v>PD0014</v>
      </c>
      <c r="E2217" s="36">
        <v>109</v>
      </c>
      <c r="F2217" s="38">
        <v>22991370</v>
      </c>
      <c r="G2217" s="39" t="s">
        <v>4591</v>
      </c>
      <c r="H2217" s="12"/>
      <c r="L2217" s="12"/>
    </row>
    <row r="2218" spans="1:12" ht="15.75" customHeight="1" x14ac:dyDescent="0.3">
      <c r="A2218" s="17" t="s">
        <v>1021</v>
      </c>
      <c r="B2218" s="50" t="str">
        <f>VLOOKUP(A2218,'Sales Order'!A$2:B$1029,1,0)</f>
        <v>SO0783</v>
      </c>
      <c r="C2218" s="29" t="s">
        <v>33</v>
      </c>
      <c r="D2218" s="50" t="str">
        <f>VLOOKUP(C2218,Product!A$2:B$21,1,0)</f>
        <v>PD0004</v>
      </c>
      <c r="E2218" s="36">
        <v>33</v>
      </c>
      <c r="F2218" s="38">
        <v>5808000</v>
      </c>
      <c r="G2218" s="39" t="s">
        <v>4592</v>
      </c>
      <c r="H2218" s="12"/>
      <c r="L2218" s="12"/>
    </row>
    <row r="2219" spans="1:12" ht="15.75" customHeight="1" x14ac:dyDescent="0.3">
      <c r="A2219" s="29" t="s">
        <v>1021</v>
      </c>
      <c r="B2219" s="50" t="str">
        <f>VLOOKUP(A2219,'Sales Order'!A$2:B$1029,1,0)</f>
        <v>SO0783</v>
      </c>
      <c r="C2219" s="29" t="s">
        <v>58</v>
      </c>
      <c r="D2219" s="50" t="str">
        <f>VLOOKUP(C2219,Product!A$2:B$21,1,0)</f>
        <v>PD0012</v>
      </c>
      <c r="E2219" s="36">
        <v>150</v>
      </c>
      <c r="F2219" s="38">
        <v>795099000</v>
      </c>
      <c r="G2219" s="39" t="s">
        <v>4593</v>
      </c>
      <c r="H2219" s="12"/>
      <c r="L2219" s="12"/>
    </row>
    <row r="2220" spans="1:12" ht="15.75" customHeight="1" x14ac:dyDescent="0.3">
      <c r="A2220" s="17" t="s">
        <v>1022</v>
      </c>
      <c r="B2220" s="50" t="str">
        <f>VLOOKUP(A2220,'Sales Order'!A$2:B$1029,1,0)</f>
        <v>SO0784</v>
      </c>
      <c r="C2220" s="29" t="s">
        <v>35</v>
      </c>
      <c r="D2220" s="50" t="str">
        <f>VLOOKUP(C2220,Product!A$2:B$21,1,0)</f>
        <v>PD0005</v>
      </c>
      <c r="E2220" s="36">
        <v>127</v>
      </c>
      <c r="F2220" s="38">
        <v>209073750</v>
      </c>
      <c r="G2220" s="39" t="s">
        <v>4594</v>
      </c>
      <c r="H2220" s="12"/>
      <c r="L2220" s="12"/>
    </row>
    <row r="2221" spans="1:12" ht="15.75" customHeight="1" x14ac:dyDescent="0.3">
      <c r="A2221" s="29" t="s">
        <v>1022</v>
      </c>
      <c r="B2221" s="50" t="str">
        <f>VLOOKUP(A2221,'Sales Order'!A$2:B$1029,1,0)</f>
        <v>SO0784</v>
      </c>
      <c r="C2221" s="29" t="s">
        <v>78</v>
      </c>
      <c r="D2221" s="50" t="str">
        <f>VLOOKUP(C2221,Product!A$2:B$21,1,0)</f>
        <v>PD0018</v>
      </c>
      <c r="E2221" s="36">
        <v>72</v>
      </c>
      <c r="F2221" s="38">
        <v>31026240.000000004</v>
      </c>
      <c r="G2221" s="39" t="s">
        <v>4595</v>
      </c>
      <c r="H2221" s="12"/>
      <c r="L2221" s="12"/>
    </row>
    <row r="2222" spans="1:12" ht="15.75" customHeight="1" x14ac:dyDescent="0.3">
      <c r="A2222" s="29" t="s">
        <v>1022</v>
      </c>
      <c r="B2222" s="50" t="str">
        <f>VLOOKUP(A2222,'Sales Order'!A$2:B$1029,1,0)</f>
        <v>SO0784</v>
      </c>
      <c r="C2222" s="29" t="s">
        <v>72</v>
      </c>
      <c r="D2222" s="50" t="str">
        <f>VLOOKUP(C2222,Product!A$2:B$21,1,0)</f>
        <v>PD0016</v>
      </c>
      <c r="E2222" s="36">
        <v>117</v>
      </c>
      <c r="F2222" s="38">
        <v>28115100</v>
      </c>
      <c r="G2222" s="39" t="s">
        <v>4596</v>
      </c>
      <c r="H2222" s="12"/>
      <c r="L2222" s="12"/>
    </row>
    <row r="2223" spans="1:12" ht="15.75" customHeight="1" x14ac:dyDescent="0.3">
      <c r="A2223" s="17" t="s">
        <v>1023</v>
      </c>
      <c r="B2223" s="50" t="str">
        <f>VLOOKUP(A2223,'Sales Order'!A$2:B$1029,1,0)</f>
        <v>SO0785</v>
      </c>
      <c r="C2223" s="29" t="s">
        <v>52</v>
      </c>
      <c r="D2223" s="50" t="str">
        <f>VLOOKUP(C2223,Product!A$2:B$21,1,0)</f>
        <v>PD0010</v>
      </c>
      <c r="E2223" s="36">
        <v>88</v>
      </c>
      <c r="F2223" s="38">
        <v>21450000</v>
      </c>
      <c r="G2223" s="39" t="s">
        <v>4597</v>
      </c>
      <c r="H2223" s="12"/>
      <c r="L2223" s="12"/>
    </row>
    <row r="2224" spans="1:12" ht="15.75" customHeight="1" x14ac:dyDescent="0.3">
      <c r="A2224" s="29" t="s">
        <v>1023</v>
      </c>
      <c r="B2224" s="50" t="str">
        <f>VLOOKUP(A2224,'Sales Order'!A$2:B$1029,1,0)</f>
        <v>SO0785</v>
      </c>
      <c r="C2224" s="29" t="s">
        <v>25</v>
      </c>
      <c r="D2224" s="50" t="str">
        <f>VLOOKUP(C2224,Product!A$2:B$21,1,0)</f>
        <v>PD0002</v>
      </c>
      <c r="E2224" s="36">
        <v>36</v>
      </c>
      <c r="F2224" s="38">
        <v>590400</v>
      </c>
      <c r="G2224" s="39" t="s">
        <v>4598</v>
      </c>
      <c r="H2224" s="12"/>
      <c r="L2224" s="12"/>
    </row>
    <row r="2225" spans="1:12" ht="15.75" customHeight="1" x14ac:dyDescent="0.3">
      <c r="A2225" s="17" t="s">
        <v>1024</v>
      </c>
      <c r="B2225" s="50" t="str">
        <f>VLOOKUP(A2225,'Sales Order'!A$2:B$1029,1,0)</f>
        <v>SO0786</v>
      </c>
      <c r="C2225" s="29" t="s">
        <v>43</v>
      </c>
      <c r="D2225" s="50" t="str">
        <f>VLOOKUP(C2225,Product!A$2:B$21,1,0)</f>
        <v>PD0007</v>
      </c>
      <c r="E2225" s="36">
        <v>25</v>
      </c>
      <c r="F2225" s="38">
        <v>69600000</v>
      </c>
      <c r="G2225" s="39" t="s">
        <v>4599</v>
      </c>
      <c r="H2225" s="12"/>
      <c r="L2225" s="12"/>
    </row>
    <row r="2226" spans="1:12" ht="15.75" customHeight="1" x14ac:dyDescent="0.3">
      <c r="A2226" s="29" t="s">
        <v>1024</v>
      </c>
      <c r="B2226" s="50" t="str">
        <f>VLOOKUP(A2226,'Sales Order'!A$2:B$1029,1,0)</f>
        <v>SO0786</v>
      </c>
      <c r="C2226" s="29" t="s">
        <v>25</v>
      </c>
      <c r="D2226" s="50" t="str">
        <f>VLOOKUP(C2226,Product!A$2:B$21,1,0)</f>
        <v>PD0002</v>
      </c>
      <c r="E2226" s="36">
        <v>66</v>
      </c>
      <c r="F2226" s="38">
        <v>1029600</v>
      </c>
      <c r="G2226" s="39" t="s">
        <v>4600</v>
      </c>
      <c r="H2226" s="12"/>
      <c r="L2226" s="12"/>
    </row>
    <row r="2227" spans="1:12" ht="15.75" customHeight="1" x14ac:dyDescent="0.3">
      <c r="A2227" s="17" t="s">
        <v>1025</v>
      </c>
      <c r="B2227" s="50" t="str">
        <f>VLOOKUP(A2227,'Sales Order'!A$2:B$1029,1,0)</f>
        <v>SO0787</v>
      </c>
      <c r="C2227" s="29" t="s">
        <v>65</v>
      </c>
      <c r="D2227" s="50" t="str">
        <f>VLOOKUP(C2227,Product!A$2:B$21,1,0)</f>
        <v>PD0014</v>
      </c>
      <c r="E2227" s="36">
        <v>129</v>
      </c>
      <c r="F2227" s="38">
        <v>31687560</v>
      </c>
      <c r="G2227" s="39" t="s">
        <v>4601</v>
      </c>
      <c r="H2227" s="12"/>
      <c r="L2227" s="12"/>
    </row>
    <row r="2228" spans="1:12" ht="15.75" customHeight="1" x14ac:dyDescent="0.3">
      <c r="A2228" s="29" t="s">
        <v>1025</v>
      </c>
      <c r="B2228" s="50" t="str">
        <f>VLOOKUP(A2228,'Sales Order'!A$2:B$1029,1,0)</f>
        <v>SO0787</v>
      </c>
      <c r="C2228" s="29" t="s">
        <v>35</v>
      </c>
      <c r="D2228" s="50" t="str">
        <f>VLOOKUP(C2228,Product!A$2:B$21,1,0)</f>
        <v>PD0005</v>
      </c>
      <c r="E2228" s="36">
        <v>42</v>
      </c>
      <c r="F2228" s="38">
        <v>77439600</v>
      </c>
      <c r="G2228" s="39" t="s">
        <v>4602</v>
      </c>
      <c r="H2228" s="12"/>
      <c r="L2228" s="12"/>
    </row>
    <row r="2229" spans="1:12" ht="15.75" customHeight="1" x14ac:dyDescent="0.3">
      <c r="A2229" s="29" t="s">
        <v>1025</v>
      </c>
      <c r="B2229" s="50" t="str">
        <f>VLOOKUP(A2229,'Sales Order'!A$2:B$1029,1,0)</f>
        <v>SO0787</v>
      </c>
      <c r="C2229" s="29" t="s">
        <v>72</v>
      </c>
      <c r="D2229" s="50" t="str">
        <f>VLOOKUP(C2229,Product!A$2:B$21,1,0)</f>
        <v>PD0016</v>
      </c>
      <c r="E2229" s="36">
        <v>90</v>
      </c>
      <c r="F2229" s="38">
        <v>19704600</v>
      </c>
      <c r="G2229" s="39" t="s">
        <v>4603</v>
      </c>
      <c r="H2229" s="12"/>
      <c r="L2229" s="12"/>
    </row>
    <row r="2230" spans="1:12" ht="15.75" customHeight="1" x14ac:dyDescent="0.3">
      <c r="A2230" s="17" t="s">
        <v>1026</v>
      </c>
      <c r="B2230" s="50" t="str">
        <f>VLOOKUP(A2230,'Sales Order'!A$2:B$1029,1,0)</f>
        <v>SO0788</v>
      </c>
      <c r="C2230" s="29" t="s">
        <v>28</v>
      </c>
      <c r="D2230" s="50" t="str">
        <f>VLOOKUP(C2230,Product!A$2:B$21,1,0)</f>
        <v>PD0003</v>
      </c>
      <c r="E2230" s="36">
        <v>34</v>
      </c>
      <c r="F2230" s="38">
        <v>24690120</v>
      </c>
      <c r="G2230" s="39" t="s">
        <v>4604</v>
      </c>
      <c r="H2230" s="12"/>
      <c r="L2230" s="12"/>
    </row>
    <row r="2231" spans="1:12" ht="15.75" customHeight="1" x14ac:dyDescent="0.3">
      <c r="A2231" s="29" t="s">
        <v>1026</v>
      </c>
      <c r="B2231" s="50" t="str">
        <f>VLOOKUP(A2231,'Sales Order'!A$2:B$1029,1,0)</f>
        <v>SO0788</v>
      </c>
      <c r="C2231" s="29" t="s">
        <v>75</v>
      </c>
      <c r="D2231" s="50" t="str">
        <f>VLOOKUP(C2231,Product!A$2:B$21,1,0)</f>
        <v>PD0017</v>
      </c>
      <c r="E2231" s="36">
        <v>75</v>
      </c>
      <c r="F2231" s="38">
        <v>174900000</v>
      </c>
      <c r="G2231" s="39" t="s">
        <v>4605</v>
      </c>
      <c r="H2231" s="12"/>
      <c r="L2231" s="12"/>
    </row>
    <row r="2232" spans="1:12" ht="15.75" customHeight="1" x14ac:dyDescent="0.3">
      <c r="A2232" s="29" t="s">
        <v>1026</v>
      </c>
      <c r="B2232" s="50" t="str">
        <f>VLOOKUP(A2232,'Sales Order'!A$2:B$1029,1,0)</f>
        <v>SO0788</v>
      </c>
      <c r="C2232" s="29" t="s">
        <v>40</v>
      </c>
      <c r="D2232" s="50" t="str">
        <f>VLOOKUP(C2232,Product!A$2:B$21,1,0)</f>
        <v>PD0006</v>
      </c>
      <c r="E2232" s="36">
        <v>105</v>
      </c>
      <c r="F2232" s="38">
        <v>18433800</v>
      </c>
      <c r="G2232" s="39" t="s">
        <v>4606</v>
      </c>
      <c r="H2232" s="12"/>
      <c r="L2232" s="12"/>
    </row>
    <row r="2233" spans="1:12" ht="15.75" customHeight="1" x14ac:dyDescent="0.3">
      <c r="A2233" s="29" t="s">
        <v>1026</v>
      </c>
      <c r="B2233" s="50" t="str">
        <f>VLOOKUP(A2233,'Sales Order'!A$2:B$1029,1,0)</f>
        <v>SO0788</v>
      </c>
      <c r="C2233" s="29" t="s">
        <v>52</v>
      </c>
      <c r="D2233" s="50" t="str">
        <f>VLOOKUP(C2233,Product!A$2:B$21,1,0)</f>
        <v>PD0010</v>
      </c>
      <c r="E2233" s="36">
        <v>103</v>
      </c>
      <c r="F2233" s="38">
        <v>26780000</v>
      </c>
      <c r="G2233" s="39" t="s">
        <v>4607</v>
      </c>
      <c r="H2233" s="12"/>
      <c r="L2233" s="12"/>
    </row>
    <row r="2234" spans="1:12" ht="15.75" customHeight="1" x14ac:dyDescent="0.3">
      <c r="A2234" s="17" t="s">
        <v>1027</v>
      </c>
      <c r="B2234" s="50" t="str">
        <f>VLOOKUP(A2234,'Sales Order'!A$2:B$1029,1,0)</f>
        <v>SO0789</v>
      </c>
      <c r="C2234" s="29" t="s">
        <v>55</v>
      </c>
      <c r="D2234" s="50" t="str">
        <f>VLOOKUP(C2234,Product!A$2:B$21,1,0)</f>
        <v>PD0011</v>
      </c>
      <c r="E2234" s="36">
        <v>108</v>
      </c>
      <c r="F2234" s="38">
        <v>221651640</v>
      </c>
      <c r="G2234" s="39" t="s">
        <v>4608</v>
      </c>
      <c r="H2234" s="12"/>
      <c r="L2234" s="12"/>
    </row>
    <row r="2235" spans="1:12" ht="15.75" customHeight="1" x14ac:dyDescent="0.3">
      <c r="A2235" s="29" t="s">
        <v>1027</v>
      </c>
      <c r="B2235" s="50" t="str">
        <f>VLOOKUP(A2235,'Sales Order'!A$2:B$1029,1,0)</f>
        <v>SO0789</v>
      </c>
      <c r="C2235" s="29" t="s">
        <v>72</v>
      </c>
      <c r="D2235" s="50" t="str">
        <f>VLOOKUP(C2235,Product!A$2:B$21,1,0)</f>
        <v>PD0016</v>
      </c>
      <c r="E2235" s="36">
        <v>112</v>
      </c>
      <c r="F2235" s="38">
        <v>22428000</v>
      </c>
      <c r="G2235" s="39" t="s">
        <v>4609</v>
      </c>
      <c r="H2235" s="12"/>
      <c r="L2235" s="12"/>
    </row>
    <row r="2236" spans="1:12" ht="15.75" customHeight="1" x14ac:dyDescent="0.3">
      <c r="A2236" s="29" t="s">
        <v>1027</v>
      </c>
      <c r="B2236" s="50" t="str">
        <f>VLOOKUP(A2236,'Sales Order'!A$2:B$1029,1,0)</f>
        <v>SO0789</v>
      </c>
      <c r="C2236" s="29" t="s">
        <v>52</v>
      </c>
      <c r="D2236" s="50" t="str">
        <f>VLOOKUP(C2236,Product!A$2:B$21,1,0)</f>
        <v>PD0010</v>
      </c>
      <c r="E2236" s="36">
        <v>51</v>
      </c>
      <c r="F2236" s="38">
        <v>14917500</v>
      </c>
      <c r="G2236" s="39" t="s">
        <v>4610</v>
      </c>
      <c r="H2236" s="12"/>
      <c r="L2236" s="12"/>
    </row>
    <row r="2237" spans="1:12" ht="15.75" customHeight="1" x14ac:dyDescent="0.3">
      <c r="A2237" s="17" t="s">
        <v>1028</v>
      </c>
      <c r="B2237" s="50" t="str">
        <f>VLOOKUP(A2237,'Sales Order'!A$2:B$1029,1,0)</f>
        <v>SO0790</v>
      </c>
      <c r="C2237" s="29" t="s">
        <v>58</v>
      </c>
      <c r="D2237" s="50" t="str">
        <f>VLOOKUP(C2237,Product!A$2:B$21,1,0)</f>
        <v>PD0012</v>
      </c>
      <c r="E2237" s="36">
        <v>113</v>
      </c>
      <c r="F2237" s="38">
        <v>528881810</v>
      </c>
      <c r="G2237" s="39" t="s">
        <v>4611</v>
      </c>
      <c r="H2237" s="12"/>
      <c r="L2237" s="12"/>
    </row>
    <row r="2238" spans="1:12" ht="15.75" customHeight="1" x14ac:dyDescent="0.3">
      <c r="A2238" s="29" t="s">
        <v>1028</v>
      </c>
      <c r="B2238" s="50" t="str">
        <f>VLOOKUP(A2238,'Sales Order'!A$2:B$1029,1,0)</f>
        <v>SO0790</v>
      </c>
      <c r="C2238" s="29" t="s">
        <v>78</v>
      </c>
      <c r="D2238" s="50" t="str">
        <f>VLOOKUP(C2238,Product!A$2:B$21,1,0)</f>
        <v>PD0018</v>
      </c>
      <c r="E2238" s="36">
        <v>150</v>
      </c>
      <c r="F2238" s="38">
        <v>63840000</v>
      </c>
      <c r="G2238" s="39" t="s">
        <v>4612</v>
      </c>
      <c r="H2238" s="12"/>
      <c r="L2238" s="12"/>
    </row>
    <row r="2239" spans="1:12" ht="15.75" customHeight="1" x14ac:dyDescent="0.3">
      <c r="A2239" s="17" t="s">
        <v>1029</v>
      </c>
      <c r="B2239" s="50" t="str">
        <f>VLOOKUP(A2239,'Sales Order'!A$2:B$1029,1,0)</f>
        <v>SO0791</v>
      </c>
      <c r="C2239" s="29" t="s">
        <v>75</v>
      </c>
      <c r="D2239" s="50" t="str">
        <f>VLOOKUP(C2239,Product!A$2:B$21,1,0)</f>
        <v>PD0017</v>
      </c>
      <c r="E2239" s="36">
        <v>94</v>
      </c>
      <c r="F2239" s="38">
        <v>189316000</v>
      </c>
      <c r="G2239" s="39" t="s">
        <v>4613</v>
      </c>
      <c r="H2239" s="12"/>
      <c r="L2239" s="12"/>
    </row>
    <row r="2240" spans="1:12" ht="15.75" customHeight="1" x14ac:dyDescent="0.3">
      <c r="A2240" s="29" t="s">
        <v>1029</v>
      </c>
      <c r="B2240" s="50" t="str">
        <f>VLOOKUP(A2240,'Sales Order'!A$2:B$1029,1,0)</f>
        <v>SO0791</v>
      </c>
      <c r="C2240" s="29" t="s">
        <v>52</v>
      </c>
      <c r="D2240" s="50" t="str">
        <f>VLOOKUP(C2240,Product!A$2:B$21,1,0)</f>
        <v>PD0010</v>
      </c>
      <c r="E2240" s="36">
        <v>138</v>
      </c>
      <c r="F2240" s="38">
        <v>35880000</v>
      </c>
      <c r="G2240" s="39" t="s">
        <v>4614</v>
      </c>
      <c r="H2240" s="12"/>
      <c r="L2240" s="12"/>
    </row>
    <row r="2241" spans="1:12" ht="15.75" customHeight="1" x14ac:dyDescent="0.3">
      <c r="A2241" s="29" t="s">
        <v>1029</v>
      </c>
      <c r="B2241" s="50" t="str">
        <f>VLOOKUP(A2241,'Sales Order'!A$2:B$1029,1,0)</f>
        <v>SO0791</v>
      </c>
      <c r="C2241" s="29" t="s">
        <v>28</v>
      </c>
      <c r="D2241" s="50" t="str">
        <f>VLOOKUP(C2241,Product!A$2:B$21,1,0)</f>
        <v>PD0003</v>
      </c>
      <c r="E2241" s="36">
        <v>83</v>
      </c>
      <c r="F2241" s="38">
        <v>61045670</v>
      </c>
      <c r="G2241" s="39" t="s">
        <v>4615</v>
      </c>
      <c r="H2241" s="12"/>
      <c r="L2241" s="12"/>
    </row>
    <row r="2242" spans="1:12" ht="15.75" customHeight="1" x14ac:dyDescent="0.3">
      <c r="A2242" s="17" t="s">
        <v>1030</v>
      </c>
      <c r="B2242" s="50" t="str">
        <f>VLOOKUP(A2242,'Sales Order'!A$2:B$1029,1,0)</f>
        <v>SO0792</v>
      </c>
      <c r="C2242" s="29" t="s">
        <v>65</v>
      </c>
      <c r="D2242" s="50" t="str">
        <f>VLOOKUP(C2242,Product!A$2:B$21,1,0)</f>
        <v>PD0014</v>
      </c>
      <c r="E2242" s="36">
        <v>133</v>
      </c>
      <c r="F2242" s="38">
        <v>26988360</v>
      </c>
      <c r="G2242" s="39" t="s">
        <v>4616</v>
      </c>
      <c r="H2242" s="12"/>
      <c r="L2242" s="12"/>
    </row>
    <row r="2243" spans="1:12" ht="15.75" customHeight="1" x14ac:dyDescent="0.3">
      <c r="A2243" s="29" t="s">
        <v>1030</v>
      </c>
      <c r="B2243" s="50" t="str">
        <f>VLOOKUP(A2243,'Sales Order'!A$2:B$1029,1,0)</f>
        <v>SO0792</v>
      </c>
      <c r="C2243" s="29" t="s">
        <v>43</v>
      </c>
      <c r="D2243" s="50" t="str">
        <f>VLOOKUP(C2243,Product!A$2:B$21,1,0)</f>
        <v>PD0007</v>
      </c>
      <c r="E2243" s="36">
        <v>86</v>
      </c>
      <c r="F2243" s="38">
        <v>228416000</v>
      </c>
      <c r="G2243" s="39" t="s">
        <v>4617</v>
      </c>
      <c r="H2243" s="12"/>
      <c r="L2243" s="12"/>
    </row>
    <row r="2244" spans="1:12" ht="15.75" customHeight="1" x14ac:dyDescent="0.3">
      <c r="A2244" s="29" t="s">
        <v>1030</v>
      </c>
      <c r="B2244" s="50" t="str">
        <f>VLOOKUP(A2244,'Sales Order'!A$2:B$1029,1,0)</f>
        <v>SO0792</v>
      </c>
      <c r="C2244" s="29" t="s">
        <v>81</v>
      </c>
      <c r="D2244" s="50" t="str">
        <f>VLOOKUP(C2244,Product!A$2:B$21,1,0)</f>
        <v>PD0019</v>
      </c>
      <c r="E2244" s="36">
        <v>58</v>
      </c>
      <c r="F2244" s="38">
        <v>115316760</v>
      </c>
      <c r="G2244" s="39" t="s">
        <v>4618</v>
      </c>
      <c r="H2244" s="12"/>
      <c r="L2244" s="12"/>
    </row>
    <row r="2245" spans="1:12" ht="15.75" customHeight="1" x14ac:dyDescent="0.3">
      <c r="A2245" s="17" t="s">
        <v>1031</v>
      </c>
      <c r="B2245" s="50" t="str">
        <f>VLOOKUP(A2245,'Sales Order'!A$2:B$1029,1,0)</f>
        <v>SO0793</v>
      </c>
      <c r="C2245" s="29" t="s">
        <v>35</v>
      </c>
      <c r="D2245" s="50" t="str">
        <f>VLOOKUP(C2245,Product!A$2:B$21,1,0)</f>
        <v>PD0005</v>
      </c>
      <c r="E2245" s="36">
        <v>144</v>
      </c>
      <c r="F2245" s="38">
        <v>237060000</v>
      </c>
      <c r="G2245" s="39" t="s">
        <v>4619</v>
      </c>
      <c r="H2245" s="12"/>
      <c r="L2245" s="12"/>
    </row>
    <row r="2246" spans="1:12" ht="15.75" customHeight="1" x14ac:dyDescent="0.3">
      <c r="A2246" s="29" t="s">
        <v>1031</v>
      </c>
      <c r="B2246" s="50" t="str">
        <f>VLOOKUP(A2246,'Sales Order'!A$2:B$1029,1,0)</f>
        <v>SO0793</v>
      </c>
      <c r="C2246" s="29" t="s">
        <v>33</v>
      </c>
      <c r="D2246" s="50" t="str">
        <f>VLOOKUP(C2246,Product!A$2:B$21,1,0)</f>
        <v>PD0004</v>
      </c>
      <c r="E2246" s="36">
        <v>105</v>
      </c>
      <c r="F2246" s="38">
        <v>21021000</v>
      </c>
      <c r="G2246" s="39" t="s">
        <v>4620</v>
      </c>
      <c r="H2246" s="12"/>
      <c r="L2246" s="12"/>
    </row>
    <row r="2247" spans="1:12" ht="15.75" customHeight="1" x14ac:dyDescent="0.3">
      <c r="A2247" s="29" t="s">
        <v>1031</v>
      </c>
      <c r="B2247" s="50" t="str">
        <f>VLOOKUP(A2247,'Sales Order'!A$2:B$1029,1,0)</f>
        <v>SO0793</v>
      </c>
      <c r="C2247" s="29" t="s">
        <v>19</v>
      </c>
      <c r="D2247" s="50" t="str">
        <f>VLOOKUP(C2247,Product!A$2:B$21,1,0)</f>
        <v>PD0001</v>
      </c>
      <c r="E2247" s="36">
        <v>128</v>
      </c>
      <c r="F2247" s="38">
        <v>25178880</v>
      </c>
      <c r="G2247" s="39" t="s">
        <v>4621</v>
      </c>
      <c r="H2247" s="12"/>
      <c r="L2247" s="12"/>
    </row>
    <row r="2248" spans="1:12" ht="15.75" customHeight="1" x14ac:dyDescent="0.3">
      <c r="A2248" s="29" t="s">
        <v>1031</v>
      </c>
      <c r="B2248" s="50" t="str">
        <f>VLOOKUP(A2248,'Sales Order'!A$2:B$1029,1,0)</f>
        <v>SO0793</v>
      </c>
      <c r="C2248" s="29" t="s">
        <v>83</v>
      </c>
      <c r="D2248" s="50" t="str">
        <f>VLOOKUP(C2248,Product!A$2:B$21,1,0)</f>
        <v>PD0020</v>
      </c>
      <c r="E2248" s="36">
        <v>47</v>
      </c>
      <c r="F2248" s="38">
        <v>11918730</v>
      </c>
      <c r="G2248" s="39" t="s">
        <v>4622</v>
      </c>
      <c r="H2248" s="12"/>
      <c r="L2248" s="12"/>
    </row>
    <row r="2249" spans="1:12" ht="15.75" customHeight="1" x14ac:dyDescent="0.3">
      <c r="A2249" s="29" t="s">
        <v>1031</v>
      </c>
      <c r="B2249" s="50" t="str">
        <f>VLOOKUP(A2249,'Sales Order'!A$2:B$1029,1,0)</f>
        <v>SO0793</v>
      </c>
      <c r="C2249" s="29" t="s">
        <v>65</v>
      </c>
      <c r="D2249" s="50" t="str">
        <f>VLOOKUP(C2249,Product!A$2:B$21,1,0)</f>
        <v>PD0014</v>
      </c>
      <c r="E2249" s="36">
        <v>108</v>
      </c>
      <c r="F2249" s="38">
        <v>24510600</v>
      </c>
      <c r="G2249" s="39" t="s">
        <v>4623</v>
      </c>
      <c r="H2249" s="12"/>
      <c r="L2249" s="12"/>
    </row>
    <row r="2250" spans="1:12" ht="15.75" customHeight="1" x14ac:dyDescent="0.3">
      <c r="A2250" s="29" t="s">
        <v>1031</v>
      </c>
      <c r="B2250" s="50" t="str">
        <f>VLOOKUP(A2250,'Sales Order'!A$2:B$1029,1,0)</f>
        <v>SO0793</v>
      </c>
      <c r="C2250" s="29" t="s">
        <v>55</v>
      </c>
      <c r="D2250" s="50" t="str">
        <f>VLOOKUP(C2250,Product!A$2:B$21,1,0)</f>
        <v>PD0011</v>
      </c>
      <c r="E2250" s="36">
        <v>109</v>
      </c>
      <c r="F2250" s="38">
        <v>195419560</v>
      </c>
      <c r="G2250" s="39" t="s">
        <v>4624</v>
      </c>
      <c r="H2250" s="12"/>
      <c r="L2250" s="12"/>
    </row>
    <row r="2251" spans="1:12" ht="15.75" customHeight="1" x14ac:dyDescent="0.3">
      <c r="A2251" s="17" t="s">
        <v>1032</v>
      </c>
      <c r="B2251" s="50" t="str">
        <f>VLOOKUP(A2251,'Sales Order'!A$2:B$1029,1,0)</f>
        <v>SO0794</v>
      </c>
      <c r="C2251" s="29" t="s">
        <v>78</v>
      </c>
      <c r="D2251" s="50" t="str">
        <f>VLOOKUP(C2251,Product!A$2:B$21,1,0)</f>
        <v>PD0018</v>
      </c>
      <c r="E2251" s="36">
        <v>128</v>
      </c>
      <c r="F2251" s="38">
        <v>58562560</v>
      </c>
      <c r="G2251" s="39" t="s">
        <v>4625</v>
      </c>
      <c r="H2251" s="12"/>
      <c r="L2251" s="12"/>
    </row>
    <row r="2252" spans="1:12" ht="15.75" customHeight="1" x14ac:dyDescent="0.3">
      <c r="A2252" s="29" t="s">
        <v>1032</v>
      </c>
      <c r="B2252" s="50" t="str">
        <f>VLOOKUP(A2252,'Sales Order'!A$2:B$1029,1,0)</f>
        <v>SO0794</v>
      </c>
      <c r="C2252" s="29" t="s">
        <v>33</v>
      </c>
      <c r="D2252" s="50" t="str">
        <f>VLOOKUP(C2252,Product!A$2:B$21,1,0)</f>
        <v>PD0004</v>
      </c>
      <c r="E2252" s="36">
        <v>131</v>
      </c>
      <c r="F2252" s="38">
        <v>22479600</v>
      </c>
      <c r="G2252" s="39" t="s">
        <v>4626</v>
      </c>
      <c r="H2252" s="12"/>
      <c r="L2252" s="12"/>
    </row>
    <row r="2253" spans="1:12" ht="15.75" customHeight="1" x14ac:dyDescent="0.3">
      <c r="A2253" s="29" t="s">
        <v>1032</v>
      </c>
      <c r="B2253" s="50" t="str">
        <f>VLOOKUP(A2253,'Sales Order'!A$2:B$1029,1,0)</f>
        <v>SO0794</v>
      </c>
      <c r="C2253" s="29" t="s">
        <v>61</v>
      </c>
      <c r="D2253" s="50" t="str">
        <f>VLOOKUP(C2253,Product!A$2:B$21,1,0)</f>
        <v>PD0013</v>
      </c>
      <c r="E2253" s="36">
        <v>134</v>
      </c>
      <c r="F2253" s="38">
        <v>55841820</v>
      </c>
      <c r="G2253" s="39" t="s">
        <v>4627</v>
      </c>
      <c r="H2253" s="12"/>
      <c r="L2253" s="12"/>
    </row>
    <row r="2254" spans="1:12" ht="15.75" customHeight="1" x14ac:dyDescent="0.3">
      <c r="A2254" s="17" t="s">
        <v>1033</v>
      </c>
      <c r="B2254" s="50" t="str">
        <f>VLOOKUP(A2254,'Sales Order'!A$2:B$1029,1,0)</f>
        <v>SO0795</v>
      </c>
      <c r="C2254" s="29" t="s">
        <v>69</v>
      </c>
      <c r="D2254" s="50" t="str">
        <f>VLOOKUP(C2254,Product!A$2:B$21,1,0)</f>
        <v>PD0015</v>
      </c>
      <c r="E2254" s="36">
        <v>137</v>
      </c>
      <c r="F2254" s="38">
        <v>16756470</v>
      </c>
      <c r="G2254" s="39" t="s">
        <v>4628</v>
      </c>
      <c r="H2254" s="12"/>
      <c r="L2254" s="12"/>
    </row>
    <row r="2255" spans="1:12" ht="15.75" customHeight="1" x14ac:dyDescent="0.3">
      <c r="A2255" s="29" t="s">
        <v>1033</v>
      </c>
      <c r="B2255" s="50" t="str">
        <f>VLOOKUP(A2255,'Sales Order'!A$2:B$1029,1,0)</f>
        <v>SO0795</v>
      </c>
      <c r="C2255" s="29" t="s">
        <v>28</v>
      </c>
      <c r="D2255" s="50" t="str">
        <f>VLOOKUP(C2255,Product!A$2:B$21,1,0)</f>
        <v>PD0003</v>
      </c>
      <c r="E2255" s="36">
        <v>149</v>
      </c>
      <c r="F2255" s="38">
        <v>131783050</v>
      </c>
      <c r="G2255" s="39" t="s">
        <v>4629</v>
      </c>
      <c r="H2255" s="12"/>
      <c r="L2255" s="12"/>
    </row>
    <row r="2256" spans="1:12" ht="15.75" customHeight="1" x14ac:dyDescent="0.3">
      <c r="A2256" s="29" t="s">
        <v>1033</v>
      </c>
      <c r="B2256" s="50" t="str">
        <f>VLOOKUP(A2256,'Sales Order'!A$2:B$1029,1,0)</f>
        <v>SO0795</v>
      </c>
      <c r="C2256" s="29" t="s">
        <v>35</v>
      </c>
      <c r="D2256" s="50" t="str">
        <f>VLOOKUP(C2256,Product!A$2:B$21,1,0)</f>
        <v>PD0005</v>
      </c>
      <c r="E2256" s="36">
        <v>111</v>
      </c>
      <c r="F2256" s="38">
        <v>221716950</v>
      </c>
      <c r="G2256" s="39" t="s">
        <v>4630</v>
      </c>
      <c r="H2256" s="12"/>
      <c r="L2256" s="12"/>
    </row>
    <row r="2257" spans="1:12" ht="15.75" customHeight="1" x14ac:dyDescent="0.3">
      <c r="A2257" s="17" t="s">
        <v>1035</v>
      </c>
      <c r="B2257" s="50" t="str">
        <f>VLOOKUP(A2257,'Sales Order'!A$2:B$1029,1,0)</f>
        <v>SO0797</v>
      </c>
      <c r="C2257" s="29" t="s">
        <v>72</v>
      </c>
      <c r="D2257" s="50" t="str">
        <f>VLOOKUP(C2257,Product!A$2:B$21,1,0)</f>
        <v>PD0016</v>
      </c>
      <c r="E2257" s="36">
        <v>37</v>
      </c>
      <c r="F2257" s="38">
        <v>8693520</v>
      </c>
      <c r="G2257" s="39" t="s">
        <v>4631</v>
      </c>
      <c r="H2257" s="12"/>
      <c r="L2257" s="12"/>
    </row>
    <row r="2258" spans="1:12" ht="15.75" customHeight="1" x14ac:dyDescent="0.3">
      <c r="A2258" s="29" t="s">
        <v>1035</v>
      </c>
      <c r="B2258" s="50" t="str">
        <f>VLOOKUP(A2258,'Sales Order'!A$2:B$1029,1,0)</f>
        <v>SO0797</v>
      </c>
      <c r="C2258" s="29" t="s">
        <v>69</v>
      </c>
      <c r="D2258" s="50" t="str">
        <f>VLOOKUP(C2258,Product!A$2:B$21,1,0)</f>
        <v>PD0015</v>
      </c>
      <c r="E2258" s="36">
        <v>94</v>
      </c>
      <c r="F2258" s="38">
        <v>11369394</v>
      </c>
      <c r="G2258" s="39" t="s">
        <v>4632</v>
      </c>
      <c r="H2258" s="12"/>
      <c r="L2258" s="12"/>
    </row>
    <row r="2259" spans="1:12" ht="15.75" customHeight="1" x14ac:dyDescent="0.3">
      <c r="A2259" s="29" t="s">
        <v>1036</v>
      </c>
      <c r="B2259" s="50" t="str">
        <f>VLOOKUP(A2259,'Sales Order'!A$2:B$1029,1,0)</f>
        <v>SO0798</v>
      </c>
      <c r="C2259" s="29" t="s">
        <v>40</v>
      </c>
      <c r="D2259" s="50" t="str">
        <f>VLOOKUP(C2259,Product!A$2:B$21,1,0)</f>
        <v>PD0006</v>
      </c>
      <c r="E2259" s="36">
        <v>85</v>
      </c>
      <c r="F2259" s="38">
        <v>14389650.000000002</v>
      </c>
      <c r="G2259" s="39" t="s">
        <v>4633</v>
      </c>
      <c r="H2259" s="12"/>
      <c r="L2259" s="12"/>
    </row>
    <row r="2260" spans="1:12" ht="15.75" customHeight="1" x14ac:dyDescent="0.3">
      <c r="A2260" s="17" t="s">
        <v>1037</v>
      </c>
      <c r="B2260" s="50" t="str">
        <f>VLOOKUP(A2260,'Sales Order'!A$2:B$1029,1,0)</f>
        <v>SO0799</v>
      </c>
      <c r="C2260" s="29" t="s">
        <v>28</v>
      </c>
      <c r="D2260" s="50" t="str">
        <f>VLOOKUP(C2260,Product!A$2:B$21,1,0)</f>
        <v>PD0003</v>
      </c>
      <c r="E2260" s="36">
        <v>100</v>
      </c>
      <c r="F2260" s="38">
        <v>86583000</v>
      </c>
      <c r="G2260" s="39" t="s">
        <v>4634</v>
      </c>
      <c r="H2260" s="12"/>
      <c r="L2260" s="12"/>
    </row>
    <row r="2261" spans="1:12" ht="15.75" customHeight="1" x14ac:dyDescent="0.3">
      <c r="A2261" s="29" t="s">
        <v>1037</v>
      </c>
      <c r="B2261" s="50" t="str">
        <f>VLOOKUP(A2261,'Sales Order'!A$2:B$1029,1,0)</f>
        <v>SO0799</v>
      </c>
      <c r="C2261" s="29" t="s">
        <v>33</v>
      </c>
      <c r="D2261" s="50" t="str">
        <f>VLOOKUP(C2261,Product!A$2:B$21,1,0)</f>
        <v>PD0004</v>
      </c>
      <c r="E2261" s="36">
        <v>66</v>
      </c>
      <c r="F2261" s="38">
        <v>12777600</v>
      </c>
      <c r="G2261" s="39" t="s">
        <v>4635</v>
      </c>
      <c r="H2261" s="12"/>
      <c r="L2261" s="12"/>
    </row>
    <row r="2262" spans="1:12" ht="15.75" customHeight="1" x14ac:dyDescent="0.3">
      <c r="A2262" s="29" t="s">
        <v>1037</v>
      </c>
      <c r="B2262" s="50" t="str">
        <f>VLOOKUP(A2262,'Sales Order'!A$2:B$1029,1,0)</f>
        <v>SO0799</v>
      </c>
      <c r="C2262" s="29" t="s">
        <v>81</v>
      </c>
      <c r="D2262" s="50" t="str">
        <f>VLOOKUP(C2262,Product!A$2:B$21,1,0)</f>
        <v>PD0019</v>
      </c>
      <c r="E2262" s="36">
        <v>39</v>
      </c>
      <c r="F2262" s="38">
        <v>94440450</v>
      </c>
      <c r="G2262" s="39" t="s">
        <v>4636</v>
      </c>
      <c r="H2262" s="12"/>
      <c r="L2262" s="12"/>
    </row>
    <row r="2263" spans="1:12" ht="15.75" customHeight="1" x14ac:dyDescent="0.3">
      <c r="A2263" s="29" t="s">
        <v>1037</v>
      </c>
      <c r="B2263" s="50" t="str">
        <f>VLOOKUP(A2263,'Sales Order'!A$2:B$1029,1,0)</f>
        <v>SO0799</v>
      </c>
      <c r="C2263" s="29" t="s">
        <v>48</v>
      </c>
      <c r="D2263" s="50" t="str">
        <f>VLOOKUP(C2263,Product!A$2:B$21,1,0)</f>
        <v>PD0009</v>
      </c>
      <c r="E2263" s="36">
        <v>103</v>
      </c>
      <c r="F2263" s="38">
        <v>12489780</v>
      </c>
      <c r="G2263" s="39" t="s">
        <v>4637</v>
      </c>
      <c r="H2263" s="12"/>
      <c r="L2263" s="12"/>
    </row>
    <row r="2264" spans="1:12" ht="15.75" customHeight="1" x14ac:dyDescent="0.3">
      <c r="A2264" s="17" t="s">
        <v>1038</v>
      </c>
      <c r="B2264" s="50" t="str">
        <f>VLOOKUP(A2264,'Sales Order'!A$2:B$1029,1,0)</f>
        <v>SO0800</v>
      </c>
      <c r="C2264" s="29" t="s">
        <v>81</v>
      </c>
      <c r="D2264" s="50" t="str">
        <f>VLOOKUP(C2264,Product!A$2:B$21,1,0)</f>
        <v>PD0019</v>
      </c>
      <c r="E2264" s="36">
        <v>35</v>
      </c>
      <c r="F2264" s="38">
        <v>72264150</v>
      </c>
      <c r="G2264" s="39" t="s">
        <v>4638</v>
      </c>
      <c r="H2264" s="12"/>
      <c r="L2264" s="12"/>
    </row>
    <row r="2265" spans="1:12" ht="15.75" customHeight="1" x14ac:dyDescent="0.3">
      <c r="A2265" s="29" t="s">
        <v>1038</v>
      </c>
      <c r="B2265" s="50" t="str">
        <f>VLOOKUP(A2265,'Sales Order'!A$2:B$1029,1,0)</f>
        <v>SO0800</v>
      </c>
      <c r="C2265" s="29" t="s">
        <v>48</v>
      </c>
      <c r="D2265" s="50" t="str">
        <f>VLOOKUP(C2265,Product!A$2:B$21,1,0)</f>
        <v>PD0009</v>
      </c>
      <c r="E2265" s="36">
        <v>86</v>
      </c>
      <c r="F2265" s="38">
        <v>9762720</v>
      </c>
      <c r="G2265" s="39" t="s">
        <v>4639</v>
      </c>
      <c r="H2265" s="12"/>
      <c r="L2265" s="12"/>
    </row>
    <row r="2266" spans="1:12" ht="15.75" customHeight="1" x14ac:dyDescent="0.3">
      <c r="A2266" s="17" t="s">
        <v>1039</v>
      </c>
      <c r="B2266" s="50" t="str">
        <f>VLOOKUP(A2266,'Sales Order'!A$2:B$1029,1,0)</f>
        <v>SO0801</v>
      </c>
      <c r="C2266" s="29" t="s">
        <v>19</v>
      </c>
      <c r="D2266" s="50" t="str">
        <f>VLOOKUP(C2266,Product!A$2:B$21,1,0)</f>
        <v>PD0001</v>
      </c>
      <c r="E2266" s="36">
        <v>71</v>
      </c>
      <c r="F2266" s="38">
        <v>15027150</v>
      </c>
      <c r="G2266" s="39" t="s">
        <v>4640</v>
      </c>
      <c r="H2266" s="12"/>
      <c r="L2266" s="12"/>
    </row>
    <row r="2267" spans="1:12" ht="15.75" customHeight="1" x14ac:dyDescent="0.3">
      <c r="A2267" s="29" t="s">
        <v>1039</v>
      </c>
      <c r="B2267" s="50" t="str">
        <f>VLOOKUP(A2267,'Sales Order'!A$2:B$1029,1,0)</f>
        <v>SO0801</v>
      </c>
      <c r="C2267" s="29" t="s">
        <v>35</v>
      </c>
      <c r="D2267" s="50" t="str">
        <f>VLOOKUP(C2267,Product!A$2:B$21,1,0)</f>
        <v>PD0005</v>
      </c>
      <c r="E2267" s="36">
        <v>130</v>
      </c>
      <c r="F2267" s="38">
        <v>271082500</v>
      </c>
      <c r="G2267" s="39" t="s">
        <v>4641</v>
      </c>
      <c r="H2267" s="12"/>
      <c r="L2267" s="12"/>
    </row>
    <row r="2268" spans="1:12" ht="15.75" customHeight="1" x14ac:dyDescent="0.3">
      <c r="A2268" s="17" t="s">
        <v>1040</v>
      </c>
      <c r="B2268" s="50" t="str">
        <f>VLOOKUP(A2268,'Sales Order'!A$2:B$1029,1,0)</f>
        <v>SO0802</v>
      </c>
      <c r="C2268" s="29" t="s">
        <v>65</v>
      </c>
      <c r="D2268" s="50" t="str">
        <f>VLOOKUP(C2268,Product!A$2:B$21,1,0)</f>
        <v>PD0014</v>
      </c>
      <c r="E2268" s="36">
        <v>75</v>
      </c>
      <c r="F2268" s="38">
        <v>16620750</v>
      </c>
      <c r="G2268" s="39" t="s">
        <v>4642</v>
      </c>
      <c r="H2268" s="12"/>
      <c r="L2268" s="12"/>
    </row>
    <row r="2269" spans="1:12" ht="15.75" customHeight="1" x14ac:dyDescent="0.3">
      <c r="A2269" s="29" t="s">
        <v>1040</v>
      </c>
      <c r="B2269" s="50" t="str">
        <f>VLOOKUP(A2269,'Sales Order'!A$2:B$1029,1,0)</f>
        <v>SO0802</v>
      </c>
      <c r="C2269" s="29" t="s">
        <v>78</v>
      </c>
      <c r="D2269" s="50" t="str">
        <f>VLOOKUP(C2269,Product!A$2:B$21,1,0)</f>
        <v>PD0018</v>
      </c>
      <c r="E2269" s="36">
        <v>82</v>
      </c>
      <c r="F2269" s="38">
        <v>39697840</v>
      </c>
      <c r="G2269" s="39" t="s">
        <v>4643</v>
      </c>
      <c r="H2269" s="12"/>
      <c r="L2269" s="12"/>
    </row>
    <row r="2270" spans="1:12" ht="15.75" customHeight="1" x14ac:dyDescent="0.3">
      <c r="A2270" s="29" t="s">
        <v>1040</v>
      </c>
      <c r="B2270" s="50" t="str">
        <f>VLOOKUP(A2270,'Sales Order'!A$2:B$1029,1,0)</f>
        <v>SO0802</v>
      </c>
      <c r="C2270" s="29" t="s">
        <v>81</v>
      </c>
      <c r="D2270" s="50" t="str">
        <f>VLOOKUP(C2270,Product!A$2:B$21,1,0)</f>
        <v>PD0019</v>
      </c>
      <c r="E2270" s="36">
        <v>135</v>
      </c>
      <c r="F2270" s="38">
        <v>302821200</v>
      </c>
      <c r="G2270" s="39" t="s">
        <v>4644</v>
      </c>
      <c r="H2270" s="12"/>
      <c r="L2270" s="12"/>
    </row>
    <row r="2271" spans="1:12" ht="15.75" customHeight="1" x14ac:dyDescent="0.3">
      <c r="A2271" s="29" t="s">
        <v>1040</v>
      </c>
      <c r="B2271" s="50" t="str">
        <f>VLOOKUP(A2271,'Sales Order'!A$2:B$1029,1,0)</f>
        <v>SO0802</v>
      </c>
      <c r="C2271" s="29" t="s">
        <v>55</v>
      </c>
      <c r="D2271" s="50" t="str">
        <f>VLOOKUP(C2271,Product!A$2:B$21,1,0)</f>
        <v>PD0011</v>
      </c>
      <c r="E2271" s="36">
        <v>79</v>
      </c>
      <c r="F2271" s="38">
        <v>163997680</v>
      </c>
      <c r="G2271" s="39" t="s">
        <v>4645</v>
      </c>
      <c r="H2271" s="12"/>
      <c r="L2271" s="12"/>
    </row>
    <row r="2272" spans="1:12" ht="15.75" customHeight="1" x14ac:dyDescent="0.3">
      <c r="A2272" s="17" t="s">
        <v>1041</v>
      </c>
      <c r="B2272" s="50" t="str">
        <f>VLOOKUP(A2272,'Sales Order'!A$2:B$1029,1,0)</f>
        <v>SO0803</v>
      </c>
      <c r="C2272" s="29" t="s">
        <v>19</v>
      </c>
      <c r="D2272" s="50" t="str">
        <f>VLOOKUP(C2272,Product!A$2:B$21,1,0)</f>
        <v>PD0001</v>
      </c>
      <c r="E2272" s="36">
        <v>73</v>
      </c>
      <c r="F2272" s="38">
        <v>16359300</v>
      </c>
      <c r="G2272" s="39" t="s">
        <v>4646</v>
      </c>
      <c r="H2272" s="12"/>
      <c r="L2272" s="12"/>
    </row>
    <row r="2273" spans="1:12" ht="15.75" customHeight="1" x14ac:dyDescent="0.3">
      <c r="A2273" s="29" t="s">
        <v>1041</v>
      </c>
      <c r="B2273" s="50" t="str">
        <f>VLOOKUP(A2273,'Sales Order'!A$2:B$1029,1,0)</f>
        <v>SO0803</v>
      </c>
      <c r="C2273" s="29" t="s">
        <v>78</v>
      </c>
      <c r="D2273" s="50" t="str">
        <f>VLOOKUP(C2273,Product!A$2:B$21,1,0)</f>
        <v>PD0018</v>
      </c>
      <c r="E2273" s="36">
        <v>58</v>
      </c>
      <c r="F2273" s="38">
        <v>26536160</v>
      </c>
      <c r="G2273" s="39" t="s">
        <v>4647</v>
      </c>
      <c r="H2273" s="12"/>
      <c r="L2273" s="12"/>
    </row>
    <row r="2274" spans="1:12" ht="15.75" customHeight="1" x14ac:dyDescent="0.3">
      <c r="A2274" s="29" t="s">
        <v>1041</v>
      </c>
      <c r="B2274" s="50" t="str">
        <f>VLOOKUP(A2274,'Sales Order'!A$2:B$1029,1,0)</f>
        <v>SO0803</v>
      </c>
      <c r="C2274" s="29" t="s">
        <v>69</v>
      </c>
      <c r="D2274" s="50" t="str">
        <f>VLOOKUP(C2274,Product!A$2:B$21,1,0)</f>
        <v>PD0015</v>
      </c>
      <c r="E2274" s="36">
        <v>92</v>
      </c>
      <c r="F2274" s="38">
        <v>9627156</v>
      </c>
      <c r="G2274" s="39" t="s">
        <v>4648</v>
      </c>
      <c r="H2274" s="12"/>
      <c r="L2274" s="12"/>
    </row>
    <row r="2275" spans="1:12" ht="15.75" customHeight="1" x14ac:dyDescent="0.3">
      <c r="A2275" s="17" t="s">
        <v>1042</v>
      </c>
      <c r="B2275" s="50" t="str">
        <f>VLOOKUP(A2275,'Sales Order'!A$2:B$1029,1,0)</f>
        <v>SO0804</v>
      </c>
      <c r="C2275" s="29" t="s">
        <v>43</v>
      </c>
      <c r="D2275" s="50" t="str">
        <f>VLOOKUP(C2275,Product!A$2:B$21,1,0)</f>
        <v>PD0007</v>
      </c>
      <c r="E2275" s="36">
        <v>80</v>
      </c>
      <c r="F2275" s="38">
        <v>212480000</v>
      </c>
      <c r="G2275" s="39" t="s">
        <v>4649</v>
      </c>
      <c r="H2275" s="12"/>
      <c r="L2275" s="12"/>
    </row>
    <row r="2276" spans="1:12" ht="15.75" customHeight="1" x14ac:dyDescent="0.3">
      <c r="A2276" s="29" t="s">
        <v>1042</v>
      </c>
      <c r="B2276" s="50" t="str">
        <f>VLOOKUP(A2276,'Sales Order'!A$2:B$1029,1,0)</f>
        <v>SO0804</v>
      </c>
      <c r="C2276" s="29" t="s">
        <v>58</v>
      </c>
      <c r="D2276" s="50" t="str">
        <f>VLOOKUP(C2276,Product!A$2:B$21,1,0)</f>
        <v>PD0012</v>
      </c>
      <c r="E2276" s="36">
        <v>123</v>
      </c>
      <c r="F2276" s="38">
        <v>596493420</v>
      </c>
      <c r="G2276" s="39" t="s">
        <v>4650</v>
      </c>
      <c r="H2276" s="12"/>
      <c r="L2276" s="12"/>
    </row>
    <row r="2277" spans="1:12" ht="15.75" customHeight="1" x14ac:dyDescent="0.3">
      <c r="A2277" s="29" t="s">
        <v>1042</v>
      </c>
      <c r="B2277" s="50" t="str">
        <f>VLOOKUP(A2277,'Sales Order'!A$2:B$1029,1,0)</f>
        <v>SO0804</v>
      </c>
      <c r="C2277" s="29" t="s">
        <v>69</v>
      </c>
      <c r="D2277" s="50" t="str">
        <f>VLOOKUP(C2277,Product!A$2:B$21,1,0)</f>
        <v>PD0015</v>
      </c>
      <c r="E2277" s="36">
        <v>91</v>
      </c>
      <c r="F2277" s="38">
        <v>11377548</v>
      </c>
      <c r="G2277" s="39" t="s">
        <v>4651</v>
      </c>
      <c r="H2277" s="12"/>
      <c r="L2277" s="12"/>
    </row>
    <row r="2278" spans="1:12" ht="15.75" customHeight="1" x14ac:dyDescent="0.3">
      <c r="A2278" s="29" t="s">
        <v>1042</v>
      </c>
      <c r="B2278" s="50" t="str">
        <f>VLOOKUP(A2278,'Sales Order'!A$2:B$1029,1,0)</f>
        <v>SO0804</v>
      </c>
      <c r="C2278" s="29" t="s">
        <v>72</v>
      </c>
      <c r="D2278" s="50" t="str">
        <f>VLOOKUP(C2278,Product!A$2:B$21,1,0)</f>
        <v>PD0016</v>
      </c>
      <c r="E2278" s="36">
        <v>54</v>
      </c>
      <c r="F2278" s="38">
        <v>10813500</v>
      </c>
      <c r="G2278" s="39" t="s">
        <v>4652</v>
      </c>
      <c r="H2278" s="12"/>
      <c r="L2278" s="12"/>
    </row>
    <row r="2279" spans="1:12" ht="15.75" customHeight="1" x14ac:dyDescent="0.3">
      <c r="A2279" s="17" t="s">
        <v>1043</v>
      </c>
      <c r="B2279" s="50" t="str">
        <f>VLOOKUP(A2279,'Sales Order'!A$2:B$1029,1,0)</f>
        <v>SO0805</v>
      </c>
      <c r="C2279" s="29" t="s">
        <v>83</v>
      </c>
      <c r="D2279" s="50" t="str">
        <f>VLOOKUP(C2279,Product!A$2:B$21,1,0)</f>
        <v>PD0020</v>
      </c>
      <c r="E2279" s="36">
        <v>105</v>
      </c>
      <c r="F2279" s="38">
        <v>29323350</v>
      </c>
      <c r="G2279" s="39" t="s">
        <v>4653</v>
      </c>
      <c r="H2279" s="12"/>
      <c r="L2279" s="12"/>
    </row>
    <row r="2280" spans="1:12" ht="15.75" customHeight="1" x14ac:dyDescent="0.3">
      <c r="A2280" s="29" t="s">
        <v>1043</v>
      </c>
      <c r="B2280" s="50" t="str">
        <f>VLOOKUP(A2280,'Sales Order'!A$2:B$1029,1,0)</f>
        <v>SO0805</v>
      </c>
      <c r="C2280" s="29" t="s">
        <v>58</v>
      </c>
      <c r="D2280" s="50" t="str">
        <f>VLOOKUP(C2280,Product!A$2:B$21,1,0)</f>
        <v>PD0012</v>
      </c>
      <c r="E2280" s="36">
        <v>70</v>
      </c>
      <c r="F2280" s="38">
        <v>303942100</v>
      </c>
      <c r="G2280" s="39" t="s">
        <v>4654</v>
      </c>
      <c r="H2280" s="12"/>
      <c r="L2280" s="12"/>
    </row>
    <row r="2281" spans="1:12" ht="15.75" customHeight="1" x14ac:dyDescent="0.3">
      <c r="A2281" s="17" t="s">
        <v>1044</v>
      </c>
      <c r="B2281" s="50" t="str">
        <f>VLOOKUP(A2281,'Sales Order'!A$2:B$1029,1,0)</f>
        <v>SO0806</v>
      </c>
      <c r="C2281" s="29" t="s">
        <v>58</v>
      </c>
      <c r="D2281" s="50" t="str">
        <f>VLOOKUP(C2281,Product!A$2:B$21,1,0)</f>
        <v>PD0012</v>
      </c>
      <c r="E2281" s="36">
        <v>57</v>
      </c>
      <c r="F2281" s="38">
        <v>241067250</v>
      </c>
      <c r="G2281" s="39" t="s">
        <v>4655</v>
      </c>
      <c r="H2281" s="12"/>
      <c r="L2281" s="12"/>
    </row>
    <row r="2282" spans="1:12" ht="15.75" customHeight="1" x14ac:dyDescent="0.3">
      <c r="A2282" s="29" t="s">
        <v>1044</v>
      </c>
      <c r="B2282" s="50" t="str">
        <f>VLOOKUP(A2282,'Sales Order'!A$2:B$1029,1,0)</f>
        <v>SO0806</v>
      </c>
      <c r="C2282" s="29" t="s">
        <v>69</v>
      </c>
      <c r="D2282" s="50" t="str">
        <f>VLOOKUP(C2282,Product!A$2:B$21,1,0)</f>
        <v>PD0015</v>
      </c>
      <c r="E2282" s="36">
        <v>76</v>
      </c>
      <c r="F2282" s="38">
        <v>8985708</v>
      </c>
      <c r="G2282" s="39" t="s">
        <v>4656</v>
      </c>
      <c r="H2282" s="12"/>
      <c r="L2282" s="12"/>
    </row>
    <row r="2283" spans="1:12" ht="15.75" customHeight="1" x14ac:dyDescent="0.3">
      <c r="A2283" s="29" t="s">
        <v>1044</v>
      </c>
      <c r="B2283" s="50" t="str">
        <f>VLOOKUP(A2283,'Sales Order'!A$2:B$1029,1,0)</f>
        <v>SO0806</v>
      </c>
      <c r="C2283" s="29" t="s">
        <v>25</v>
      </c>
      <c r="D2283" s="50" t="str">
        <f>VLOOKUP(C2283,Product!A$2:B$21,1,0)</f>
        <v>PD0002</v>
      </c>
      <c r="E2283" s="36">
        <v>31</v>
      </c>
      <c r="F2283" s="38">
        <v>496000</v>
      </c>
      <c r="G2283" s="39" t="s">
        <v>4657</v>
      </c>
      <c r="H2283" s="12"/>
      <c r="L2283" s="12"/>
    </row>
    <row r="2284" spans="1:12" ht="15.75" customHeight="1" x14ac:dyDescent="0.3">
      <c r="A2284" s="29" t="s">
        <v>1044</v>
      </c>
      <c r="B2284" s="50" t="str">
        <f>VLOOKUP(A2284,'Sales Order'!A$2:B$1029,1,0)</f>
        <v>SO0806</v>
      </c>
      <c r="C2284" s="29" t="s">
        <v>72</v>
      </c>
      <c r="D2284" s="50" t="str">
        <f>VLOOKUP(C2284,Product!A$2:B$21,1,0)</f>
        <v>PD0016</v>
      </c>
      <c r="E2284" s="36">
        <v>90</v>
      </c>
      <c r="F2284" s="38">
        <v>20425500</v>
      </c>
      <c r="G2284" s="39" t="s">
        <v>4658</v>
      </c>
      <c r="H2284" s="12"/>
      <c r="L2284" s="12"/>
    </row>
    <row r="2285" spans="1:12" ht="15.75" customHeight="1" x14ac:dyDescent="0.3">
      <c r="A2285" s="17" t="s">
        <v>1045</v>
      </c>
      <c r="B2285" s="50" t="str">
        <f>VLOOKUP(A2285,'Sales Order'!A$2:B$1029,1,0)</f>
        <v>SO0807</v>
      </c>
      <c r="C2285" s="29" t="s">
        <v>58</v>
      </c>
      <c r="D2285" s="50" t="str">
        <f>VLOOKUP(C2285,Product!A$2:B$21,1,0)</f>
        <v>PD0012</v>
      </c>
      <c r="E2285" s="36">
        <v>146</v>
      </c>
      <c r="F2285" s="38">
        <v>675101080</v>
      </c>
      <c r="G2285" s="39" t="s">
        <v>4659</v>
      </c>
      <c r="H2285" s="12"/>
      <c r="L2285" s="12"/>
    </row>
    <row r="2286" spans="1:12" ht="15.75" customHeight="1" x14ac:dyDescent="0.3">
      <c r="A2286" s="29" t="s">
        <v>1045</v>
      </c>
      <c r="B2286" s="50" t="str">
        <f>VLOOKUP(A2286,'Sales Order'!A$2:B$1029,1,0)</f>
        <v>SO0807</v>
      </c>
      <c r="C2286" s="29" t="s">
        <v>65</v>
      </c>
      <c r="D2286" s="50" t="str">
        <f>VLOOKUP(C2286,Product!A$2:B$21,1,0)</f>
        <v>PD0014</v>
      </c>
      <c r="E2286" s="36">
        <v>67</v>
      </c>
      <c r="F2286" s="38">
        <v>16100100</v>
      </c>
      <c r="G2286" s="39" t="s">
        <v>4660</v>
      </c>
      <c r="H2286" s="12"/>
      <c r="L2286" s="12"/>
    </row>
    <row r="2287" spans="1:12" ht="15.75" customHeight="1" x14ac:dyDescent="0.3">
      <c r="A2287" s="29" t="s">
        <v>1045</v>
      </c>
      <c r="B2287" s="50" t="str">
        <f>VLOOKUP(A2287,'Sales Order'!A$2:B$1029,1,0)</f>
        <v>SO0807</v>
      </c>
      <c r="C2287" s="29" t="s">
        <v>83</v>
      </c>
      <c r="D2287" s="50" t="str">
        <f>VLOOKUP(C2287,Product!A$2:B$21,1,0)</f>
        <v>PD0020</v>
      </c>
      <c r="E2287" s="36">
        <v>40</v>
      </c>
      <c r="F2287" s="38">
        <v>10015200</v>
      </c>
      <c r="G2287" s="39" t="s">
        <v>4661</v>
      </c>
      <c r="H2287" s="12"/>
      <c r="L2287" s="12"/>
    </row>
    <row r="2288" spans="1:12" ht="15.75" customHeight="1" x14ac:dyDescent="0.3">
      <c r="A2288" s="17" t="s">
        <v>1047</v>
      </c>
      <c r="B2288" s="50" t="str">
        <f>VLOOKUP(A2288,'Sales Order'!A$2:B$1029,1,0)</f>
        <v>SO0809</v>
      </c>
      <c r="C2288" s="29" t="s">
        <v>69</v>
      </c>
      <c r="D2288" s="50" t="str">
        <f>VLOOKUP(C2288,Product!A$2:B$21,1,0)</f>
        <v>PD0015</v>
      </c>
      <c r="E2288" s="36">
        <v>148</v>
      </c>
      <c r="F2288" s="38">
        <v>16291692.000000002</v>
      </c>
      <c r="G2288" s="39" t="s">
        <v>4662</v>
      </c>
      <c r="H2288" s="12"/>
      <c r="L2288" s="12"/>
    </row>
    <row r="2289" spans="1:12" ht="15.75" customHeight="1" x14ac:dyDescent="0.3">
      <c r="A2289" s="29" t="s">
        <v>1047</v>
      </c>
      <c r="B2289" s="50" t="str">
        <f>VLOOKUP(A2289,'Sales Order'!A$2:B$1029,1,0)</f>
        <v>SO0809</v>
      </c>
      <c r="C2289" s="29" t="s">
        <v>52</v>
      </c>
      <c r="D2289" s="50" t="str">
        <f>VLOOKUP(C2289,Product!A$2:B$21,1,0)</f>
        <v>PD0010</v>
      </c>
      <c r="E2289" s="36">
        <v>135</v>
      </c>
      <c r="F2289" s="38">
        <v>35977500</v>
      </c>
      <c r="G2289" s="39" t="s">
        <v>4663</v>
      </c>
      <c r="H2289" s="12"/>
      <c r="L2289" s="12"/>
    </row>
    <row r="2290" spans="1:12" ht="15.75" customHeight="1" x14ac:dyDescent="0.3">
      <c r="A2290" s="29" t="s">
        <v>1047</v>
      </c>
      <c r="B2290" s="50" t="str">
        <f>VLOOKUP(A2290,'Sales Order'!A$2:B$1029,1,0)</f>
        <v>SO0809</v>
      </c>
      <c r="C2290" s="29" t="s">
        <v>78</v>
      </c>
      <c r="D2290" s="50" t="str">
        <f>VLOOKUP(C2290,Product!A$2:B$21,1,0)</f>
        <v>PD0018</v>
      </c>
      <c r="E2290" s="36">
        <v>82</v>
      </c>
      <c r="F2290" s="38">
        <v>36207920</v>
      </c>
      <c r="G2290" s="39" t="s">
        <v>4664</v>
      </c>
      <c r="H2290" s="12"/>
      <c r="L2290" s="12"/>
    </row>
    <row r="2291" spans="1:12" ht="15.75" customHeight="1" x14ac:dyDescent="0.3">
      <c r="A2291" s="29" t="s">
        <v>1047</v>
      </c>
      <c r="B2291" s="50" t="str">
        <f>VLOOKUP(A2291,'Sales Order'!A$2:B$1029,1,0)</f>
        <v>SO0809</v>
      </c>
      <c r="C2291" s="29" t="s">
        <v>28</v>
      </c>
      <c r="D2291" s="50" t="str">
        <f>VLOOKUP(C2291,Product!A$2:B$21,1,0)</f>
        <v>PD0003</v>
      </c>
      <c r="E2291" s="36">
        <v>119</v>
      </c>
      <c r="F2291" s="38">
        <v>96386430</v>
      </c>
      <c r="G2291" s="39" t="s">
        <v>4665</v>
      </c>
      <c r="H2291" s="12"/>
      <c r="L2291" s="12"/>
    </row>
    <row r="2292" spans="1:12" ht="15.75" customHeight="1" x14ac:dyDescent="0.3">
      <c r="A2292" s="17" t="s">
        <v>1048</v>
      </c>
      <c r="B2292" s="50" t="str">
        <f>VLOOKUP(A2292,'Sales Order'!A$2:B$1029,1,0)</f>
        <v>SO0810</v>
      </c>
      <c r="C2292" s="29" t="s">
        <v>43</v>
      </c>
      <c r="D2292" s="50" t="str">
        <f>VLOOKUP(C2292,Product!A$2:B$21,1,0)</f>
        <v>PD0007</v>
      </c>
      <c r="E2292" s="36">
        <v>46</v>
      </c>
      <c r="F2292" s="38">
        <v>131008000</v>
      </c>
      <c r="G2292" s="39" t="s">
        <v>4666</v>
      </c>
      <c r="H2292" s="12"/>
      <c r="L2292" s="12"/>
    </row>
    <row r="2293" spans="1:12" ht="15.75" customHeight="1" x14ac:dyDescent="0.3">
      <c r="A2293" s="17" t="s">
        <v>1049</v>
      </c>
      <c r="B2293" s="50" t="str">
        <f>VLOOKUP(A2293,'Sales Order'!A$2:B$1029,1,0)</f>
        <v>SO0811</v>
      </c>
      <c r="C2293" s="29" t="s">
        <v>19</v>
      </c>
      <c r="D2293" s="50" t="str">
        <f>VLOOKUP(C2293,Product!A$2:B$21,1,0)</f>
        <v>PD0001</v>
      </c>
      <c r="E2293" s="36">
        <v>74</v>
      </c>
      <c r="F2293" s="38">
        <v>15846360</v>
      </c>
      <c r="G2293" s="39" t="s">
        <v>4667</v>
      </c>
      <c r="H2293" s="12"/>
      <c r="L2293" s="12"/>
    </row>
    <row r="2294" spans="1:12" ht="15.75" customHeight="1" x14ac:dyDescent="0.3">
      <c r="A2294" s="29" t="s">
        <v>1049</v>
      </c>
      <c r="B2294" s="50" t="str">
        <f>VLOOKUP(A2294,'Sales Order'!A$2:B$1029,1,0)</f>
        <v>SO0811</v>
      </c>
      <c r="C2294" s="29" t="s">
        <v>61</v>
      </c>
      <c r="D2294" s="50" t="str">
        <f>VLOOKUP(C2294,Product!A$2:B$21,1,0)</f>
        <v>PD0013</v>
      </c>
      <c r="E2294" s="36">
        <v>88</v>
      </c>
      <c r="F2294" s="38">
        <v>32035520</v>
      </c>
      <c r="G2294" s="39" t="s">
        <v>4668</v>
      </c>
      <c r="H2294" s="12"/>
      <c r="L2294" s="12"/>
    </row>
    <row r="2295" spans="1:12" ht="15.75" customHeight="1" x14ac:dyDescent="0.3">
      <c r="A2295" s="17" t="s">
        <v>1050</v>
      </c>
      <c r="B2295" s="50" t="str">
        <f>VLOOKUP(A2295,'Sales Order'!A$2:B$1029,1,0)</f>
        <v>SO0812</v>
      </c>
      <c r="C2295" s="29" t="s">
        <v>58</v>
      </c>
      <c r="D2295" s="50" t="str">
        <f>VLOOKUP(C2295,Product!A$2:B$21,1,0)</f>
        <v>PD0012</v>
      </c>
      <c r="E2295" s="36">
        <v>88</v>
      </c>
      <c r="F2295" s="38">
        <v>382098640</v>
      </c>
      <c r="G2295" s="39" t="s">
        <v>4669</v>
      </c>
      <c r="H2295" s="12"/>
      <c r="L2295" s="12"/>
    </row>
    <row r="2296" spans="1:12" ht="15.75" customHeight="1" x14ac:dyDescent="0.3">
      <c r="A2296" s="29" t="s">
        <v>1050</v>
      </c>
      <c r="B2296" s="50" t="str">
        <f>VLOOKUP(A2296,'Sales Order'!A$2:B$1029,1,0)</f>
        <v>SO0812</v>
      </c>
      <c r="C2296" s="29" t="s">
        <v>28</v>
      </c>
      <c r="D2296" s="50" t="str">
        <f>VLOOKUP(C2296,Product!A$2:B$21,1,0)</f>
        <v>PD0003</v>
      </c>
      <c r="E2296" s="36">
        <v>58</v>
      </c>
      <c r="F2296" s="38">
        <v>44818340</v>
      </c>
      <c r="G2296" s="39" t="s">
        <v>4670</v>
      </c>
      <c r="H2296" s="12"/>
      <c r="L2296" s="12"/>
    </row>
    <row r="2297" spans="1:12" ht="15.75" customHeight="1" x14ac:dyDescent="0.3">
      <c r="A2297" s="17" t="s">
        <v>1051</v>
      </c>
      <c r="B2297" s="50" t="str">
        <f>VLOOKUP(A2297,'Sales Order'!A$2:B$1029,1,0)</f>
        <v>SO0813</v>
      </c>
      <c r="C2297" s="29" t="s">
        <v>83</v>
      </c>
      <c r="D2297" s="50" t="str">
        <f>VLOOKUP(C2297,Product!A$2:B$21,1,0)</f>
        <v>PD0020</v>
      </c>
      <c r="E2297" s="36">
        <v>31</v>
      </c>
      <c r="F2297" s="38">
        <v>8159820.0000000009</v>
      </c>
      <c r="G2297" s="39" t="s">
        <v>4671</v>
      </c>
      <c r="H2297" s="12"/>
      <c r="L2297" s="12"/>
    </row>
    <row r="2298" spans="1:12" ht="15.75" customHeight="1" x14ac:dyDescent="0.3">
      <c r="A2298" s="29" t="s">
        <v>1051</v>
      </c>
      <c r="B2298" s="50" t="str">
        <f>VLOOKUP(A2298,'Sales Order'!A$2:B$1029,1,0)</f>
        <v>SO0813</v>
      </c>
      <c r="C2298" s="29" t="s">
        <v>78</v>
      </c>
      <c r="D2298" s="50" t="str">
        <f>VLOOKUP(C2298,Product!A$2:B$21,1,0)</f>
        <v>PD0018</v>
      </c>
      <c r="E2298" s="36">
        <v>107</v>
      </c>
      <c r="F2298" s="38">
        <v>52939320</v>
      </c>
      <c r="G2298" s="39" t="s">
        <v>4672</v>
      </c>
      <c r="H2298" s="12"/>
      <c r="L2298" s="12"/>
    </row>
    <row r="2299" spans="1:12" ht="15.75" customHeight="1" x14ac:dyDescent="0.3">
      <c r="A2299" s="17" t="s">
        <v>1052</v>
      </c>
      <c r="B2299" s="50" t="str">
        <f>VLOOKUP(A2299,'Sales Order'!A$2:B$1029,1,0)</f>
        <v>SO0814</v>
      </c>
      <c r="C2299" s="29" t="s">
        <v>72</v>
      </c>
      <c r="D2299" s="50" t="str">
        <f>VLOOKUP(C2299,Product!A$2:B$21,1,0)</f>
        <v>PD0016</v>
      </c>
      <c r="E2299" s="36">
        <v>50</v>
      </c>
      <c r="F2299" s="38">
        <v>10279500</v>
      </c>
      <c r="G2299" s="39" t="s">
        <v>4673</v>
      </c>
      <c r="H2299" s="12"/>
      <c r="L2299" s="12"/>
    </row>
    <row r="2300" spans="1:12" ht="15.75" customHeight="1" x14ac:dyDescent="0.3">
      <c r="A2300" s="29" t="s">
        <v>1052</v>
      </c>
      <c r="B2300" s="50" t="str">
        <f>VLOOKUP(A2300,'Sales Order'!A$2:B$1029,1,0)</f>
        <v>SO0814</v>
      </c>
      <c r="C2300" s="29" t="s">
        <v>48</v>
      </c>
      <c r="D2300" s="50" t="str">
        <f>VLOOKUP(C2300,Product!A$2:B$21,1,0)</f>
        <v>PD0009</v>
      </c>
      <c r="E2300" s="36">
        <v>38</v>
      </c>
      <c r="F2300" s="38">
        <v>4362780</v>
      </c>
      <c r="G2300" s="39" t="s">
        <v>4674</v>
      </c>
      <c r="H2300" s="12"/>
      <c r="L2300" s="12"/>
    </row>
    <row r="2301" spans="1:12" ht="15.75" customHeight="1" x14ac:dyDescent="0.3">
      <c r="A2301" s="29" t="s">
        <v>1052</v>
      </c>
      <c r="B2301" s="50" t="str">
        <f>VLOOKUP(A2301,'Sales Order'!A$2:B$1029,1,0)</f>
        <v>SO0814</v>
      </c>
      <c r="C2301" s="29" t="s">
        <v>19</v>
      </c>
      <c r="D2301" s="50" t="str">
        <f>VLOOKUP(C2301,Product!A$2:B$21,1,0)</f>
        <v>PD0001</v>
      </c>
      <c r="E2301" s="36">
        <v>41</v>
      </c>
      <c r="F2301" s="38">
        <v>9086010</v>
      </c>
      <c r="G2301" s="39" t="s">
        <v>4675</v>
      </c>
      <c r="H2301" s="12"/>
      <c r="L2301" s="12"/>
    </row>
    <row r="2302" spans="1:12" ht="15.75" customHeight="1" x14ac:dyDescent="0.3">
      <c r="A2302" s="29" t="s">
        <v>1052</v>
      </c>
      <c r="B2302" s="50" t="str">
        <f>VLOOKUP(A2302,'Sales Order'!A$2:B$1029,1,0)</f>
        <v>SO0814</v>
      </c>
      <c r="C2302" s="29" t="s">
        <v>65</v>
      </c>
      <c r="D2302" s="50" t="str">
        <f>VLOOKUP(C2302,Product!A$2:B$21,1,0)</f>
        <v>PD0014</v>
      </c>
      <c r="E2302" s="36">
        <v>73</v>
      </c>
      <c r="F2302" s="38">
        <v>15592800</v>
      </c>
      <c r="G2302" s="39" t="s">
        <v>4676</v>
      </c>
      <c r="H2302" s="12"/>
      <c r="L2302" s="12"/>
    </row>
    <row r="2303" spans="1:12" ht="15.75" customHeight="1" x14ac:dyDescent="0.3">
      <c r="A2303" s="17" t="s">
        <v>1053</v>
      </c>
      <c r="B2303" s="50" t="str">
        <f>VLOOKUP(A2303,'Sales Order'!A$2:B$1029,1,0)</f>
        <v>SO0815</v>
      </c>
      <c r="C2303" s="29" t="s">
        <v>58</v>
      </c>
      <c r="D2303" s="50" t="str">
        <f>VLOOKUP(C2303,Product!A$2:B$21,1,0)</f>
        <v>PD0012</v>
      </c>
      <c r="E2303" s="36">
        <v>93</v>
      </c>
      <c r="F2303" s="38">
        <v>451007220</v>
      </c>
      <c r="G2303" s="39" t="s">
        <v>4677</v>
      </c>
      <c r="H2303" s="12"/>
      <c r="L2303" s="12"/>
    </row>
    <row r="2304" spans="1:12" ht="15.75" customHeight="1" x14ac:dyDescent="0.3">
      <c r="A2304" s="29" t="s">
        <v>1053</v>
      </c>
      <c r="B2304" s="50" t="str">
        <f>VLOOKUP(A2304,'Sales Order'!A$2:B$1029,1,0)</f>
        <v>SO0815</v>
      </c>
      <c r="C2304" s="29" t="s">
        <v>61</v>
      </c>
      <c r="D2304" s="50" t="str">
        <f>VLOOKUP(C2304,Product!A$2:B$21,1,0)</f>
        <v>PD0013</v>
      </c>
      <c r="E2304" s="36">
        <v>48</v>
      </c>
      <c r="F2304" s="38">
        <v>19773120</v>
      </c>
      <c r="G2304" s="39" t="s">
        <v>4678</v>
      </c>
      <c r="H2304" s="12"/>
      <c r="L2304" s="12"/>
    </row>
    <row r="2305" spans="1:12" ht="15.75" customHeight="1" x14ac:dyDescent="0.3">
      <c r="A2305" s="29" t="s">
        <v>1053</v>
      </c>
      <c r="B2305" s="50" t="str">
        <f>VLOOKUP(A2305,'Sales Order'!A$2:B$1029,1,0)</f>
        <v>SO0815</v>
      </c>
      <c r="C2305" s="29" t="s">
        <v>69</v>
      </c>
      <c r="D2305" s="50" t="str">
        <f>VLOOKUP(C2305,Product!A$2:B$21,1,0)</f>
        <v>PD0015</v>
      </c>
      <c r="E2305" s="36">
        <v>148</v>
      </c>
      <c r="F2305" s="38">
        <v>15688296</v>
      </c>
      <c r="G2305" s="39" t="s">
        <v>4679</v>
      </c>
      <c r="H2305" s="12"/>
      <c r="L2305" s="12"/>
    </row>
    <row r="2306" spans="1:12" ht="15.75" customHeight="1" x14ac:dyDescent="0.3">
      <c r="A2306" s="29" t="s">
        <v>1053</v>
      </c>
      <c r="B2306" s="50" t="str">
        <f>VLOOKUP(A2306,'Sales Order'!A$2:B$1029,1,0)</f>
        <v>SO0815</v>
      </c>
      <c r="C2306" s="29" t="s">
        <v>43</v>
      </c>
      <c r="D2306" s="50" t="str">
        <f>VLOOKUP(C2306,Product!A$2:B$21,1,0)</f>
        <v>PD0007</v>
      </c>
      <c r="E2306" s="36">
        <v>60</v>
      </c>
      <c r="F2306" s="38">
        <v>163200000</v>
      </c>
      <c r="G2306" s="39" t="s">
        <v>4680</v>
      </c>
      <c r="H2306" s="12"/>
      <c r="L2306" s="12"/>
    </row>
    <row r="2307" spans="1:12" ht="15.75" customHeight="1" x14ac:dyDescent="0.3">
      <c r="A2307" s="17" t="s">
        <v>1054</v>
      </c>
      <c r="B2307" s="50" t="str">
        <f>VLOOKUP(A2307,'Sales Order'!A$2:B$1029,1,0)</f>
        <v>SO0816</v>
      </c>
      <c r="C2307" s="29" t="s">
        <v>25</v>
      </c>
      <c r="D2307" s="50" t="str">
        <f>VLOOKUP(C2307,Product!A$2:B$21,1,0)</f>
        <v>PD0002</v>
      </c>
      <c r="E2307" s="36">
        <v>112</v>
      </c>
      <c r="F2307" s="38">
        <v>2038400</v>
      </c>
      <c r="G2307" s="39" t="s">
        <v>4681</v>
      </c>
      <c r="H2307" s="12"/>
      <c r="L2307" s="12"/>
    </row>
    <row r="2308" spans="1:12" ht="15.75" customHeight="1" x14ac:dyDescent="0.3">
      <c r="A2308" s="17" t="s">
        <v>1055</v>
      </c>
      <c r="B2308" s="50" t="str">
        <f>VLOOKUP(A2308,'Sales Order'!A$2:B$1029,1,0)</f>
        <v>SO0817</v>
      </c>
      <c r="C2308" s="29" t="s">
        <v>33</v>
      </c>
      <c r="D2308" s="50" t="str">
        <f>VLOOKUP(C2308,Product!A$2:B$21,1,0)</f>
        <v>PD0004</v>
      </c>
      <c r="E2308" s="36">
        <v>77</v>
      </c>
      <c r="F2308" s="38">
        <v>13721400</v>
      </c>
      <c r="G2308" s="39" t="s">
        <v>4682</v>
      </c>
      <c r="H2308" s="12"/>
      <c r="L2308" s="12"/>
    </row>
    <row r="2309" spans="1:12" ht="15.75" customHeight="1" x14ac:dyDescent="0.3">
      <c r="A2309" s="29" t="s">
        <v>1055</v>
      </c>
      <c r="B2309" s="50" t="str">
        <f>VLOOKUP(A2309,'Sales Order'!A$2:B$1029,1,0)</f>
        <v>SO0817</v>
      </c>
      <c r="C2309" s="29" t="s">
        <v>48</v>
      </c>
      <c r="D2309" s="50" t="str">
        <f>VLOOKUP(C2309,Product!A$2:B$21,1,0)</f>
        <v>PD0009</v>
      </c>
      <c r="E2309" s="36">
        <v>78</v>
      </c>
      <c r="F2309" s="38">
        <v>8552700</v>
      </c>
      <c r="G2309" s="39" t="s">
        <v>4683</v>
      </c>
      <c r="H2309" s="12"/>
      <c r="L2309" s="12"/>
    </row>
    <row r="2310" spans="1:12" ht="15.75" customHeight="1" x14ac:dyDescent="0.3">
      <c r="A2310" s="17" t="s">
        <v>1056</v>
      </c>
      <c r="B2310" s="50" t="str">
        <f>VLOOKUP(A2310,'Sales Order'!A$2:B$1029,1,0)</f>
        <v>SO0818</v>
      </c>
      <c r="C2310" s="29" t="s">
        <v>40</v>
      </c>
      <c r="D2310" s="50" t="str">
        <f>VLOOKUP(C2310,Product!A$2:B$21,1,0)</f>
        <v>PD0006</v>
      </c>
      <c r="E2310" s="36">
        <v>132</v>
      </c>
      <c r="F2310" s="38">
        <v>24277440</v>
      </c>
      <c r="G2310" s="39" t="s">
        <v>4684</v>
      </c>
      <c r="H2310" s="12"/>
      <c r="L2310" s="12"/>
    </row>
    <row r="2311" spans="1:12" ht="15.75" customHeight="1" x14ac:dyDescent="0.3">
      <c r="A2311" s="29" t="s">
        <v>1056</v>
      </c>
      <c r="B2311" s="50" t="str">
        <f>VLOOKUP(A2311,'Sales Order'!A$2:B$1029,1,0)</f>
        <v>SO0818</v>
      </c>
      <c r="C2311" s="29" t="s">
        <v>55</v>
      </c>
      <c r="D2311" s="50" t="str">
        <f>VLOOKUP(C2311,Product!A$2:B$21,1,0)</f>
        <v>PD0011</v>
      </c>
      <c r="E2311" s="36">
        <v>71</v>
      </c>
      <c r="F2311" s="38">
        <v>147390320</v>
      </c>
      <c r="G2311" s="39" t="s">
        <v>4685</v>
      </c>
      <c r="H2311" s="12"/>
      <c r="L2311" s="12"/>
    </row>
    <row r="2312" spans="1:12" ht="15.75" customHeight="1" x14ac:dyDescent="0.3">
      <c r="A2312" s="17" t="s">
        <v>1057</v>
      </c>
      <c r="B2312" s="50" t="str">
        <f>VLOOKUP(A2312,'Sales Order'!A$2:B$1029,1,0)</f>
        <v>SO0819</v>
      </c>
      <c r="C2312" s="29" t="s">
        <v>65</v>
      </c>
      <c r="D2312" s="50" t="str">
        <f>VLOOKUP(C2312,Product!A$2:B$21,1,0)</f>
        <v>PD0014</v>
      </c>
      <c r="E2312" s="36">
        <v>136</v>
      </c>
      <c r="F2312" s="38">
        <v>27597120</v>
      </c>
      <c r="G2312" s="39" t="s">
        <v>4686</v>
      </c>
      <c r="H2312" s="12"/>
      <c r="L2312" s="12"/>
    </row>
    <row r="2313" spans="1:12" ht="15.75" customHeight="1" x14ac:dyDescent="0.3">
      <c r="A2313" s="29" t="s">
        <v>1057</v>
      </c>
      <c r="B2313" s="50" t="str">
        <f>VLOOKUP(A2313,'Sales Order'!A$2:B$1029,1,0)</f>
        <v>SO0819</v>
      </c>
      <c r="C2313" s="29" t="s">
        <v>78</v>
      </c>
      <c r="D2313" s="50" t="str">
        <f>VLOOKUP(C2313,Product!A$2:B$21,1,0)</f>
        <v>PD0018</v>
      </c>
      <c r="E2313" s="36">
        <v>108</v>
      </c>
      <c r="F2313" s="38">
        <v>49412160</v>
      </c>
      <c r="G2313" s="39" t="s">
        <v>4687</v>
      </c>
      <c r="H2313" s="12"/>
      <c r="L2313" s="12"/>
    </row>
    <row r="2314" spans="1:12" ht="15.75" customHeight="1" x14ac:dyDescent="0.3">
      <c r="A2314" s="29" t="s">
        <v>1057</v>
      </c>
      <c r="B2314" s="50" t="str">
        <f>VLOOKUP(A2314,'Sales Order'!A$2:B$1029,1,0)</f>
        <v>SO0819</v>
      </c>
      <c r="C2314" s="29" t="s">
        <v>35</v>
      </c>
      <c r="D2314" s="50" t="str">
        <f>VLOOKUP(C2314,Product!A$2:B$21,1,0)</f>
        <v>PD0005</v>
      </c>
      <c r="E2314" s="36">
        <v>78</v>
      </c>
      <c r="F2314" s="38">
        <v>130119600</v>
      </c>
      <c r="G2314" s="39" t="s">
        <v>4688</v>
      </c>
      <c r="H2314" s="12"/>
      <c r="L2314" s="12"/>
    </row>
    <row r="2315" spans="1:12" ht="15.75" customHeight="1" x14ac:dyDescent="0.3">
      <c r="A2315" s="17" t="s">
        <v>1058</v>
      </c>
      <c r="B2315" s="50" t="str">
        <f>VLOOKUP(A2315,'Sales Order'!A$2:B$1029,1,0)</f>
        <v>SO0820</v>
      </c>
      <c r="C2315" s="29" t="s">
        <v>72</v>
      </c>
      <c r="D2315" s="50" t="str">
        <f>VLOOKUP(C2315,Product!A$2:B$21,1,0)</f>
        <v>PD0016</v>
      </c>
      <c r="E2315" s="36">
        <v>78</v>
      </c>
      <c r="F2315" s="38">
        <v>18951660</v>
      </c>
      <c r="G2315" s="39" t="s">
        <v>4689</v>
      </c>
      <c r="H2315" s="12"/>
      <c r="L2315" s="12"/>
    </row>
    <row r="2316" spans="1:12" ht="15.75" customHeight="1" x14ac:dyDescent="0.3">
      <c r="A2316" s="29" t="s">
        <v>1058</v>
      </c>
      <c r="B2316" s="50" t="str">
        <f>VLOOKUP(A2316,'Sales Order'!A$2:B$1029,1,0)</f>
        <v>SO0820</v>
      </c>
      <c r="C2316" s="29" t="s">
        <v>45</v>
      </c>
      <c r="D2316" s="50" t="str">
        <f>VLOOKUP(C2316,Product!A$2:B$21,1,0)</f>
        <v>PD0008</v>
      </c>
      <c r="E2316" s="36">
        <v>43</v>
      </c>
      <c r="F2316" s="38">
        <v>5061530</v>
      </c>
      <c r="G2316" s="39" t="s">
        <v>4690</v>
      </c>
      <c r="H2316" s="12"/>
      <c r="L2316" s="12"/>
    </row>
    <row r="2317" spans="1:12" ht="15.75" customHeight="1" x14ac:dyDescent="0.3">
      <c r="A2317" s="29" t="s">
        <v>1058</v>
      </c>
      <c r="B2317" s="50" t="str">
        <f>VLOOKUP(A2317,'Sales Order'!A$2:B$1029,1,0)</f>
        <v>SO0820</v>
      </c>
      <c r="C2317" s="29" t="s">
        <v>48</v>
      </c>
      <c r="D2317" s="50" t="str">
        <f>VLOOKUP(C2317,Product!A$2:B$21,1,0)</f>
        <v>PD0009</v>
      </c>
      <c r="E2317" s="36">
        <v>112</v>
      </c>
      <c r="F2317" s="38">
        <v>13003200</v>
      </c>
      <c r="G2317" s="39" t="s">
        <v>4691</v>
      </c>
      <c r="H2317" s="12"/>
      <c r="L2317" s="12"/>
    </row>
    <row r="2318" spans="1:12" ht="15.75" customHeight="1" x14ac:dyDescent="0.3">
      <c r="A2318" s="17" t="s">
        <v>1059</v>
      </c>
      <c r="B2318" s="50" t="str">
        <f>VLOOKUP(A2318,'Sales Order'!A$2:B$1029,1,0)</f>
        <v>SO0821</v>
      </c>
      <c r="C2318" s="29" t="s">
        <v>75</v>
      </c>
      <c r="D2318" s="50" t="str">
        <f>VLOOKUP(C2318,Product!A$2:B$21,1,0)</f>
        <v>PD0017</v>
      </c>
      <c r="E2318" s="36">
        <v>102</v>
      </c>
      <c r="F2318" s="38">
        <v>210834000</v>
      </c>
      <c r="G2318" s="39" t="s">
        <v>4692</v>
      </c>
      <c r="H2318" s="12"/>
      <c r="L2318" s="12"/>
    </row>
    <row r="2319" spans="1:12" ht="15.75" customHeight="1" x14ac:dyDescent="0.3">
      <c r="A2319" s="29" t="s">
        <v>1059</v>
      </c>
      <c r="B2319" s="50" t="str">
        <f>VLOOKUP(A2319,'Sales Order'!A$2:B$1029,1,0)</f>
        <v>SO0821</v>
      </c>
      <c r="C2319" s="29" t="s">
        <v>65</v>
      </c>
      <c r="D2319" s="50" t="str">
        <f>VLOOKUP(C2319,Product!A$2:B$21,1,0)</f>
        <v>PD0014</v>
      </c>
      <c r="E2319" s="36">
        <v>73</v>
      </c>
      <c r="F2319" s="38">
        <v>17541900</v>
      </c>
      <c r="G2319" s="39" t="s">
        <v>4693</v>
      </c>
      <c r="H2319" s="12"/>
      <c r="L2319" s="12"/>
    </row>
    <row r="2320" spans="1:12" ht="15.75" customHeight="1" x14ac:dyDescent="0.3">
      <c r="A2320" s="17" t="s">
        <v>1060</v>
      </c>
      <c r="B2320" s="50" t="str">
        <f>VLOOKUP(A2320,'Sales Order'!A$2:B$1029,1,0)</f>
        <v>SO0822</v>
      </c>
      <c r="C2320" s="29" t="s">
        <v>61</v>
      </c>
      <c r="D2320" s="50" t="str">
        <f>VLOOKUP(C2320,Product!A$2:B$21,1,0)</f>
        <v>PD0013</v>
      </c>
      <c r="E2320" s="36">
        <v>146</v>
      </c>
      <c r="F2320" s="38">
        <v>65038619.999999993</v>
      </c>
      <c r="G2320" s="39" t="s">
        <v>4694</v>
      </c>
      <c r="H2320" s="12"/>
      <c r="L2320" s="12"/>
    </row>
    <row r="2321" spans="1:12" ht="15.75" customHeight="1" x14ac:dyDescent="0.3">
      <c r="A2321" s="29" t="s">
        <v>1060</v>
      </c>
      <c r="B2321" s="50" t="str">
        <f>VLOOKUP(A2321,'Sales Order'!A$2:B$1029,1,0)</f>
        <v>SO0822</v>
      </c>
      <c r="C2321" s="29" t="s">
        <v>28</v>
      </c>
      <c r="D2321" s="50" t="str">
        <f>VLOOKUP(C2321,Product!A$2:B$21,1,0)</f>
        <v>PD0003</v>
      </c>
      <c r="E2321" s="36">
        <v>37</v>
      </c>
      <c r="F2321" s="38">
        <v>32380180</v>
      </c>
      <c r="G2321" s="39" t="s">
        <v>4695</v>
      </c>
      <c r="H2321" s="12"/>
      <c r="L2321" s="12"/>
    </row>
    <row r="2322" spans="1:12" ht="15.75" customHeight="1" x14ac:dyDescent="0.3">
      <c r="A2322" s="29" t="s">
        <v>1060</v>
      </c>
      <c r="B2322" s="50" t="str">
        <f>VLOOKUP(A2322,'Sales Order'!A$2:B$1029,1,0)</f>
        <v>SO0822</v>
      </c>
      <c r="C2322" s="29" t="s">
        <v>83</v>
      </c>
      <c r="D2322" s="50" t="str">
        <f>VLOOKUP(C2322,Product!A$2:B$21,1,0)</f>
        <v>PD0020</v>
      </c>
      <c r="E2322" s="36">
        <v>141</v>
      </c>
      <c r="F2322" s="38">
        <v>36661410</v>
      </c>
      <c r="G2322" s="39" t="s">
        <v>4696</v>
      </c>
      <c r="H2322" s="12"/>
      <c r="L2322" s="12"/>
    </row>
    <row r="2323" spans="1:12" ht="15.75" customHeight="1" x14ac:dyDescent="0.3">
      <c r="A2323" s="17" t="s">
        <v>1061</v>
      </c>
      <c r="B2323" s="50" t="str">
        <f>VLOOKUP(A2323,'Sales Order'!A$2:B$1029,1,0)</f>
        <v>SO0823</v>
      </c>
      <c r="C2323" s="29" t="s">
        <v>40</v>
      </c>
      <c r="D2323" s="50" t="str">
        <f>VLOOKUP(C2323,Product!A$2:B$21,1,0)</f>
        <v>PD0006</v>
      </c>
      <c r="E2323" s="36">
        <v>133</v>
      </c>
      <c r="F2323" s="38">
        <v>21959630</v>
      </c>
      <c r="G2323" s="39" t="s">
        <v>4697</v>
      </c>
      <c r="H2323" s="12"/>
      <c r="L2323" s="12"/>
    </row>
    <row r="2324" spans="1:12" ht="15.75" customHeight="1" x14ac:dyDescent="0.3">
      <c r="A2324" s="29" t="s">
        <v>1061</v>
      </c>
      <c r="B2324" s="50" t="str">
        <f>VLOOKUP(A2324,'Sales Order'!A$2:B$1029,1,0)</f>
        <v>SO0823</v>
      </c>
      <c r="C2324" s="29" t="s">
        <v>81</v>
      </c>
      <c r="D2324" s="50" t="str">
        <f>VLOOKUP(C2324,Product!A$2:B$21,1,0)</f>
        <v>PD0019</v>
      </c>
      <c r="E2324" s="36">
        <v>40</v>
      </c>
      <c r="F2324" s="38">
        <v>82587600</v>
      </c>
      <c r="G2324" s="39" t="s">
        <v>4698</v>
      </c>
      <c r="H2324" s="12"/>
      <c r="L2324" s="12"/>
    </row>
    <row r="2325" spans="1:12" ht="15.75" customHeight="1" x14ac:dyDescent="0.3">
      <c r="A2325" s="29" t="s">
        <v>1062</v>
      </c>
      <c r="B2325" s="50" t="str">
        <f>VLOOKUP(A2325,'Sales Order'!A$2:B$1029,1,0)</f>
        <v>SO0824</v>
      </c>
      <c r="C2325" s="29" t="s">
        <v>75</v>
      </c>
      <c r="D2325" s="50" t="str">
        <f>VLOOKUP(C2325,Product!A$2:B$21,1,0)</f>
        <v>PD0017</v>
      </c>
      <c r="E2325" s="36">
        <v>115</v>
      </c>
      <c r="F2325" s="38">
        <v>246847500.00000003</v>
      </c>
      <c r="G2325" s="39" t="s">
        <v>4699</v>
      </c>
      <c r="H2325" s="12"/>
      <c r="L2325" s="12"/>
    </row>
    <row r="2326" spans="1:12" ht="15.75" customHeight="1" x14ac:dyDescent="0.3">
      <c r="A2326" s="29" t="s">
        <v>1062</v>
      </c>
      <c r="B2326" s="50" t="str">
        <f>VLOOKUP(A2326,'Sales Order'!A$2:B$1029,1,0)</f>
        <v>SO0824</v>
      </c>
      <c r="C2326" s="29" t="s">
        <v>65</v>
      </c>
      <c r="D2326" s="50" t="str">
        <f>VLOOKUP(C2326,Product!A$2:B$21,1,0)</f>
        <v>PD0014</v>
      </c>
      <c r="E2326" s="36">
        <v>105</v>
      </c>
      <c r="F2326" s="38">
        <v>26072550</v>
      </c>
      <c r="G2326" s="39" t="s">
        <v>4700</v>
      </c>
      <c r="H2326" s="12"/>
      <c r="L2326" s="12"/>
    </row>
    <row r="2327" spans="1:12" ht="15.75" customHeight="1" x14ac:dyDescent="0.3">
      <c r="A2327" s="29" t="s">
        <v>1062</v>
      </c>
      <c r="B2327" s="50" t="str">
        <f>VLOOKUP(A2327,'Sales Order'!A$2:B$1029,1,0)</f>
        <v>SO0824</v>
      </c>
      <c r="C2327" s="29" t="s">
        <v>19</v>
      </c>
      <c r="D2327" s="50" t="str">
        <f>VLOOKUP(C2327,Product!A$2:B$21,1,0)</f>
        <v>PD0001</v>
      </c>
      <c r="E2327" s="36">
        <v>59</v>
      </c>
      <c r="F2327" s="38">
        <v>13368810</v>
      </c>
      <c r="G2327" s="39" t="s">
        <v>4701</v>
      </c>
      <c r="H2327" s="12"/>
      <c r="L2327" s="12"/>
    </row>
    <row r="2328" spans="1:12" ht="15.75" customHeight="1" x14ac:dyDescent="0.3">
      <c r="A2328" s="17" t="s">
        <v>1063</v>
      </c>
      <c r="B2328" s="50" t="str">
        <f>VLOOKUP(A2328,'Sales Order'!A$2:B$1029,1,0)</f>
        <v>SO0825</v>
      </c>
      <c r="C2328" s="29" t="s">
        <v>69</v>
      </c>
      <c r="D2328" s="50" t="str">
        <f>VLOOKUP(C2328,Product!A$2:B$21,1,0)</f>
        <v>PD0015</v>
      </c>
      <c r="E2328" s="36">
        <v>125</v>
      </c>
      <c r="F2328" s="38">
        <v>15288750</v>
      </c>
      <c r="G2328" s="39" t="s">
        <v>4702</v>
      </c>
      <c r="H2328" s="12"/>
      <c r="L2328" s="12"/>
    </row>
    <row r="2329" spans="1:12" ht="15.75" customHeight="1" x14ac:dyDescent="0.3">
      <c r="A2329" s="29" t="s">
        <v>1063</v>
      </c>
      <c r="B2329" s="50" t="str">
        <f>VLOOKUP(A2329,'Sales Order'!A$2:B$1029,1,0)</f>
        <v>SO0825</v>
      </c>
      <c r="C2329" s="29" t="s">
        <v>48</v>
      </c>
      <c r="D2329" s="50" t="str">
        <f>VLOOKUP(C2329,Product!A$2:B$21,1,0)</f>
        <v>PD0009</v>
      </c>
      <c r="E2329" s="36">
        <v>137</v>
      </c>
      <c r="F2329" s="38">
        <v>16259160</v>
      </c>
      <c r="G2329" s="39" t="s">
        <v>4703</v>
      </c>
      <c r="H2329" s="12"/>
      <c r="L2329" s="12"/>
    </row>
    <row r="2330" spans="1:12" ht="15.75" customHeight="1" x14ac:dyDescent="0.3">
      <c r="A2330" s="29" t="s">
        <v>1063</v>
      </c>
      <c r="B2330" s="50" t="str">
        <f>VLOOKUP(A2330,'Sales Order'!A$2:B$1029,1,0)</f>
        <v>SO0825</v>
      </c>
      <c r="C2330" s="29" t="s">
        <v>75</v>
      </c>
      <c r="D2330" s="50" t="str">
        <f>VLOOKUP(C2330,Product!A$2:B$21,1,0)</f>
        <v>PD0017</v>
      </c>
      <c r="E2330" s="36">
        <v>104</v>
      </c>
      <c r="F2330" s="38">
        <v>242528000</v>
      </c>
      <c r="G2330" s="39" t="s">
        <v>4704</v>
      </c>
      <c r="H2330" s="12"/>
      <c r="L2330" s="12"/>
    </row>
    <row r="2331" spans="1:12" ht="15.75" customHeight="1" x14ac:dyDescent="0.3">
      <c r="A2331" s="29" t="s">
        <v>1063</v>
      </c>
      <c r="B2331" s="50" t="str">
        <f>VLOOKUP(A2331,'Sales Order'!A$2:B$1029,1,0)</f>
        <v>SO0825</v>
      </c>
      <c r="C2331" s="29" t="s">
        <v>40</v>
      </c>
      <c r="D2331" s="50" t="str">
        <f>VLOOKUP(C2331,Product!A$2:B$21,1,0)</f>
        <v>PD0006</v>
      </c>
      <c r="E2331" s="36">
        <v>86</v>
      </c>
      <c r="F2331" s="38">
        <v>14558940.000000002</v>
      </c>
      <c r="G2331" s="39" t="s">
        <v>4705</v>
      </c>
      <c r="H2331" s="12"/>
      <c r="L2331" s="12"/>
    </row>
    <row r="2332" spans="1:12" ht="15.75" customHeight="1" x14ac:dyDescent="0.3">
      <c r="A2332" s="17" t="s">
        <v>1064</v>
      </c>
      <c r="B2332" s="50" t="str">
        <f>VLOOKUP(A2332,'Sales Order'!A$2:B$1029,1,0)</f>
        <v>SO0826</v>
      </c>
      <c r="C2332" s="29" t="s">
        <v>78</v>
      </c>
      <c r="D2332" s="50" t="str">
        <f>VLOOKUP(C2332,Product!A$2:B$21,1,0)</f>
        <v>PD0018</v>
      </c>
      <c r="E2332" s="36">
        <v>129</v>
      </c>
      <c r="F2332" s="38">
        <v>54216120</v>
      </c>
      <c r="G2332" s="39" t="s">
        <v>4706</v>
      </c>
      <c r="H2332" s="12"/>
      <c r="L2332" s="12"/>
    </row>
    <row r="2333" spans="1:12" ht="15.75" customHeight="1" x14ac:dyDescent="0.3">
      <c r="A2333" s="29" t="s">
        <v>1064</v>
      </c>
      <c r="B2333" s="50" t="str">
        <f>VLOOKUP(A2333,'Sales Order'!A$2:B$1029,1,0)</f>
        <v>SO0826</v>
      </c>
      <c r="C2333" s="29" t="s">
        <v>43</v>
      </c>
      <c r="D2333" s="50" t="str">
        <f>VLOOKUP(C2333,Product!A$2:B$21,1,0)</f>
        <v>PD0007</v>
      </c>
      <c r="E2333" s="36">
        <v>69</v>
      </c>
      <c r="F2333" s="38">
        <v>198720000</v>
      </c>
      <c r="G2333" s="39" t="s">
        <v>4707</v>
      </c>
      <c r="H2333" s="12"/>
      <c r="L2333" s="12"/>
    </row>
    <row r="2334" spans="1:12" ht="15.75" customHeight="1" x14ac:dyDescent="0.3">
      <c r="A2334" s="17" t="s">
        <v>1065</v>
      </c>
      <c r="B2334" s="50" t="str">
        <f>VLOOKUP(A2334,'Sales Order'!A$2:B$1029,1,0)</f>
        <v>SO0827</v>
      </c>
      <c r="C2334" s="29" t="s">
        <v>83</v>
      </c>
      <c r="D2334" s="50" t="str">
        <f>VLOOKUP(C2334,Product!A$2:B$21,1,0)</f>
        <v>PD0020</v>
      </c>
      <c r="E2334" s="36">
        <v>79</v>
      </c>
      <c r="F2334" s="38">
        <v>20540790</v>
      </c>
      <c r="G2334" s="39" t="s">
        <v>4708</v>
      </c>
      <c r="H2334" s="12"/>
      <c r="L2334" s="12"/>
    </row>
    <row r="2335" spans="1:12" ht="15.75" customHeight="1" x14ac:dyDescent="0.3">
      <c r="A2335" s="17" t="s">
        <v>1066</v>
      </c>
      <c r="B2335" s="50" t="str">
        <f>VLOOKUP(A2335,'Sales Order'!A$2:B$1029,1,0)</f>
        <v>SO0828</v>
      </c>
      <c r="C2335" s="29" t="s">
        <v>75</v>
      </c>
      <c r="D2335" s="50" t="str">
        <f>VLOOKUP(C2335,Product!A$2:B$21,1,0)</f>
        <v>PD0017</v>
      </c>
      <c r="E2335" s="36">
        <v>117</v>
      </c>
      <c r="F2335" s="38">
        <v>272844000</v>
      </c>
      <c r="G2335" s="39" t="s">
        <v>4709</v>
      </c>
      <c r="H2335" s="12"/>
      <c r="L2335" s="12"/>
    </row>
    <row r="2336" spans="1:12" ht="15.75" customHeight="1" x14ac:dyDescent="0.3">
      <c r="A2336" s="29" t="s">
        <v>1066</v>
      </c>
      <c r="B2336" s="50" t="str">
        <f>VLOOKUP(A2336,'Sales Order'!A$2:B$1029,1,0)</f>
        <v>SO0828</v>
      </c>
      <c r="C2336" s="29" t="s">
        <v>72</v>
      </c>
      <c r="D2336" s="50" t="str">
        <f>VLOOKUP(C2336,Product!A$2:B$21,1,0)</f>
        <v>PD0016</v>
      </c>
      <c r="E2336" s="36">
        <v>71</v>
      </c>
      <c r="F2336" s="38">
        <v>18009150</v>
      </c>
      <c r="G2336" s="39" t="s">
        <v>4710</v>
      </c>
      <c r="H2336" s="12"/>
      <c r="L2336" s="12"/>
    </row>
    <row r="2337" spans="1:12" ht="15.75" customHeight="1" x14ac:dyDescent="0.3">
      <c r="A2337" s="29" t="s">
        <v>1066</v>
      </c>
      <c r="B2337" s="50" t="str">
        <f>VLOOKUP(A2337,'Sales Order'!A$2:B$1029,1,0)</f>
        <v>SO0828</v>
      </c>
      <c r="C2337" s="29" t="s">
        <v>33</v>
      </c>
      <c r="D2337" s="50" t="str">
        <f>VLOOKUP(C2337,Product!A$2:B$21,1,0)</f>
        <v>PD0004</v>
      </c>
      <c r="E2337" s="36">
        <v>53</v>
      </c>
      <c r="F2337" s="38">
        <v>9094800</v>
      </c>
      <c r="G2337" s="39" t="s">
        <v>4711</v>
      </c>
      <c r="H2337" s="12"/>
      <c r="L2337" s="12"/>
    </row>
    <row r="2338" spans="1:12" ht="15.75" customHeight="1" x14ac:dyDescent="0.3">
      <c r="A2338" s="17" t="s">
        <v>1067</v>
      </c>
      <c r="B2338" s="50" t="str">
        <f>VLOOKUP(A2338,'Sales Order'!A$2:B$1029,1,0)</f>
        <v>SO0829</v>
      </c>
      <c r="C2338" s="29" t="s">
        <v>55</v>
      </c>
      <c r="D2338" s="50" t="str">
        <f>VLOOKUP(C2338,Product!A$2:B$21,1,0)</f>
        <v>PD0011</v>
      </c>
      <c r="E2338" s="36">
        <v>125</v>
      </c>
      <c r="F2338" s="38">
        <v>271285000</v>
      </c>
      <c r="G2338" s="39" t="s">
        <v>4712</v>
      </c>
      <c r="H2338" s="12"/>
      <c r="L2338" s="12"/>
    </row>
    <row r="2339" spans="1:12" ht="15.75" customHeight="1" x14ac:dyDescent="0.3">
      <c r="A2339" s="17" t="s">
        <v>1068</v>
      </c>
      <c r="B2339" s="50" t="str">
        <f>VLOOKUP(A2339,'Sales Order'!A$2:B$1029,1,0)</f>
        <v>SO0830</v>
      </c>
      <c r="C2339" s="29" t="s">
        <v>45</v>
      </c>
      <c r="D2339" s="50" t="str">
        <f>VLOOKUP(C2339,Product!A$2:B$21,1,0)</f>
        <v>PD0008</v>
      </c>
      <c r="E2339" s="36">
        <v>33</v>
      </c>
      <c r="F2339" s="38">
        <v>4621980</v>
      </c>
      <c r="G2339" s="39" t="s">
        <v>4713</v>
      </c>
      <c r="H2339" s="12"/>
      <c r="L2339" s="12"/>
    </row>
    <row r="2340" spans="1:12" ht="15.75" customHeight="1" x14ac:dyDescent="0.3">
      <c r="A2340" s="29" t="s">
        <v>1068</v>
      </c>
      <c r="B2340" s="50" t="str">
        <f>VLOOKUP(A2340,'Sales Order'!A$2:B$1029,1,0)</f>
        <v>SO0830</v>
      </c>
      <c r="C2340" s="29" t="s">
        <v>19</v>
      </c>
      <c r="D2340" s="50" t="str">
        <f>VLOOKUP(C2340,Product!A$2:B$21,1,0)</f>
        <v>PD0001</v>
      </c>
      <c r="E2340" s="36">
        <v>94</v>
      </c>
      <c r="F2340" s="38">
        <v>18022620</v>
      </c>
      <c r="G2340" s="39" t="s">
        <v>4714</v>
      </c>
      <c r="H2340" s="12"/>
      <c r="L2340" s="12"/>
    </row>
    <row r="2341" spans="1:12" ht="15.75" customHeight="1" x14ac:dyDescent="0.3">
      <c r="A2341" s="17" t="s">
        <v>1069</v>
      </c>
      <c r="B2341" s="50" t="str">
        <f>VLOOKUP(A2341,'Sales Order'!A$2:B$1029,1,0)</f>
        <v>SO0831</v>
      </c>
      <c r="C2341" s="29" t="s">
        <v>28</v>
      </c>
      <c r="D2341" s="50" t="str">
        <f>VLOOKUP(C2341,Product!A$2:B$21,1,0)</f>
        <v>PD0003</v>
      </c>
      <c r="E2341" s="36">
        <v>102</v>
      </c>
      <c r="F2341" s="38">
        <v>80717700</v>
      </c>
      <c r="G2341" s="39" t="s">
        <v>4715</v>
      </c>
      <c r="H2341" s="12"/>
      <c r="L2341" s="12"/>
    </row>
    <row r="2342" spans="1:12" ht="15.75" customHeight="1" x14ac:dyDescent="0.3">
      <c r="A2342" s="29" t="s">
        <v>1069</v>
      </c>
      <c r="B2342" s="50" t="str">
        <f>VLOOKUP(A2342,'Sales Order'!A$2:B$1029,1,0)</f>
        <v>SO0831</v>
      </c>
      <c r="C2342" s="29" t="s">
        <v>48</v>
      </c>
      <c r="D2342" s="50" t="str">
        <f>VLOOKUP(C2342,Product!A$2:B$21,1,0)</f>
        <v>PD0009</v>
      </c>
      <c r="E2342" s="36">
        <v>133</v>
      </c>
      <c r="F2342" s="38">
        <v>15441300</v>
      </c>
      <c r="G2342" s="39" t="s">
        <v>4716</v>
      </c>
      <c r="H2342" s="12"/>
      <c r="L2342" s="12"/>
    </row>
    <row r="2343" spans="1:12" ht="15.75" customHeight="1" x14ac:dyDescent="0.3">
      <c r="A2343" s="29" t="s">
        <v>1070</v>
      </c>
      <c r="B2343" s="50" t="str">
        <f>VLOOKUP(A2343,'Sales Order'!A$2:B$1029,1,0)</f>
        <v>SO0832</v>
      </c>
      <c r="C2343" s="29" t="s">
        <v>78</v>
      </c>
      <c r="D2343" s="50" t="str">
        <f>VLOOKUP(C2343,Product!A$2:B$21,1,0)</f>
        <v>PD0018</v>
      </c>
      <c r="E2343" s="36">
        <v>93</v>
      </c>
      <c r="F2343" s="38">
        <v>43044120</v>
      </c>
      <c r="G2343" s="39" t="s">
        <v>4717</v>
      </c>
      <c r="H2343" s="12"/>
      <c r="L2343" s="12"/>
    </row>
    <row r="2344" spans="1:12" ht="15.75" customHeight="1" x14ac:dyDescent="0.3">
      <c r="A2344" s="29" t="s">
        <v>1070</v>
      </c>
      <c r="B2344" s="50" t="str">
        <f>VLOOKUP(A2344,'Sales Order'!A$2:B$1029,1,0)</f>
        <v>SO0832</v>
      </c>
      <c r="C2344" s="29" t="s">
        <v>72</v>
      </c>
      <c r="D2344" s="50" t="str">
        <f>VLOOKUP(C2344,Product!A$2:B$21,1,0)</f>
        <v>PD0016</v>
      </c>
      <c r="E2344" s="36">
        <v>64</v>
      </c>
      <c r="F2344" s="38">
        <v>15550080</v>
      </c>
      <c r="G2344" s="39" t="s">
        <v>4718</v>
      </c>
      <c r="H2344" s="12"/>
      <c r="L2344" s="12"/>
    </row>
    <row r="2345" spans="1:12" ht="15.75" customHeight="1" x14ac:dyDescent="0.3">
      <c r="A2345" s="29" t="s">
        <v>1070</v>
      </c>
      <c r="B2345" s="50" t="str">
        <f>VLOOKUP(A2345,'Sales Order'!A$2:B$1029,1,0)</f>
        <v>SO0832</v>
      </c>
      <c r="C2345" s="29" t="s">
        <v>35</v>
      </c>
      <c r="D2345" s="50" t="str">
        <f>VLOOKUP(C2345,Product!A$2:B$21,1,0)</f>
        <v>PD0005</v>
      </c>
      <c r="E2345" s="36">
        <v>141</v>
      </c>
      <c r="F2345" s="38">
        <v>275450550</v>
      </c>
      <c r="G2345" s="39" t="s">
        <v>4719</v>
      </c>
      <c r="H2345" s="12"/>
      <c r="L2345" s="12"/>
    </row>
    <row r="2346" spans="1:12" ht="15.75" customHeight="1" x14ac:dyDescent="0.3">
      <c r="A2346" s="17" t="s">
        <v>1071</v>
      </c>
      <c r="B2346" s="50" t="str">
        <f>VLOOKUP(A2346,'Sales Order'!A$2:B$1029,1,0)</f>
        <v>SO0833</v>
      </c>
      <c r="C2346" s="29" t="s">
        <v>35</v>
      </c>
      <c r="D2346" s="50" t="str">
        <f>VLOOKUP(C2346,Product!A$2:B$21,1,0)</f>
        <v>PD0005</v>
      </c>
      <c r="E2346" s="36">
        <v>135</v>
      </c>
      <c r="F2346" s="38">
        <v>278545500</v>
      </c>
      <c r="G2346" s="39" t="s">
        <v>4720</v>
      </c>
      <c r="H2346" s="12"/>
      <c r="L2346" s="12"/>
    </row>
    <row r="2347" spans="1:12" ht="15.75" customHeight="1" x14ac:dyDescent="0.3">
      <c r="A2347" s="29" t="s">
        <v>1071</v>
      </c>
      <c r="B2347" s="50" t="str">
        <f>VLOOKUP(A2347,'Sales Order'!A$2:B$1029,1,0)</f>
        <v>SO0833</v>
      </c>
      <c r="C2347" s="29" t="s">
        <v>78</v>
      </c>
      <c r="D2347" s="50" t="str">
        <f>VLOOKUP(C2347,Product!A$2:B$21,1,0)</f>
        <v>PD0018</v>
      </c>
      <c r="E2347" s="36">
        <v>113</v>
      </c>
      <c r="F2347" s="38">
        <v>52300920</v>
      </c>
      <c r="G2347" s="39" t="s">
        <v>4721</v>
      </c>
      <c r="H2347" s="12"/>
      <c r="L2347" s="12"/>
    </row>
    <row r="2348" spans="1:12" ht="15.75" customHeight="1" x14ac:dyDescent="0.3">
      <c r="A2348" s="17" t="s">
        <v>1072</v>
      </c>
      <c r="B2348" s="50" t="str">
        <f>VLOOKUP(A2348,'Sales Order'!A$2:B$1029,1,0)</f>
        <v>SO0834</v>
      </c>
      <c r="C2348" s="29" t="s">
        <v>78</v>
      </c>
      <c r="D2348" s="50" t="str">
        <f>VLOOKUP(C2348,Product!A$2:B$21,1,0)</f>
        <v>PD0018</v>
      </c>
      <c r="E2348" s="36">
        <v>52</v>
      </c>
      <c r="F2348" s="38">
        <v>26280800</v>
      </c>
      <c r="G2348" s="39" t="s">
        <v>4722</v>
      </c>
      <c r="H2348" s="12"/>
      <c r="L2348" s="12"/>
    </row>
    <row r="2349" spans="1:12" ht="15.75" customHeight="1" x14ac:dyDescent="0.3">
      <c r="A2349" s="29" t="s">
        <v>1072</v>
      </c>
      <c r="B2349" s="50" t="str">
        <f>VLOOKUP(A2349,'Sales Order'!A$2:B$1029,1,0)</f>
        <v>SO0834</v>
      </c>
      <c r="C2349" s="29" t="s">
        <v>40</v>
      </c>
      <c r="D2349" s="50" t="str">
        <f>VLOOKUP(C2349,Product!A$2:B$21,1,0)</f>
        <v>PD0006</v>
      </c>
      <c r="E2349" s="36">
        <v>67</v>
      </c>
      <c r="F2349" s="38">
        <v>10922340</v>
      </c>
      <c r="G2349" s="39" t="s">
        <v>4723</v>
      </c>
      <c r="H2349" s="12"/>
      <c r="L2349" s="12"/>
    </row>
    <row r="2350" spans="1:12" ht="15.75" customHeight="1" x14ac:dyDescent="0.3">
      <c r="A2350" s="17" t="s">
        <v>1073</v>
      </c>
      <c r="B2350" s="50" t="str">
        <f>VLOOKUP(A2350,'Sales Order'!A$2:B$1029,1,0)</f>
        <v>SO0835</v>
      </c>
      <c r="C2350" s="29" t="s">
        <v>45</v>
      </c>
      <c r="D2350" s="50" t="str">
        <f>VLOOKUP(C2350,Product!A$2:B$21,1,0)</f>
        <v>PD0008</v>
      </c>
      <c r="E2350" s="36">
        <v>28</v>
      </c>
      <c r="F2350" s="38">
        <v>3754800</v>
      </c>
      <c r="G2350" s="39" t="s">
        <v>4724</v>
      </c>
      <c r="H2350" s="12"/>
      <c r="L2350" s="12"/>
    </row>
    <row r="2351" spans="1:12" ht="15.75" customHeight="1" x14ac:dyDescent="0.3">
      <c r="A2351" s="29" t="s">
        <v>1073</v>
      </c>
      <c r="B2351" s="50" t="str">
        <f>VLOOKUP(A2351,'Sales Order'!A$2:B$1029,1,0)</f>
        <v>SO0835</v>
      </c>
      <c r="C2351" s="29" t="s">
        <v>40</v>
      </c>
      <c r="D2351" s="50" t="str">
        <f>VLOOKUP(C2351,Product!A$2:B$21,1,0)</f>
        <v>PD0006</v>
      </c>
      <c r="E2351" s="36">
        <v>109</v>
      </c>
      <c r="F2351" s="38">
        <v>19136040</v>
      </c>
      <c r="G2351" s="39" t="s">
        <v>4725</v>
      </c>
      <c r="H2351" s="12"/>
      <c r="L2351" s="12"/>
    </row>
    <row r="2352" spans="1:12" ht="15.75" customHeight="1" x14ac:dyDescent="0.3">
      <c r="A2352" s="29" t="s">
        <v>1073</v>
      </c>
      <c r="B2352" s="50" t="str">
        <f>VLOOKUP(A2352,'Sales Order'!A$2:B$1029,1,0)</f>
        <v>SO0835</v>
      </c>
      <c r="C2352" s="29" t="s">
        <v>33</v>
      </c>
      <c r="D2352" s="50" t="str">
        <f>VLOOKUP(C2352,Product!A$2:B$21,1,0)</f>
        <v>PD0004</v>
      </c>
      <c r="E2352" s="36">
        <v>45</v>
      </c>
      <c r="F2352" s="38">
        <v>8415000</v>
      </c>
      <c r="G2352" s="39" t="s">
        <v>4726</v>
      </c>
      <c r="H2352" s="12"/>
      <c r="L2352" s="12"/>
    </row>
    <row r="2353" spans="1:12" ht="15.75" customHeight="1" x14ac:dyDescent="0.3">
      <c r="A2353" s="17" t="s">
        <v>1074</v>
      </c>
      <c r="B2353" s="50" t="str">
        <f>VLOOKUP(A2353,'Sales Order'!A$2:B$1029,1,0)</f>
        <v>SO0836</v>
      </c>
      <c r="C2353" s="29" t="s">
        <v>72</v>
      </c>
      <c r="D2353" s="50" t="str">
        <f>VLOOKUP(C2353,Product!A$2:B$21,1,0)</f>
        <v>PD0016</v>
      </c>
      <c r="E2353" s="36">
        <v>95</v>
      </c>
      <c r="F2353" s="38">
        <v>24096750</v>
      </c>
      <c r="G2353" s="39" t="s">
        <v>4727</v>
      </c>
      <c r="H2353" s="12"/>
      <c r="L2353" s="12"/>
    </row>
    <row r="2354" spans="1:12" ht="15.75" customHeight="1" x14ac:dyDescent="0.3">
      <c r="A2354" s="17" t="s">
        <v>1075</v>
      </c>
      <c r="B2354" s="50" t="str">
        <f>VLOOKUP(A2354,'Sales Order'!A$2:B$1029,1,0)</f>
        <v>SO0837</v>
      </c>
      <c r="C2354" s="29" t="s">
        <v>69</v>
      </c>
      <c r="D2354" s="50" t="str">
        <f>VLOOKUP(C2354,Product!A$2:B$21,1,0)</f>
        <v>PD0015</v>
      </c>
      <c r="E2354" s="36">
        <v>117</v>
      </c>
      <c r="F2354" s="38">
        <v>12243231</v>
      </c>
      <c r="G2354" s="39" t="s">
        <v>4728</v>
      </c>
      <c r="H2354" s="12"/>
      <c r="L2354" s="12"/>
    </row>
    <row r="2355" spans="1:12" ht="15.75" customHeight="1" x14ac:dyDescent="0.3">
      <c r="A2355" s="29" t="s">
        <v>1075</v>
      </c>
      <c r="B2355" s="50" t="str">
        <f>VLOOKUP(A2355,'Sales Order'!A$2:B$1029,1,0)</f>
        <v>SO0837</v>
      </c>
      <c r="C2355" s="29" t="s">
        <v>83</v>
      </c>
      <c r="D2355" s="50" t="str">
        <f>VLOOKUP(C2355,Product!A$2:B$21,1,0)</f>
        <v>PD0020</v>
      </c>
      <c r="E2355" s="36">
        <v>41</v>
      </c>
      <c r="F2355" s="38">
        <v>12371340</v>
      </c>
      <c r="G2355" s="39" t="s">
        <v>4729</v>
      </c>
      <c r="H2355" s="12"/>
      <c r="L2355" s="12"/>
    </row>
    <row r="2356" spans="1:12" ht="15.75" customHeight="1" x14ac:dyDescent="0.3">
      <c r="A2356" s="29" t="s">
        <v>1075</v>
      </c>
      <c r="B2356" s="50" t="str">
        <f>VLOOKUP(A2356,'Sales Order'!A$2:B$1029,1,0)</f>
        <v>SO0837</v>
      </c>
      <c r="C2356" s="29" t="s">
        <v>35</v>
      </c>
      <c r="D2356" s="50" t="str">
        <f>VLOOKUP(C2356,Product!A$2:B$21,1,0)</f>
        <v>PD0005</v>
      </c>
      <c r="E2356" s="36">
        <v>36</v>
      </c>
      <c r="F2356" s="38">
        <v>72698400</v>
      </c>
      <c r="G2356" s="39" t="s">
        <v>4730</v>
      </c>
      <c r="H2356" s="12"/>
      <c r="L2356" s="12"/>
    </row>
    <row r="2357" spans="1:12" ht="15.75" customHeight="1" x14ac:dyDescent="0.3">
      <c r="A2357" s="29" t="s">
        <v>1075</v>
      </c>
      <c r="B2357" s="50" t="str">
        <f>VLOOKUP(A2357,'Sales Order'!A$2:B$1029,1,0)</f>
        <v>SO0837</v>
      </c>
      <c r="C2357" s="29" t="s">
        <v>65</v>
      </c>
      <c r="D2357" s="50" t="str">
        <f>VLOOKUP(C2357,Product!A$2:B$21,1,0)</f>
        <v>PD0014</v>
      </c>
      <c r="E2357" s="36">
        <v>53</v>
      </c>
      <c r="F2357" s="38">
        <v>13018920</v>
      </c>
      <c r="G2357" s="39" t="s">
        <v>4731</v>
      </c>
      <c r="H2357" s="12"/>
      <c r="L2357" s="12"/>
    </row>
    <row r="2358" spans="1:12" ht="15.75" customHeight="1" x14ac:dyDescent="0.3">
      <c r="A2358" s="29" t="s">
        <v>1075</v>
      </c>
      <c r="B2358" s="50" t="str">
        <f>VLOOKUP(A2358,'Sales Order'!A$2:B$1029,1,0)</f>
        <v>SO0837</v>
      </c>
      <c r="C2358" s="29" t="s">
        <v>43</v>
      </c>
      <c r="D2358" s="50" t="str">
        <f>VLOOKUP(C2358,Product!A$2:B$21,1,0)</f>
        <v>PD0007</v>
      </c>
      <c r="E2358" s="36">
        <v>101</v>
      </c>
      <c r="F2358" s="38">
        <v>300576000</v>
      </c>
      <c r="G2358" s="39" t="s">
        <v>4732</v>
      </c>
      <c r="H2358" s="12"/>
      <c r="L2358" s="12"/>
    </row>
    <row r="2359" spans="1:12" ht="15.75" customHeight="1" x14ac:dyDescent="0.3">
      <c r="A2359" s="17" t="s">
        <v>1077</v>
      </c>
      <c r="B2359" s="50" t="str">
        <f>VLOOKUP(A2359,'Sales Order'!A$2:B$1029,1,0)</f>
        <v>SO0839</v>
      </c>
      <c r="C2359" s="29" t="s">
        <v>33</v>
      </c>
      <c r="D2359" s="50" t="str">
        <f>VLOOKUP(C2359,Product!A$2:B$21,1,0)</f>
        <v>PD0004</v>
      </c>
      <c r="E2359" s="36">
        <v>103</v>
      </c>
      <c r="F2359" s="38">
        <v>19714200</v>
      </c>
      <c r="G2359" s="39" t="s">
        <v>4733</v>
      </c>
      <c r="H2359" s="12"/>
      <c r="L2359" s="12"/>
    </row>
    <row r="2360" spans="1:12" ht="15.75" customHeight="1" x14ac:dyDescent="0.3">
      <c r="A2360" s="17" t="s">
        <v>1078</v>
      </c>
      <c r="B2360" s="50" t="str">
        <f>VLOOKUP(A2360,'Sales Order'!A$2:B$1029,1,0)</f>
        <v>SO0840</v>
      </c>
      <c r="C2360" s="29" t="s">
        <v>45</v>
      </c>
      <c r="D2360" s="50" t="str">
        <f>VLOOKUP(C2360,Product!A$2:B$21,1,0)</f>
        <v>PD0008</v>
      </c>
      <c r="E2360" s="36">
        <v>83</v>
      </c>
      <c r="F2360" s="38">
        <v>9522590</v>
      </c>
      <c r="G2360" s="39" t="s">
        <v>4734</v>
      </c>
      <c r="H2360" s="12"/>
      <c r="L2360" s="12"/>
    </row>
    <row r="2361" spans="1:12" ht="15.75" customHeight="1" x14ac:dyDescent="0.3">
      <c r="A2361" s="29" t="s">
        <v>1078</v>
      </c>
      <c r="B2361" s="50" t="str">
        <f>VLOOKUP(A2361,'Sales Order'!A$2:B$1029,1,0)</f>
        <v>SO0840</v>
      </c>
      <c r="C2361" s="29" t="s">
        <v>28</v>
      </c>
      <c r="D2361" s="50" t="str">
        <f>VLOOKUP(C2361,Product!A$2:B$21,1,0)</f>
        <v>PD0003</v>
      </c>
      <c r="E2361" s="36">
        <v>89</v>
      </c>
      <c r="F2361" s="38">
        <v>64630020</v>
      </c>
      <c r="G2361" s="39" t="s">
        <v>4735</v>
      </c>
      <c r="H2361" s="12"/>
      <c r="L2361" s="12"/>
    </row>
    <row r="2362" spans="1:12" ht="15.75" customHeight="1" x14ac:dyDescent="0.3">
      <c r="A2362" s="17" t="s">
        <v>1079</v>
      </c>
      <c r="B2362" s="50" t="str">
        <f>VLOOKUP(A2362,'Sales Order'!A$2:B$1029,1,0)</f>
        <v>SO0841</v>
      </c>
      <c r="C2362" s="29" t="s">
        <v>58</v>
      </c>
      <c r="D2362" s="50" t="str">
        <f>VLOOKUP(C2362,Product!A$2:B$21,1,0)</f>
        <v>PD0012</v>
      </c>
      <c r="E2362" s="36">
        <v>75</v>
      </c>
      <c r="F2362" s="38">
        <v>384861750</v>
      </c>
      <c r="G2362" s="39" t="s">
        <v>4736</v>
      </c>
      <c r="H2362" s="12"/>
      <c r="L2362" s="12"/>
    </row>
    <row r="2363" spans="1:12" ht="15.75" customHeight="1" x14ac:dyDescent="0.3">
      <c r="A2363" s="17" t="s">
        <v>1080</v>
      </c>
      <c r="B2363" s="50" t="str">
        <f>VLOOKUP(A2363,'Sales Order'!A$2:B$1029,1,0)</f>
        <v>SO0842</v>
      </c>
      <c r="C2363" s="29" t="s">
        <v>65</v>
      </c>
      <c r="D2363" s="50" t="str">
        <f>VLOOKUP(C2363,Product!A$2:B$21,1,0)</f>
        <v>PD0014</v>
      </c>
      <c r="E2363" s="36">
        <v>85</v>
      </c>
      <c r="F2363" s="38">
        <v>21333300</v>
      </c>
      <c r="G2363" s="39" t="s">
        <v>4737</v>
      </c>
      <c r="H2363" s="12"/>
      <c r="L2363" s="12"/>
    </row>
    <row r="2364" spans="1:12" ht="15.75" customHeight="1" x14ac:dyDescent="0.3">
      <c r="A2364" s="29" t="s">
        <v>1080</v>
      </c>
      <c r="B2364" s="50" t="str">
        <f>VLOOKUP(A2364,'Sales Order'!A$2:B$1029,1,0)</f>
        <v>SO0842</v>
      </c>
      <c r="C2364" s="29" t="s">
        <v>25</v>
      </c>
      <c r="D2364" s="50" t="str">
        <f>VLOOKUP(C2364,Product!A$2:B$21,1,0)</f>
        <v>PD0002</v>
      </c>
      <c r="E2364" s="36">
        <v>88</v>
      </c>
      <c r="F2364" s="38">
        <v>1372800</v>
      </c>
      <c r="G2364" s="39" t="s">
        <v>4738</v>
      </c>
      <c r="H2364" s="12"/>
      <c r="L2364" s="12"/>
    </row>
    <row r="2365" spans="1:12" ht="15.75" customHeight="1" x14ac:dyDescent="0.3">
      <c r="A2365" s="29" t="s">
        <v>1080</v>
      </c>
      <c r="B2365" s="50" t="str">
        <f>VLOOKUP(A2365,'Sales Order'!A$2:B$1029,1,0)</f>
        <v>SO0842</v>
      </c>
      <c r="C2365" s="29" t="s">
        <v>48</v>
      </c>
      <c r="D2365" s="50" t="str">
        <f>VLOOKUP(C2365,Product!A$2:B$21,1,0)</f>
        <v>PD0009</v>
      </c>
      <c r="E2365" s="36">
        <v>73</v>
      </c>
      <c r="F2365" s="38">
        <v>8569470</v>
      </c>
      <c r="G2365" s="39" t="s">
        <v>4739</v>
      </c>
      <c r="H2365" s="12"/>
      <c r="L2365" s="12"/>
    </row>
    <row r="2366" spans="1:12" ht="15.75" customHeight="1" x14ac:dyDescent="0.3">
      <c r="A2366" s="17" t="s">
        <v>1081</v>
      </c>
      <c r="B2366" s="50" t="str">
        <f>VLOOKUP(A2366,'Sales Order'!A$2:B$1029,1,0)</f>
        <v>SO0843</v>
      </c>
      <c r="C2366" s="29" t="s">
        <v>40</v>
      </c>
      <c r="D2366" s="50" t="str">
        <f>VLOOKUP(C2366,Product!A$2:B$21,1,0)</f>
        <v>PD0006</v>
      </c>
      <c r="E2366" s="36">
        <v>103</v>
      </c>
      <c r="F2366" s="38">
        <v>16360520</v>
      </c>
      <c r="G2366" s="39" t="s">
        <v>4740</v>
      </c>
      <c r="H2366" s="12"/>
      <c r="L2366" s="12"/>
    </row>
    <row r="2367" spans="1:12" ht="15.75" customHeight="1" x14ac:dyDescent="0.3">
      <c r="A2367" s="29" t="s">
        <v>1081</v>
      </c>
      <c r="B2367" s="50" t="str">
        <f>VLOOKUP(A2367,'Sales Order'!A$2:B$1029,1,0)</f>
        <v>SO0843</v>
      </c>
      <c r="C2367" s="29" t="s">
        <v>33</v>
      </c>
      <c r="D2367" s="50" t="str">
        <f>VLOOKUP(C2367,Product!A$2:B$21,1,0)</f>
        <v>PD0004</v>
      </c>
      <c r="E2367" s="36">
        <v>66</v>
      </c>
      <c r="F2367" s="38">
        <v>13648800</v>
      </c>
      <c r="G2367" s="39" t="s">
        <v>4741</v>
      </c>
      <c r="H2367" s="12"/>
      <c r="L2367" s="12"/>
    </row>
    <row r="2368" spans="1:12" ht="15.75" customHeight="1" x14ac:dyDescent="0.3">
      <c r="A2368" s="29" t="s">
        <v>1081</v>
      </c>
      <c r="B2368" s="50" t="str">
        <f>VLOOKUP(A2368,'Sales Order'!A$2:B$1029,1,0)</f>
        <v>SO0843</v>
      </c>
      <c r="C2368" s="29" t="s">
        <v>83</v>
      </c>
      <c r="D2368" s="50" t="str">
        <f>VLOOKUP(C2368,Product!A$2:B$21,1,0)</f>
        <v>PD0020</v>
      </c>
      <c r="E2368" s="36">
        <v>115</v>
      </c>
      <c r="F2368" s="38">
        <v>29162850</v>
      </c>
      <c r="G2368" s="39" t="s">
        <v>4742</v>
      </c>
      <c r="H2368" s="12"/>
      <c r="L2368" s="12"/>
    </row>
    <row r="2369" spans="1:12" ht="15.75" customHeight="1" x14ac:dyDescent="0.3">
      <c r="A2369" s="29" t="s">
        <v>1081</v>
      </c>
      <c r="B2369" s="50" t="str">
        <f>VLOOKUP(A2369,'Sales Order'!A$2:B$1029,1,0)</f>
        <v>SO0843</v>
      </c>
      <c r="C2369" s="29" t="s">
        <v>48</v>
      </c>
      <c r="D2369" s="50" t="str">
        <f>VLOOKUP(C2369,Product!A$2:B$21,1,0)</f>
        <v>PD0009</v>
      </c>
      <c r="E2369" s="36">
        <v>51</v>
      </c>
      <c r="F2369" s="38">
        <v>5000040</v>
      </c>
      <c r="G2369" s="39" t="s">
        <v>4743</v>
      </c>
      <c r="H2369" s="12"/>
      <c r="L2369" s="12"/>
    </row>
    <row r="2370" spans="1:12" ht="15.75" customHeight="1" x14ac:dyDescent="0.3">
      <c r="A2370" s="17" t="s">
        <v>1082</v>
      </c>
      <c r="B2370" s="50" t="str">
        <f>VLOOKUP(A2370,'Sales Order'!A$2:B$1029,1,0)</f>
        <v>SO0844</v>
      </c>
      <c r="C2370" s="29" t="s">
        <v>61</v>
      </c>
      <c r="D2370" s="50" t="str">
        <f>VLOOKUP(C2370,Product!A$2:B$21,1,0)</f>
        <v>PD0013</v>
      </c>
      <c r="E2370" s="36">
        <v>40</v>
      </c>
      <c r="F2370" s="38">
        <v>18010400</v>
      </c>
      <c r="G2370" s="39" t="s">
        <v>4744</v>
      </c>
      <c r="H2370" s="12"/>
      <c r="L2370" s="12"/>
    </row>
    <row r="2371" spans="1:12" ht="15.75" customHeight="1" x14ac:dyDescent="0.3">
      <c r="A2371" s="29" t="s">
        <v>1082</v>
      </c>
      <c r="B2371" s="50" t="str">
        <f>VLOOKUP(A2371,'Sales Order'!A$2:B$1029,1,0)</f>
        <v>SO0844</v>
      </c>
      <c r="C2371" s="29" t="s">
        <v>78</v>
      </c>
      <c r="D2371" s="50" t="str">
        <f>VLOOKUP(C2371,Product!A$2:B$21,1,0)</f>
        <v>PD0018</v>
      </c>
      <c r="E2371" s="36">
        <v>147</v>
      </c>
      <c r="F2371" s="38">
        <v>69601560</v>
      </c>
      <c r="G2371" s="39" t="s">
        <v>4745</v>
      </c>
      <c r="H2371" s="12"/>
      <c r="L2371" s="12"/>
    </row>
    <row r="2372" spans="1:12" ht="15.75" customHeight="1" x14ac:dyDescent="0.3">
      <c r="A2372" s="17" t="s">
        <v>1083</v>
      </c>
      <c r="B2372" s="50" t="str">
        <f>VLOOKUP(A2372,'Sales Order'!A$2:B$1029,1,0)</f>
        <v>SO0845</v>
      </c>
      <c r="C2372" s="29" t="s">
        <v>58</v>
      </c>
      <c r="D2372" s="50" t="str">
        <f>VLOOKUP(C2372,Product!A$2:B$21,1,0)</f>
        <v>PD0012</v>
      </c>
      <c r="E2372" s="36">
        <v>84</v>
      </c>
      <c r="F2372" s="38">
        <v>435781920</v>
      </c>
      <c r="G2372" s="39" t="s">
        <v>4746</v>
      </c>
      <c r="H2372" s="12"/>
      <c r="L2372" s="12"/>
    </row>
    <row r="2373" spans="1:12" ht="15.75" customHeight="1" x14ac:dyDescent="0.3">
      <c r="A2373" s="29" t="s">
        <v>1083</v>
      </c>
      <c r="B2373" s="50" t="str">
        <f>VLOOKUP(A2373,'Sales Order'!A$2:B$1029,1,0)</f>
        <v>SO0845</v>
      </c>
      <c r="C2373" s="29" t="s">
        <v>78</v>
      </c>
      <c r="D2373" s="50" t="str">
        <f>VLOOKUP(C2373,Product!A$2:B$21,1,0)</f>
        <v>PD0018</v>
      </c>
      <c r="E2373" s="36">
        <v>142</v>
      </c>
      <c r="F2373" s="38">
        <v>67989600</v>
      </c>
      <c r="G2373" s="39" t="s">
        <v>4747</v>
      </c>
      <c r="H2373" s="12"/>
      <c r="L2373" s="12"/>
    </row>
    <row r="2374" spans="1:12" ht="15.75" customHeight="1" x14ac:dyDescent="0.3">
      <c r="A2374" s="29" t="s">
        <v>1083</v>
      </c>
      <c r="B2374" s="50" t="str">
        <f>VLOOKUP(A2374,'Sales Order'!A$2:B$1029,1,0)</f>
        <v>SO0845</v>
      </c>
      <c r="C2374" s="29" t="s">
        <v>69</v>
      </c>
      <c r="D2374" s="50" t="str">
        <f>VLOOKUP(C2374,Product!A$2:B$21,1,0)</f>
        <v>PD0015</v>
      </c>
      <c r="E2374" s="36">
        <v>121</v>
      </c>
      <c r="F2374" s="38">
        <v>14635071</v>
      </c>
      <c r="G2374" s="39" t="s">
        <v>4748</v>
      </c>
      <c r="H2374" s="12"/>
      <c r="L2374" s="12"/>
    </row>
    <row r="2375" spans="1:12" ht="15.75" customHeight="1" x14ac:dyDescent="0.3">
      <c r="A2375" s="29" t="s">
        <v>1083</v>
      </c>
      <c r="B2375" s="50" t="str">
        <f>VLOOKUP(A2375,'Sales Order'!A$2:B$1029,1,0)</f>
        <v>SO0845</v>
      </c>
      <c r="C2375" s="29" t="s">
        <v>28</v>
      </c>
      <c r="D2375" s="50" t="str">
        <f>VLOOKUP(C2375,Product!A$2:B$21,1,0)</f>
        <v>PD0003</v>
      </c>
      <c r="E2375" s="36">
        <v>118</v>
      </c>
      <c r="F2375" s="38">
        <v>104365100</v>
      </c>
      <c r="G2375" s="39" t="s">
        <v>4749</v>
      </c>
      <c r="H2375" s="12"/>
      <c r="L2375" s="12"/>
    </row>
    <row r="2376" spans="1:12" ht="15.75" customHeight="1" x14ac:dyDescent="0.3">
      <c r="A2376" s="17" t="s">
        <v>1084</v>
      </c>
      <c r="B2376" s="50" t="str">
        <f>VLOOKUP(A2376,'Sales Order'!A$2:B$1029,1,0)</f>
        <v>SO0846</v>
      </c>
      <c r="C2376" s="29" t="s">
        <v>19</v>
      </c>
      <c r="D2376" s="50" t="str">
        <f>VLOOKUP(C2376,Product!A$2:B$21,1,0)</f>
        <v>PD0001</v>
      </c>
      <c r="E2376" s="36">
        <v>128</v>
      </c>
      <c r="F2376" s="38">
        <v>27091200</v>
      </c>
      <c r="G2376" s="39" t="s">
        <v>4750</v>
      </c>
      <c r="H2376" s="12"/>
      <c r="L2376" s="12"/>
    </row>
    <row r="2377" spans="1:12" ht="15.75" customHeight="1" x14ac:dyDescent="0.3">
      <c r="A2377" s="29" t="s">
        <v>1084</v>
      </c>
      <c r="B2377" s="50" t="str">
        <f>VLOOKUP(A2377,'Sales Order'!A$2:B$1029,1,0)</f>
        <v>SO0846</v>
      </c>
      <c r="C2377" s="29" t="s">
        <v>55</v>
      </c>
      <c r="D2377" s="50" t="str">
        <f>VLOOKUP(C2377,Product!A$2:B$21,1,0)</f>
        <v>PD0011</v>
      </c>
      <c r="E2377" s="36">
        <v>142</v>
      </c>
      <c r="F2377" s="38">
        <v>294780640</v>
      </c>
      <c r="G2377" s="39" t="s">
        <v>4751</v>
      </c>
      <c r="H2377" s="12"/>
      <c r="L2377" s="12"/>
    </row>
    <row r="2378" spans="1:12" ht="15.75" customHeight="1" x14ac:dyDescent="0.3">
      <c r="A2378" s="29" t="s">
        <v>1084</v>
      </c>
      <c r="B2378" s="50" t="str">
        <f>VLOOKUP(A2378,'Sales Order'!A$2:B$1029,1,0)</f>
        <v>SO0846</v>
      </c>
      <c r="C2378" s="29" t="s">
        <v>61</v>
      </c>
      <c r="D2378" s="50" t="str">
        <f>VLOOKUP(C2378,Product!A$2:B$21,1,0)</f>
        <v>PD0013</v>
      </c>
      <c r="E2378" s="36">
        <v>101</v>
      </c>
      <c r="F2378" s="38">
        <v>38219410</v>
      </c>
      <c r="G2378" s="39" t="s">
        <v>4752</v>
      </c>
      <c r="H2378" s="12"/>
      <c r="L2378" s="12"/>
    </row>
    <row r="2379" spans="1:12" ht="15.75" customHeight="1" x14ac:dyDescent="0.3">
      <c r="A2379" s="29" t="s">
        <v>1084</v>
      </c>
      <c r="B2379" s="50" t="str">
        <f>VLOOKUP(A2379,'Sales Order'!A$2:B$1029,1,0)</f>
        <v>SO0846</v>
      </c>
      <c r="C2379" s="29" t="s">
        <v>83</v>
      </c>
      <c r="D2379" s="50" t="str">
        <f>VLOOKUP(C2379,Product!A$2:B$21,1,0)</f>
        <v>PD0020</v>
      </c>
      <c r="E2379" s="36">
        <v>94</v>
      </c>
      <c r="F2379" s="38">
        <v>28061819.999999996</v>
      </c>
      <c r="G2379" s="39" t="s">
        <v>4753</v>
      </c>
      <c r="H2379" s="12"/>
      <c r="L2379" s="12"/>
    </row>
    <row r="2380" spans="1:12" ht="15.75" customHeight="1" x14ac:dyDescent="0.3">
      <c r="A2380" s="29" t="s">
        <v>1084</v>
      </c>
      <c r="B2380" s="50" t="str">
        <f>VLOOKUP(A2380,'Sales Order'!A$2:B$1029,1,0)</f>
        <v>SO0846</v>
      </c>
      <c r="C2380" s="29" t="s">
        <v>35</v>
      </c>
      <c r="D2380" s="50" t="str">
        <f>VLOOKUP(C2380,Product!A$2:B$21,1,0)</f>
        <v>PD0005</v>
      </c>
      <c r="E2380" s="36">
        <v>97</v>
      </c>
      <c r="F2380" s="38">
        <v>172461150</v>
      </c>
      <c r="G2380" s="39" t="s">
        <v>4754</v>
      </c>
      <c r="H2380" s="12"/>
      <c r="L2380" s="12"/>
    </row>
    <row r="2381" spans="1:12" ht="15.75" customHeight="1" x14ac:dyDescent="0.3">
      <c r="A2381" s="29" t="s">
        <v>1084</v>
      </c>
      <c r="B2381" s="50" t="str">
        <f>VLOOKUP(A2381,'Sales Order'!A$2:B$1029,1,0)</f>
        <v>SO0846</v>
      </c>
      <c r="C2381" s="29" t="s">
        <v>52</v>
      </c>
      <c r="D2381" s="50" t="str">
        <f>VLOOKUP(C2381,Product!A$2:B$21,1,0)</f>
        <v>PD0010</v>
      </c>
      <c r="E2381" s="36">
        <v>128</v>
      </c>
      <c r="F2381" s="38">
        <v>34944000</v>
      </c>
      <c r="G2381" s="39" t="s">
        <v>4755</v>
      </c>
      <c r="H2381" s="12"/>
      <c r="L2381" s="12"/>
    </row>
    <row r="2382" spans="1:12" ht="15.75" customHeight="1" x14ac:dyDescent="0.3">
      <c r="A2382" s="17" t="s">
        <v>1085</v>
      </c>
      <c r="B2382" s="50" t="str">
        <f>VLOOKUP(A2382,'Sales Order'!A$2:B$1029,1,0)</f>
        <v>SO0847</v>
      </c>
      <c r="C2382" s="29" t="s">
        <v>52</v>
      </c>
      <c r="D2382" s="50" t="str">
        <f>VLOOKUP(C2382,Product!A$2:B$21,1,0)</f>
        <v>PD0010</v>
      </c>
      <c r="E2382" s="36">
        <v>148</v>
      </c>
      <c r="F2382" s="38">
        <v>44252000</v>
      </c>
      <c r="G2382" s="39" t="s">
        <v>4756</v>
      </c>
      <c r="H2382" s="12"/>
      <c r="L2382" s="12"/>
    </row>
    <row r="2383" spans="1:12" ht="15.75" customHeight="1" x14ac:dyDescent="0.3">
      <c r="A2383" s="29" t="s">
        <v>1085</v>
      </c>
      <c r="B2383" s="50" t="str">
        <f>VLOOKUP(A2383,'Sales Order'!A$2:B$1029,1,0)</f>
        <v>SO0847</v>
      </c>
      <c r="C2383" s="29" t="s">
        <v>43</v>
      </c>
      <c r="D2383" s="50" t="str">
        <f>VLOOKUP(C2383,Product!A$2:B$21,1,0)</f>
        <v>PD0007</v>
      </c>
      <c r="E2383" s="36">
        <v>93</v>
      </c>
      <c r="F2383" s="38">
        <v>258912000</v>
      </c>
      <c r="G2383" s="39" t="s">
        <v>4757</v>
      </c>
      <c r="H2383" s="12"/>
      <c r="L2383" s="12"/>
    </row>
    <row r="2384" spans="1:12" ht="15.75" customHeight="1" x14ac:dyDescent="0.3">
      <c r="A2384" s="29" t="s">
        <v>1085</v>
      </c>
      <c r="B2384" s="50" t="str">
        <f>VLOOKUP(A2384,'Sales Order'!A$2:B$1029,1,0)</f>
        <v>SO0847</v>
      </c>
      <c r="C2384" s="29" t="s">
        <v>19</v>
      </c>
      <c r="D2384" s="50" t="str">
        <f>VLOOKUP(C2384,Product!A$2:B$21,1,0)</f>
        <v>PD0001</v>
      </c>
      <c r="E2384" s="36">
        <v>107</v>
      </c>
      <c r="F2384" s="38">
        <v>23978700</v>
      </c>
      <c r="G2384" s="39" t="s">
        <v>4758</v>
      </c>
      <c r="H2384" s="12"/>
      <c r="L2384" s="12"/>
    </row>
    <row r="2385" spans="1:12" ht="15.75" customHeight="1" x14ac:dyDescent="0.3">
      <c r="A2385" s="29" t="s">
        <v>1085</v>
      </c>
      <c r="B2385" s="50" t="str">
        <f>VLOOKUP(A2385,'Sales Order'!A$2:B$1029,1,0)</f>
        <v>SO0847</v>
      </c>
      <c r="C2385" s="29" t="s">
        <v>61</v>
      </c>
      <c r="D2385" s="50" t="str">
        <f>VLOOKUP(C2385,Product!A$2:B$21,1,0)</f>
        <v>PD0013</v>
      </c>
      <c r="E2385" s="36">
        <v>81</v>
      </c>
      <c r="F2385" s="38">
        <v>29099250</v>
      </c>
      <c r="G2385" s="39" t="s">
        <v>4759</v>
      </c>
      <c r="H2385" s="12"/>
      <c r="L2385" s="12"/>
    </row>
    <row r="2386" spans="1:12" ht="15.75" customHeight="1" x14ac:dyDescent="0.3">
      <c r="A2386" s="29" t="s">
        <v>1085</v>
      </c>
      <c r="B2386" s="50" t="str">
        <f>VLOOKUP(A2386,'Sales Order'!A$2:B$1029,1,0)</f>
        <v>SO0847</v>
      </c>
      <c r="C2386" s="29" t="s">
        <v>83</v>
      </c>
      <c r="D2386" s="50" t="str">
        <f>VLOOKUP(C2386,Product!A$2:B$21,1,0)</f>
        <v>PD0020</v>
      </c>
      <c r="E2386" s="36">
        <v>75</v>
      </c>
      <c r="F2386" s="38">
        <v>19260000</v>
      </c>
      <c r="G2386" s="39" t="s">
        <v>4760</v>
      </c>
      <c r="H2386" s="12"/>
      <c r="L2386" s="12"/>
    </row>
    <row r="2387" spans="1:12" ht="15.75" customHeight="1" x14ac:dyDescent="0.3">
      <c r="A2387" s="17" t="s">
        <v>1086</v>
      </c>
      <c r="B2387" s="50" t="str">
        <f>VLOOKUP(A2387,'Sales Order'!A$2:B$1029,1,0)</f>
        <v>SO0848</v>
      </c>
      <c r="C2387" s="29" t="s">
        <v>69</v>
      </c>
      <c r="D2387" s="50" t="str">
        <f>VLOOKUP(C2387,Product!A$2:B$21,1,0)</f>
        <v>PD0015</v>
      </c>
      <c r="E2387" s="36">
        <v>44</v>
      </c>
      <c r="F2387" s="38">
        <v>4843476</v>
      </c>
      <c r="G2387" s="39" t="s">
        <v>4761</v>
      </c>
      <c r="H2387" s="12"/>
      <c r="L2387" s="12"/>
    </row>
    <row r="2388" spans="1:12" ht="15.75" customHeight="1" x14ac:dyDescent="0.3">
      <c r="A2388" s="29" t="s">
        <v>1086</v>
      </c>
      <c r="B2388" s="50" t="str">
        <f>VLOOKUP(A2388,'Sales Order'!A$2:B$1029,1,0)</f>
        <v>SO0848</v>
      </c>
      <c r="C2388" s="29" t="s">
        <v>52</v>
      </c>
      <c r="D2388" s="50" t="str">
        <f>VLOOKUP(C2388,Product!A$2:B$21,1,0)</f>
        <v>PD0010</v>
      </c>
      <c r="E2388" s="36">
        <v>120</v>
      </c>
      <c r="F2388" s="38">
        <v>35100000</v>
      </c>
      <c r="G2388" s="39" t="s">
        <v>4762</v>
      </c>
      <c r="H2388" s="12"/>
      <c r="L2388" s="12"/>
    </row>
    <row r="2389" spans="1:12" ht="15.75" customHeight="1" x14ac:dyDescent="0.3">
      <c r="A2389" s="17" t="s">
        <v>1087</v>
      </c>
      <c r="B2389" s="50" t="str">
        <f>VLOOKUP(A2389,'Sales Order'!A$2:B$1029,1,0)</f>
        <v>SO0849</v>
      </c>
      <c r="C2389" s="29" t="s">
        <v>78</v>
      </c>
      <c r="D2389" s="50" t="str">
        <f>VLOOKUP(C2389,Product!A$2:B$21,1,0)</f>
        <v>PD0018</v>
      </c>
      <c r="E2389" s="36">
        <v>37</v>
      </c>
      <c r="F2389" s="38">
        <v>17518760</v>
      </c>
      <c r="G2389" s="39" t="s">
        <v>4763</v>
      </c>
      <c r="H2389" s="12"/>
      <c r="L2389" s="12"/>
    </row>
    <row r="2390" spans="1:12" ht="15.75" customHeight="1" x14ac:dyDescent="0.3">
      <c r="A2390" s="29" t="s">
        <v>1087</v>
      </c>
      <c r="B2390" s="50" t="str">
        <f>VLOOKUP(A2390,'Sales Order'!A$2:B$1029,1,0)</f>
        <v>SO0849</v>
      </c>
      <c r="C2390" s="29" t="s">
        <v>48</v>
      </c>
      <c r="D2390" s="50" t="str">
        <f>VLOOKUP(C2390,Product!A$2:B$21,1,0)</f>
        <v>PD0009</v>
      </c>
      <c r="E2390" s="36">
        <v>83</v>
      </c>
      <c r="F2390" s="38">
        <v>10171650</v>
      </c>
      <c r="G2390" s="39" t="s">
        <v>4764</v>
      </c>
      <c r="H2390" s="12"/>
      <c r="L2390" s="12"/>
    </row>
    <row r="2391" spans="1:12" ht="15.75" customHeight="1" x14ac:dyDescent="0.3">
      <c r="A2391" s="17" t="s">
        <v>1088</v>
      </c>
      <c r="B2391" s="50" t="str">
        <f>VLOOKUP(A2391,'Sales Order'!A$2:B$1029,1,0)</f>
        <v>SO0850</v>
      </c>
      <c r="C2391" s="29" t="s">
        <v>45</v>
      </c>
      <c r="D2391" s="50" t="str">
        <f>VLOOKUP(C2391,Product!A$2:B$21,1,0)</f>
        <v>PD0008</v>
      </c>
      <c r="E2391" s="36">
        <v>57</v>
      </c>
      <c r="F2391" s="38">
        <v>7473840</v>
      </c>
      <c r="G2391" s="39" t="s">
        <v>4765</v>
      </c>
      <c r="H2391" s="12"/>
      <c r="L2391" s="12"/>
    </row>
    <row r="2392" spans="1:12" ht="15.75" customHeight="1" x14ac:dyDescent="0.3">
      <c r="A2392" s="29" t="s">
        <v>1088</v>
      </c>
      <c r="B2392" s="50" t="str">
        <f>VLOOKUP(A2392,'Sales Order'!A$2:B$1029,1,0)</f>
        <v>SO0850</v>
      </c>
      <c r="C2392" s="29" t="s">
        <v>65</v>
      </c>
      <c r="D2392" s="50" t="str">
        <f>VLOOKUP(C2392,Product!A$2:B$21,1,0)</f>
        <v>PD0014</v>
      </c>
      <c r="E2392" s="36">
        <v>129</v>
      </c>
      <c r="F2392" s="38">
        <v>31343130</v>
      </c>
      <c r="G2392" s="39" t="s">
        <v>4766</v>
      </c>
      <c r="H2392" s="12"/>
      <c r="L2392" s="12"/>
    </row>
    <row r="2393" spans="1:12" ht="15.75" customHeight="1" x14ac:dyDescent="0.3">
      <c r="A2393" s="29" t="s">
        <v>1088</v>
      </c>
      <c r="B2393" s="50" t="str">
        <f>VLOOKUP(A2393,'Sales Order'!A$2:B$1029,1,0)</f>
        <v>SO0850</v>
      </c>
      <c r="C2393" s="29" t="s">
        <v>69</v>
      </c>
      <c r="D2393" s="50" t="str">
        <f>VLOOKUP(C2393,Product!A$2:B$21,1,0)</f>
        <v>PD0015</v>
      </c>
      <c r="E2393" s="36">
        <v>37</v>
      </c>
      <c r="F2393" s="38">
        <v>4223772</v>
      </c>
      <c r="G2393" s="39" t="s">
        <v>4767</v>
      </c>
      <c r="H2393" s="12"/>
      <c r="L2393" s="12"/>
    </row>
    <row r="2394" spans="1:12" ht="15.75" customHeight="1" x14ac:dyDescent="0.3">
      <c r="A2394" s="29" t="s">
        <v>1088</v>
      </c>
      <c r="B2394" s="50" t="str">
        <f>VLOOKUP(A2394,'Sales Order'!A$2:B$1029,1,0)</f>
        <v>SO0850</v>
      </c>
      <c r="C2394" s="29" t="s">
        <v>75</v>
      </c>
      <c r="D2394" s="50" t="str">
        <f>VLOOKUP(C2394,Product!A$2:B$21,1,0)</f>
        <v>PD0017</v>
      </c>
      <c r="E2394" s="36">
        <v>92</v>
      </c>
      <c r="F2394" s="38">
        <v>190164000</v>
      </c>
      <c r="G2394" s="39" t="s">
        <v>4768</v>
      </c>
      <c r="H2394" s="12"/>
      <c r="L2394" s="12"/>
    </row>
    <row r="2395" spans="1:12" ht="15.75" customHeight="1" x14ac:dyDescent="0.3">
      <c r="A2395" s="29" t="s">
        <v>1088</v>
      </c>
      <c r="B2395" s="50" t="str">
        <f>VLOOKUP(A2395,'Sales Order'!A$2:B$1029,1,0)</f>
        <v>SO0850</v>
      </c>
      <c r="C2395" s="29" t="s">
        <v>61</v>
      </c>
      <c r="D2395" s="50" t="str">
        <f>VLOOKUP(C2395,Product!A$2:B$21,1,0)</f>
        <v>PD0013</v>
      </c>
      <c r="E2395" s="36">
        <v>65</v>
      </c>
      <c r="F2395" s="38">
        <v>23351250</v>
      </c>
      <c r="G2395" s="39" t="s">
        <v>4769</v>
      </c>
      <c r="H2395" s="12"/>
      <c r="L2395" s="12"/>
    </row>
    <row r="2396" spans="1:12" ht="15.75" customHeight="1" x14ac:dyDescent="0.3">
      <c r="A2396" s="17" t="s">
        <v>1089</v>
      </c>
      <c r="B2396" s="50" t="str">
        <f>VLOOKUP(A2396,'Sales Order'!A$2:B$1029,1,0)</f>
        <v>SO0851</v>
      </c>
      <c r="C2396" s="29" t="s">
        <v>43</v>
      </c>
      <c r="D2396" s="50" t="str">
        <f>VLOOKUP(C2396,Product!A$2:B$21,1,0)</f>
        <v>PD0007</v>
      </c>
      <c r="E2396" s="36">
        <v>54</v>
      </c>
      <c r="F2396" s="38">
        <v>131328000</v>
      </c>
      <c r="G2396" s="39" t="s">
        <v>4770</v>
      </c>
      <c r="H2396" s="12"/>
      <c r="L2396" s="12"/>
    </row>
    <row r="2397" spans="1:12" ht="15.75" customHeight="1" x14ac:dyDescent="0.3">
      <c r="A2397" s="29" t="s">
        <v>1089</v>
      </c>
      <c r="B2397" s="50" t="str">
        <f>VLOOKUP(A2397,'Sales Order'!A$2:B$1029,1,0)</f>
        <v>SO0851</v>
      </c>
      <c r="C2397" s="29" t="s">
        <v>28</v>
      </c>
      <c r="D2397" s="50" t="str">
        <f>VLOOKUP(C2397,Product!A$2:B$21,1,0)</f>
        <v>PD0003</v>
      </c>
      <c r="E2397" s="36">
        <v>98</v>
      </c>
      <c r="F2397" s="38">
        <v>73902780</v>
      </c>
      <c r="G2397" s="39" t="s">
        <v>4771</v>
      </c>
      <c r="H2397" s="12"/>
      <c r="L2397" s="12"/>
    </row>
    <row r="2398" spans="1:12" ht="15.75" customHeight="1" x14ac:dyDescent="0.3">
      <c r="A2398" s="29" t="s">
        <v>1089</v>
      </c>
      <c r="B2398" s="50" t="str">
        <f>VLOOKUP(A2398,'Sales Order'!A$2:B$1029,1,0)</f>
        <v>SO0851</v>
      </c>
      <c r="C2398" s="29" t="s">
        <v>25</v>
      </c>
      <c r="D2398" s="50" t="str">
        <f>VLOOKUP(C2398,Product!A$2:B$21,1,0)</f>
        <v>PD0002</v>
      </c>
      <c r="E2398" s="36">
        <v>101</v>
      </c>
      <c r="F2398" s="38">
        <v>1717000</v>
      </c>
      <c r="G2398" s="39" t="s">
        <v>4772</v>
      </c>
      <c r="H2398" s="12"/>
      <c r="L2398" s="12"/>
    </row>
    <row r="2399" spans="1:12" ht="15.75" customHeight="1" x14ac:dyDescent="0.3">
      <c r="A2399" s="29" t="s">
        <v>1089</v>
      </c>
      <c r="B2399" s="50" t="str">
        <f>VLOOKUP(A2399,'Sales Order'!A$2:B$1029,1,0)</f>
        <v>SO0851</v>
      </c>
      <c r="C2399" s="29" t="s">
        <v>40</v>
      </c>
      <c r="D2399" s="50" t="str">
        <f>VLOOKUP(C2399,Product!A$2:B$21,1,0)</f>
        <v>PD0006</v>
      </c>
      <c r="E2399" s="36">
        <v>32</v>
      </c>
      <c r="F2399" s="38">
        <v>5016000</v>
      </c>
      <c r="G2399" s="39" t="s">
        <v>4773</v>
      </c>
      <c r="H2399" s="12"/>
      <c r="L2399" s="12"/>
    </row>
    <row r="2400" spans="1:12" ht="15.75" customHeight="1" x14ac:dyDescent="0.3">
      <c r="A2400" s="29" t="s">
        <v>1089</v>
      </c>
      <c r="B2400" s="50" t="str">
        <f>VLOOKUP(A2400,'Sales Order'!A$2:B$1029,1,0)</f>
        <v>SO0851</v>
      </c>
      <c r="C2400" s="29" t="s">
        <v>58</v>
      </c>
      <c r="D2400" s="50" t="str">
        <f>VLOOKUP(C2400,Product!A$2:B$21,1,0)</f>
        <v>PD0012</v>
      </c>
      <c r="E2400" s="36">
        <v>97</v>
      </c>
      <c r="F2400" s="38">
        <v>415707080</v>
      </c>
      <c r="G2400" s="39" t="s">
        <v>4774</v>
      </c>
      <c r="H2400" s="12"/>
      <c r="L2400" s="12"/>
    </row>
    <row r="2401" spans="1:12" ht="15.75" customHeight="1" x14ac:dyDescent="0.3">
      <c r="A2401" s="17" t="s">
        <v>1090</v>
      </c>
      <c r="B2401" s="50" t="str">
        <f>VLOOKUP(A2401,'Sales Order'!A$2:B$1029,1,0)</f>
        <v>SO0852</v>
      </c>
      <c r="C2401" s="29" t="s">
        <v>81</v>
      </c>
      <c r="D2401" s="50" t="str">
        <f>VLOOKUP(C2401,Product!A$2:B$21,1,0)</f>
        <v>PD0019</v>
      </c>
      <c r="E2401" s="36">
        <v>48</v>
      </c>
      <c r="F2401" s="38">
        <v>108893280</v>
      </c>
      <c r="G2401" s="39" t="s">
        <v>4775</v>
      </c>
      <c r="H2401" s="12"/>
      <c r="L2401" s="12"/>
    </row>
    <row r="2402" spans="1:12" ht="15.75" customHeight="1" x14ac:dyDescent="0.3">
      <c r="A2402" s="17" t="s">
        <v>1091</v>
      </c>
      <c r="B2402" s="50" t="str">
        <f>VLOOKUP(A2402,'Sales Order'!A$2:B$1029,1,0)</f>
        <v>SO0853</v>
      </c>
      <c r="C2402" s="29" t="s">
        <v>43</v>
      </c>
      <c r="D2402" s="50" t="str">
        <f>VLOOKUP(C2402,Product!A$2:B$21,1,0)</f>
        <v>PD0007</v>
      </c>
      <c r="E2402" s="36">
        <v>115</v>
      </c>
      <c r="F2402" s="38">
        <v>305440000</v>
      </c>
      <c r="G2402" s="39" t="s">
        <v>4776</v>
      </c>
      <c r="H2402" s="12"/>
      <c r="L2402" s="12"/>
    </row>
    <row r="2403" spans="1:12" ht="15.75" customHeight="1" x14ac:dyDescent="0.3">
      <c r="A2403" s="29" t="s">
        <v>1091</v>
      </c>
      <c r="B2403" s="50" t="str">
        <f>VLOOKUP(A2403,'Sales Order'!A$2:B$1029,1,0)</f>
        <v>SO0853</v>
      </c>
      <c r="C2403" s="29" t="s">
        <v>33</v>
      </c>
      <c r="D2403" s="50" t="str">
        <f>VLOOKUP(C2403,Product!A$2:B$21,1,0)</f>
        <v>PD0004</v>
      </c>
      <c r="E2403" s="36">
        <v>80</v>
      </c>
      <c r="F2403" s="38">
        <v>16192000</v>
      </c>
      <c r="G2403" s="39" t="s">
        <v>4777</v>
      </c>
      <c r="H2403" s="12"/>
      <c r="L2403" s="12"/>
    </row>
    <row r="2404" spans="1:12" ht="15.75" customHeight="1" x14ac:dyDescent="0.3">
      <c r="A2404" s="29" t="s">
        <v>1092</v>
      </c>
      <c r="B2404" s="50" t="str">
        <f>VLOOKUP(A2404,'Sales Order'!A$2:B$1029,1,0)</f>
        <v>SO0854</v>
      </c>
      <c r="C2404" s="29" t="s">
        <v>78</v>
      </c>
      <c r="D2404" s="50" t="str">
        <f>VLOOKUP(C2404,Product!A$2:B$21,1,0)</f>
        <v>PD0018</v>
      </c>
      <c r="E2404" s="36">
        <v>147</v>
      </c>
      <c r="F2404" s="38">
        <v>62563200</v>
      </c>
      <c r="G2404" s="39" t="s">
        <v>4778</v>
      </c>
      <c r="H2404" s="12"/>
      <c r="L2404" s="12"/>
    </row>
    <row r="2405" spans="1:12" ht="15.75" customHeight="1" x14ac:dyDescent="0.3">
      <c r="A2405" s="29" t="s">
        <v>1092</v>
      </c>
      <c r="B2405" s="50" t="str">
        <f>VLOOKUP(A2405,'Sales Order'!A$2:B$1029,1,0)</f>
        <v>SO0854</v>
      </c>
      <c r="C2405" s="29" t="s">
        <v>75</v>
      </c>
      <c r="D2405" s="50" t="str">
        <f>VLOOKUP(C2405,Product!A$2:B$21,1,0)</f>
        <v>PD0017</v>
      </c>
      <c r="E2405" s="36">
        <v>50</v>
      </c>
      <c r="F2405" s="38">
        <v>124550000</v>
      </c>
      <c r="G2405" s="39" t="s">
        <v>4779</v>
      </c>
      <c r="H2405" s="12"/>
      <c r="L2405" s="12"/>
    </row>
    <row r="2406" spans="1:12" ht="15.75" customHeight="1" x14ac:dyDescent="0.3">
      <c r="A2406" s="29" t="s">
        <v>1092</v>
      </c>
      <c r="B2406" s="50" t="str">
        <f>VLOOKUP(A2406,'Sales Order'!A$2:B$1029,1,0)</f>
        <v>SO0854</v>
      </c>
      <c r="C2406" s="29" t="s">
        <v>69</v>
      </c>
      <c r="D2406" s="50" t="str">
        <f>VLOOKUP(C2406,Product!A$2:B$21,1,0)</f>
        <v>PD0015</v>
      </c>
      <c r="E2406" s="36">
        <v>143</v>
      </c>
      <c r="F2406" s="38">
        <v>16907319</v>
      </c>
      <c r="G2406" s="39" t="s">
        <v>4780</v>
      </c>
      <c r="H2406" s="12"/>
      <c r="L2406" s="12"/>
    </row>
    <row r="2407" spans="1:12" ht="15.75" customHeight="1" x14ac:dyDescent="0.3">
      <c r="A2407" s="29" t="s">
        <v>1092</v>
      </c>
      <c r="B2407" s="50" t="str">
        <f>VLOOKUP(A2407,'Sales Order'!A$2:B$1029,1,0)</f>
        <v>SO0854</v>
      </c>
      <c r="C2407" s="29" t="s">
        <v>33</v>
      </c>
      <c r="D2407" s="50" t="str">
        <f>VLOOKUP(C2407,Product!A$2:B$21,1,0)</f>
        <v>PD0004</v>
      </c>
      <c r="E2407" s="36">
        <v>68</v>
      </c>
      <c r="F2407" s="38">
        <v>13464000</v>
      </c>
      <c r="G2407" s="39" t="s">
        <v>4781</v>
      </c>
      <c r="H2407" s="12"/>
      <c r="L2407" s="12"/>
    </row>
    <row r="2408" spans="1:12" ht="15.75" customHeight="1" x14ac:dyDescent="0.3">
      <c r="A2408" s="29" t="s">
        <v>1092</v>
      </c>
      <c r="B2408" s="50" t="str">
        <f>VLOOKUP(A2408,'Sales Order'!A$2:B$1029,1,0)</f>
        <v>SO0854</v>
      </c>
      <c r="C2408" s="29" t="s">
        <v>45</v>
      </c>
      <c r="D2408" s="50" t="str">
        <f>VLOOKUP(C2408,Product!A$2:B$21,1,0)</f>
        <v>PD0008</v>
      </c>
      <c r="E2408" s="36">
        <v>94</v>
      </c>
      <c r="F2408" s="38">
        <v>11064740</v>
      </c>
      <c r="G2408" s="39" t="s">
        <v>4782</v>
      </c>
      <c r="H2408" s="12"/>
      <c r="L2408" s="12"/>
    </row>
    <row r="2409" spans="1:12" ht="15.75" customHeight="1" x14ac:dyDescent="0.3">
      <c r="A2409" s="29" t="s">
        <v>1092</v>
      </c>
      <c r="B2409" s="50" t="str">
        <f>VLOOKUP(A2409,'Sales Order'!A$2:B$1029,1,0)</f>
        <v>SO0854</v>
      </c>
      <c r="C2409" s="29" t="s">
        <v>65</v>
      </c>
      <c r="D2409" s="50" t="str">
        <f>VLOOKUP(C2409,Product!A$2:B$21,1,0)</f>
        <v>PD0014</v>
      </c>
      <c r="E2409" s="36">
        <v>145</v>
      </c>
      <c r="F2409" s="38">
        <v>35617800</v>
      </c>
      <c r="G2409" s="39" t="s">
        <v>4783</v>
      </c>
      <c r="H2409" s="12"/>
      <c r="L2409" s="12"/>
    </row>
    <row r="2410" spans="1:12" ht="15.75" customHeight="1" x14ac:dyDescent="0.3">
      <c r="A2410" s="17" t="s">
        <v>1093</v>
      </c>
      <c r="B2410" s="50" t="str">
        <f>VLOOKUP(A2410,'Sales Order'!A$2:B$1029,1,0)</f>
        <v>SO0855</v>
      </c>
      <c r="C2410" s="29" t="s">
        <v>75</v>
      </c>
      <c r="D2410" s="50" t="str">
        <f>VLOOKUP(C2410,Product!A$2:B$21,1,0)</f>
        <v>PD0017</v>
      </c>
      <c r="E2410" s="36">
        <v>101</v>
      </c>
      <c r="F2410" s="38">
        <v>243561500</v>
      </c>
      <c r="G2410" s="39" t="s">
        <v>4784</v>
      </c>
      <c r="H2410" s="12"/>
      <c r="L2410" s="12"/>
    </row>
    <row r="2411" spans="1:12" ht="15.75" customHeight="1" x14ac:dyDescent="0.3">
      <c r="A2411" s="29" t="s">
        <v>1093</v>
      </c>
      <c r="B2411" s="50" t="str">
        <f>VLOOKUP(A2411,'Sales Order'!A$2:B$1029,1,0)</f>
        <v>SO0855</v>
      </c>
      <c r="C2411" s="29" t="s">
        <v>48</v>
      </c>
      <c r="D2411" s="50" t="str">
        <f>VLOOKUP(C2411,Product!A$2:B$21,1,0)</f>
        <v>PD0009</v>
      </c>
      <c r="E2411" s="36">
        <v>89</v>
      </c>
      <c r="F2411" s="38">
        <v>9069990</v>
      </c>
      <c r="G2411" s="39" t="s">
        <v>4785</v>
      </c>
      <c r="H2411" s="12"/>
      <c r="L2411" s="12"/>
    </row>
    <row r="2412" spans="1:12" ht="15.75" customHeight="1" x14ac:dyDescent="0.3">
      <c r="A2412" s="29" t="s">
        <v>1093</v>
      </c>
      <c r="B2412" s="50" t="str">
        <f>VLOOKUP(A2412,'Sales Order'!A$2:B$1029,1,0)</f>
        <v>SO0855</v>
      </c>
      <c r="C2412" s="29" t="s">
        <v>35</v>
      </c>
      <c r="D2412" s="50" t="str">
        <f>VLOOKUP(C2412,Product!A$2:B$21,1,0)</f>
        <v>PD0005</v>
      </c>
      <c r="E2412" s="36">
        <v>89</v>
      </c>
      <c r="F2412" s="38">
        <v>148469800</v>
      </c>
      <c r="G2412" s="39" t="s">
        <v>4786</v>
      </c>
      <c r="H2412" s="12"/>
      <c r="L2412" s="12"/>
    </row>
    <row r="2413" spans="1:12" ht="15.75" customHeight="1" x14ac:dyDescent="0.3">
      <c r="A2413" s="29" t="s">
        <v>1093</v>
      </c>
      <c r="B2413" s="50" t="str">
        <f>VLOOKUP(A2413,'Sales Order'!A$2:B$1029,1,0)</f>
        <v>SO0855</v>
      </c>
      <c r="C2413" s="29" t="s">
        <v>81</v>
      </c>
      <c r="D2413" s="50" t="str">
        <f>VLOOKUP(C2413,Product!A$2:B$21,1,0)</f>
        <v>PD0019</v>
      </c>
      <c r="E2413" s="36">
        <v>89</v>
      </c>
      <c r="F2413" s="38">
        <v>210980730</v>
      </c>
      <c r="G2413" s="39" t="s">
        <v>4787</v>
      </c>
      <c r="H2413" s="12"/>
      <c r="L2413" s="12"/>
    </row>
    <row r="2414" spans="1:12" ht="15.75" customHeight="1" x14ac:dyDescent="0.3">
      <c r="A2414" s="17" t="s">
        <v>1094</v>
      </c>
      <c r="B2414" s="50" t="str">
        <f>VLOOKUP(A2414,'Sales Order'!A$2:B$1029,1,0)</f>
        <v>SO0856</v>
      </c>
      <c r="C2414" s="29" t="s">
        <v>40</v>
      </c>
      <c r="D2414" s="50" t="str">
        <f>VLOOKUP(C2414,Product!A$2:B$21,1,0)</f>
        <v>PD0006</v>
      </c>
      <c r="E2414" s="36">
        <v>134</v>
      </c>
      <c r="F2414" s="38">
        <v>24085160</v>
      </c>
      <c r="G2414" s="39" t="s">
        <v>4788</v>
      </c>
      <c r="H2414" s="12"/>
      <c r="L2414" s="12"/>
    </row>
    <row r="2415" spans="1:12" ht="15.75" customHeight="1" x14ac:dyDescent="0.3">
      <c r="A2415" s="29" t="s">
        <v>1094</v>
      </c>
      <c r="B2415" s="50" t="str">
        <f>VLOOKUP(A2415,'Sales Order'!A$2:B$1029,1,0)</f>
        <v>SO0856</v>
      </c>
      <c r="C2415" s="29" t="s">
        <v>55</v>
      </c>
      <c r="D2415" s="50" t="str">
        <f>VLOOKUP(C2415,Product!A$2:B$21,1,0)</f>
        <v>PD0011</v>
      </c>
      <c r="E2415" s="36">
        <v>53</v>
      </c>
      <c r="F2415" s="38">
        <v>108773490</v>
      </c>
      <c r="G2415" s="39" t="s">
        <v>4789</v>
      </c>
      <c r="H2415" s="12"/>
      <c r="L2415" s="12"/>
    </row>
    <row r="2416" spans="1:12" ht="15.75" customHeight="1" x14ac:dyDescent="0.3">
      <c r="A2416" s="17" t="s">
        <v>1095</v>
      </c>
      <c r="B2416" s="50" t="str">
        <f>VLOOKUP(A2416,'Sales Order'!A$2:B$1029,1,0)</f>
        <v>SO0857</v>
      </c>
      <c r="C2416" s="29" t="s">
        <v>43</v>
      </c>
      <c r="D2416" s="50" t="str">
        <f>VLOOKUP(C2416,Product!A$2:B$21,1,0)</f>
        <v>PD0007</v>
      </c>
      <c r="E2416" s="36">
        <v>143</v>
      </c>
      <c r="F2416" s="38">
        <v>416416000</v>
      </c>
      <c r="G2416" s="39" t="s">
        <v>4790</v>
      </c>
      <c r="H2416" s="12"/>
      <c r="L2416" s="12"/>
    </row>
    <row r="2417" spans="1:12" ht="15.75" customHeight="1" x14ac:dyDescent="0.3">
      <c r="A2417" s="29" t="s">
        <v>1095</v>
      </c>
      <c r="B2417" s="50" t="str">
        <f>VLOOKUP(A2417,'Sales Order'!A$2:B$1029,1,0)</f>
        <v>SO0857</v>
      </c>
      <c r="C2417" s="29" t="s">
        <v>69</v>
      </c>
      <c r="D2417" s="50" t="str">
        <f>VLOOKUP(C2417,Product!A$2:B$21,1,0)</f>
        <v>PD0015</v>
      </c>
      <c r="E2417" s="36">
        <v>63</v>
      </c>
      <c r="F2417" s="38">
        <v>6849360</v>
      </c>
      <c r="G2417" s="39" t="s">
        <v>4791</v>
      </c>
      <c r="H2417" s="12"/>
      <c r="L2417" s="12"/>
    </row>
    <row r="2418" spans="1:12" ht="15.75" customHeight="1" x14ac:dyDescent="0.3">
      <c r="A2418" s="29" t="s">
        <v>1095</v>
      </c>
      <c r="B2418" s="50" t="str">
        <f>VLOOKUP(A2418,'Sales Order'!A$2:B$1029,1,0)</f>
        <v>SO0857</v>
      </c>
      <c r="C2418" s="29" t="s">
        <v>52</v>
      </c>
      <c r="D2418" s="50" t="str">
        <f>VLOOKUP(C2418,Product!A$2:B$21,1,0)</f>
        <v>PD0010</v>
      </c>
      <c r="E2418" s="36">
        <v>49</v>
      </c>
      <c r="F2418" s="38">
        <v>12262250</v>
      </c>
      <c r="G2418" s="39" t="s">
        <v>4792</v>
      </c>
      <c r="H2418" s="12"/>
      <c r="L2418" s="12"/>
    </row>
    <row r="2419" spans="1:12" ht="15.75" customHeight="1" x14ac:dyDescent="0.3">
      <c r="A2419" s="29" t="s">
        <v>1095</v>
      </c>
      <c r="B2419" s="50" t="str">
        <f>VLOOKUP(A2419,'Sales Order'!A$2:B$1029,1,0)</f>
        <v>SO0857</v>
      </c>
      <c r="C2419" s="29" t="s">
        <v>61</v>
      </c>
      <c r="D2419" s="50" t="str">
        <f>VLOOKUP(C2419,Product!A$2:B$21,1,0)</f>
        <v>PD0013</v>
      </c>
      <c r="E2419" s="36">
        <v>137</v>
      </c>
      <c r="F2419" s="38">
        <v>55123320</v>
      </c>
      <c r="G2419" s="39" t="s">
        <v>4793</v>
      </c>
      <c r="H2419" s="12"/>
      <c r="L2419" s="12"/>
    </row>
    <row r="2420" spans="1:12" ht="15.75" customHeight="1" x14ac:dyDescent="0.3">
      <c r="A2420" s="17" t="s">
        <v>1096</v>
      </c>
      <c r="B2420" s="50" t="str">
        <f>VLOOKUP(A2420,'Sales Order'!A$2:B$1029,1,0)</f>
        <v>SO0858</v>
      </c>
      <c r="C2420" s="29" t="s">
        <v>78</v>
      </c>
      <c r="D2420" s="50" t="str">
        <f>VLOOKUP(C2420,Product!A$2:B$21,1,0)</f>
        <v>PD0018</v>
      </c>
      <c r="E2420" s="36">
        <v>70</v>
      </c>
      <c r="F2420" s="38">
        <v>27930000</v>
      </c>
      <c r="G2420" s="39" t="s">
        <v>4794</v>
      </c>
      <c r="H2420" s="12"/>
      <c r="L2420" s="12"/>
    </row>
    <row r="2421" spans="1:12" ht="15.75" customHeight="1" x14ac:dyDescent="0.3">
      <c r="A2421" s="29" t="s">
        <v>1096</v>
      </c>
      <c r="B2421" s="50" t="str">
        <f>VLOOKUP(A2421,'Sales Order'!A$2:B$1029,1,0)</f>
        <v>SO0858</v>
      </c>
      <c r="C2421" s="29" t="s">
        <v>81</v>
      </c>
      <c r="D2421" s="50" t="str">
        <f>VLOOKUP(C2421,Product!A$2:B$21,1,0)</f>
        <v>PD0019</v>
      </c>
      <c r="E2421" s="36">
        <v>83</v>
      </c>
      <c r="F2421" s="38">
        <v>181947620</v>
      </c>
      <c r="G2421" s="39" t="s">
        <v>4795</v>
      </c>
      <c r="H2421" s="12"/>
      <c r="L2421" s="12"/>
    </row>
    <row r="2422" spans="1:12" ht="15.75" customHeight="1" x14ac:dyDescent="0.3">
      <c r="A2422" s="29" t="s">
        <v>1096</v>
      </c>
      <c r="B2422" s="50" t="str">
        <f>VLOOKUP(A2422,'Sales Order'!A$2:B$1029,1,0)</f>
        <v>SO0858</v>
      </c>
      <c r="C2422" s="29" t="s">
        <v>65</v>
      </c>
      <c r="D2422" s="50" t="str">
        <f>VLOOKUP(C2422,Product!A$2:B$21,1,0)</f>
        <v>PD0014</v>
      </c>
      <c r="E2422" s="36">
        <v>108</v>
      </c>
      <c r="F2422" s="38">
        <v>25664040</v>
      </c>
      <c r="G2422" s="39" t="s">
        <v>4796</v>
      </c>
      <c r="H2422" s="12"/>
      <c r="L2422" s="12"/>
    </row>
    <row r="2423" spans="1:12" ht="15.75" customHeight="1" x14ac:dyDescent="0.3">
      <c r="A2423" s="29" t="s">
        <v>1096</v>
      </c>
      <c r="B2423" s="50" t="str">
        <f>VLOOKUP(A2423,'Sales Order'!A$2:B$1029,1,0)</f>
        <v>SO0858</v>
      </c>
      <c r="C2423" s="29" t="s">
        <v>45</v>
      </c>
      <c r="D2423" s="50" t="str">
        <f>VLOOKUP(C2423,Product!A$2:B$21,1,0)</f>
        <v>PD0008</v>
      </c>
      <c r="E2423" s="36">
        <v>92</v>
      </c>
      <c r="F2423" s="38">
        <v>12611360</v>
      </c>
      <c r="G2423" s="39" t="s">
        <v>4797</v>
      </c>
      <c r="H2423" s="12"/>
      <c r="L2423" s="12"/>
    </row>
    <row r="2424" spans="1:12" ht="15.75" customHeight="1" x14ac:dyDescent="0.3">
      <c r="A2424" s="29" t="s">
        <v>1096</v>
      </c>
      <c r="B2424" s="50" t="str">
        <f>VLOOKUP(A2424,'Sales Order'!A$2:B$1029,1,0)</f>
        <v>SO0858</v>
      </c>
      <c r="C2424" s="29" t="s">
        <v>48</v>
      </c>
      <c r="D2424" s="50" t="str">
        <f>VLOOKUP(C2424,Product!A$2:B$21,1,0)</f>
        <v>PD0009</v>
      </c>
      <c r="E2424" s="36">
        <v>65</v>
      </c>
      <c r="F2424" s="38">
        <v>6624150</v>
      </c>
      <c r="G2424" s="39" t="s">
        <v>4798</v>
      </c>
      <c r="H2424" s="12"/>
      <c r="L2424" s="12"/>
    </row>
    <row r="2425" spans="1:12" ht="15.75" customHeight="1" x14ac:dyDescent="0.3">
      <c r="A2425" s="29" t="s">
        <v>1096</v>
      </c>
      <c r="B2425" s="50" t="str">
        <f>VLOOKUP(A2425,'Sales Order'!A$2:B$1029,1,0)</f>
        <v>SO0858</v>
      </c>
      <c r="C2425" s="29" t="s">
        <v>55</v>
      </c>
      <c r="D2425" s="50" t="str">
        <f>VLOOKUP(C2425,Product!A$2:B$21,1,0)</f>
        <v>PD0011</v>
      </c>
      <c r="E2425" s="36">
        <v>118</v>
      </c>
      <c r="F2425" s="38">
        <v>264443900</v>
      </c>
      <c r="G2425" s="39" t="s">
        <v>4799</v>
      </c>
      <c r="H2425" s="12"/>
      <c r="L2425" s="12"/>
    </row>
    <row r="2426" spans="1:12" ht="15.75" customHeight="1" x14ac:dyDescent="0.3">
      <c r="A2426" s="17" t="s">
        <v>1097</v>
      </c>
      <c r="B2426" s="50" t="str">
        <f>VLOOKUP(A2426,'Sales Order'!A$2:B$1029,1,0)</f>
        <v>SO0859</v>
      </c>
      <c r="C2426" s="29" t="s">
        <v>83</v>
      </c>
      <c r="D2426" s="50" t="str">
        <f>VLOOKUP(C2426,Product!A$2:B$21,1,0)</f>
        <v>PD0020</v>
      </c>
      <c r="E2426" s="36">
        <v>51</v>
      </c>
      <c r="F2426" s="38">
        <v>12441960</v>
      </c>
      <c r="G2426" s="39" t="s">
        <v>4800</v>
      </c>
      <c r="H2426" s="12"/>
      <c r="L2426" s="12"/>
    </row>
    <row r="2427" spans="1:12" ht="15.75" customHeight="1" x14ac:dyDescent="0.3">
      <c r="A2427" s="29" t="s">
        <v>1097</v>
      </c>
      <c r="B2427" s="50" t="str">
        <f>VLOOKUP(A2427,'Sales Order'!A$2:B$1029,1,0)</f>
        <v>SO0859</v>
      </c>
      <c r="C2427" s="29" t="s">
        <v>45</v>
      </c>
      <c r="D2427" s="50" t="str">
        <f>VLOOKUP(C2427,Product!A$2:B$21,1,0)</f>
        <v>PD0008</v>
      </c>
      <c r="E2427" s="36">
        <v>47</v>
      </c>
      <c r="F2427" s="38">
        <v>6372730</v>
      </c>
      <c r="G2427" s="39" t="s">
        <v>4801</v>
      </c>
      <c r="H2427" s="12"/>
      <c r="L2427" s="12"/>
    </row>
    <row r="2428" spans="1:12" ht="15.75" customHeight="1" x14ac:dyDescent="0.3">
      <c r="A2428" s="17" t="s">
        <v>1099</v>
      </c>
      <c r="B2428" s="50" t="str">
        <f>VLOOKUP(A2428,'Sales Order'!A$2:B$1029,1,0)</f>
        <v>SO0861</v>
      </c>
      <c r="C2428" s="29" t="s">
        <v>83</v>
      </c>
      <c r="D2428" s="50" t="str">
        <f>VLOOKUP(C2428,Product!A$2:B$21,1,0)</f>
        <v>PD0020</v>
      </c>
      <c r="E2428" s="36">
        <v>46</v>
      </c>
      <c r="F2428" s="38">
        <v>13141740</v>
      </c>
      <c r="G2428" s="39" t="s">
        <v>4802</v>
      </c>
      <c r="H2428" s="12"/>
      <c r="L2428" s="12"/>
    </row>
    <row r="2429" spans="1:12" ht="15.75" customHeight="1" x14ac:dyDescent="0.3">
      <c r="A2429" s="29" t="s">
        <v>1099</v>
      </c>
      <c r="B2429" s="50" t="str">
        <f>VLOOKUP(A2429,'Sales Order'!A$2:B$1029,1,0)</f>
        <v>SO0861</v>
      </c>
      <c r="C2429" s="29" t="s">
        <v>19</v>
      </c>
      <c r="D2429" s="50" t="str">
        <f>VLOOKUP(C2429,Product!A$2:B$21,1,0)</f>
        <v>PD0001</v>
      </c>
      <c r="E2429" s="36">
        <v>140</v>
      </c>
      <c r="F2429" s="38">
        <v>27539400</v>
      </c>
      <c r="G2429" s="39" t="s">
        <v>4803</v>
      </c>
      <c r="H2429" s="12"/>
      <c r="L2429" s="12"/>
    </row>
    <row r="2430" spans="1:12" ht="15.75" customHeight="1" x14ac:dyDescent="0.3">
      <c r="A2430" s="29" t="s">
        <v>1099</v>
      </c>
      <c r="B2430" s="50" t="str">
        <f>VLOOKUP(A2430,'Sales Order'!A$2:B$1029,1,0)</f>
        <v>SO0861</v>
      </c>
      <c r="C2430" s="29" t="s">
        <v>45</v>
      </c>
      <c r="D2430" s="50" t="str">
        <f>VLOOKUP(C2430,Product!A$2:B$21,1,0)</f>
        <v>PD0008</v>
      </c>
      <c r="E2430" s="36">
        <v>99</v>
      </c>
      <c r="F2430" s="38">
        <v>13570920</v>
      </c>
      <c r="G2430" s="39" t="s">
        <v>4804</v>
      </c>
      <c r="H2430" s="12"/>
      <c r="L2430" s="12"/>
    </row>
    <row r="2431" spans="1:12" ht="15.75" customHeight="1" x14ac:dyDescent="0.3">
      <c r="A2431" s="29" t="s">
        <v>1099</v>
      </c>
      <c r="B2431" s="50" t="str">
        <f>VLOOKUP(A2431,'Sales Order'!A$2:B$1029,1,0)</f>
        <v>SO0861</v>
      </c>
      <c r="C2431" s="29" t="s">
        <v>40</v>
      </c>
      <c r="D2431" s="50" t="str">
        <f>VLOOKUP(C2431,Product!A$2:B$21,1,0)</f>
        <v>PD0006</v>
      </c>
      <c r="E2431" s="36">
        <v>146</v>
      </c>
      <c r="F2431" s="38">
        <v>23495780</v>
      </c>
      <c r="G2431" s="39" t="s">
        <v>4805</v>
      </c>
      <c r="H2431" s="12"/>
      <c r="L2431" s="12"/>
    </row>
    <row r="2432" spans="1:12" ht="15.75" customHeight="1" x14ac:dyDescent="0.3">
      <c r="A2432" s="17" t="s">
        <v>1100</v>
      </c>
      <c r="B2432" s="50" t="str">
        <f>VLOOKUP(A2432,'Sales Order'!A$2:B$1029,1,0)</f>
        <v>SO0862</v>
      </c>
      <c r="C2432" s="29" t="s">
        <v>19</v>
      </c>
      <c r="D2432" s="50" t="str">
        <f>VLOOKUP(C2432,Product!A$2:B$21,1,0)</f>
        <v>PD0001</v>
      </c>
      <c r="E2432" s="36">
        <v>66</v>
      </c>
      <c r="F2432" s="38">
        <v>15612300</v>
      </c>
      <c r="G2432" s="39" t="s">
        <v>4806</v>
      </c>
      <c r="H2432" s="12"/>
      <c r="L2432" s="12"/>
    </row>
    <row r="2433" spans="1:12" ht="15.75" customHeight="1" x14ac:dyDescent="0.3">
      <c r="A2433" s="29" t="s">
        <v>1100</v>
      </c>
      <c r="B2433" s="50" t="str">
        <f>VLOOKUP(A2433,'Sales Order'!A$2:B$1029,1,0)</f>
        <v>SO0862</v>
      </c>
      <c r="C2433" s="29" t="s">
        <v>78</v>
      </c>
      <c r="D2433" s="50" t="str">
        <f>VLOOKUP(C2433,Product!A$2:B$21,1,0)</f>
        <v>PD0018</v>
      </c>
      <c r="E2433" s="36">
        <v>110</v>
      </c>
      <c r="F2433" s="38">
        <v>53838400</v>
      </c>
      <c r="G2433" s="39" t="s">
        <v>4807</v>
      </c>
      <c r="H2433" s="12"/>
      <c r="L2433" s="12"/>
    </row>
    <row r="2434" spans="1:12" ht="15.75" customHeight="1" x14ac:dyDescent="0.3">
      <c r="A2434" s="17" t="s">
        <v>1101</v>
      </c>
      <c r="B2434" s="50" t="str">
        <f>VLOOKUP(A2434,'Sales Order'!A$2:B$1029,1,0)</f>
        <v>SO0863</v>
      </c>
      <c r="C2434" s="29" t="s">
        <v>28</v>
      </c>
      <c r="D2434" s="50" t="str">
        <f>VLOOKUP(C2434,Product!A$2:B$21,1,0)</f>
        <v>PD0003</v>
      </c>
      <c r="E2434" s="36">
        <v>45</v>
      </c>
      <c r="F2434" s="38">
        <v>36029700</v>
      </c>
      <c r="G2434" s="39" t="s">
        <v>4808</v>
      </c>
      <c r="H2434" s="12"/>
      <c r="L2434" s="12"/>
    </row>
    <row r="2435" spans="1:12" ht="15.75" customHeight="1" x14ac:dyDescent="0.3">
      <c r="A2435" s="17" t="s">
        <v>1102</v>
      </c>
      <c r="B2435" s="50" t="str">
        <f>VLOOKUP(A2435,'Sales Order'!A$2:B$1029,1,0)</f>
        <v>SO0864</v>
      </c>
      <c r="C2435" s="29" t="s">
        <v>75</v>
      </c>
      <c r="D2435" s="50" t="str">
        <f>VLOOKUP(C2435,Product!A$2:B$21,1,0)</f>
        <v>PD0017</v>
      </c>
      <c r="E2435" s="36">
        <v>40</v>
      </c>
      <c r="F2435" s="38">
        <v>92220000</v>
      </c>
      <c r="G2435" s="39" t="s">
        <v>4809</v>
      </c>
      <c r="H2435" s="12"/>
      <c r="L2435" s="12"/>
    </row>
    <row r="2436" spans="1:12" ht="15.75" customHeight="1" x14ac:dyDescent="0.3">
      <c r="A2436" s="29" t="s">
        <v>1102</v>
      </c>
      <c r="B2436" s="50" t="str">
        <f>VLOOKUP(A2436,'Sales Order'!A$2:B$1029,1,0)</f>
        <v>SO0864</v>
      </c>
      <c r="C2436" s="29" t="s">
        <v>78</v>
      </c>
      <c r="D2436" s="50" t="str">
        <f>VLOOKUP(C2436,Product!A$2:B$21,1,0)</f>
        <v>PD0018</v>
      </c>
      <c r="E2436" s="36">
        <v>49</v>
      </c>
      <c r="F2436" s="38">
        <v>21636440</v>
      </c>
      <c r="G2436" s="39" t="s">
        <v>4810</v>
      </c>
      <c r="H2436" s="12"/>
      <c r="L2436" s="12"/>
    </row>
    <row r="2437" spans="1:12" ht="15.75" customHeight="1" x14ac:dyDescent="0.3">
      <c r="A2437" s="17" t="s">
        <v>1103</v>
      </c>
      <c r="B2437" s="50" t="str">
        <f>VLOOKUP(A2437,'Sales Order'!A$2:B$1029,1,0)</f>
        <v>SO0865</v>
      </c>
      <c r="C2437" s="29" t="s">
        <v>48</v>
      </c>
      <c r="D2437" s="50" t="str">
        <f>VLOOKUP(C2437,Product!A$2:B$21,1,0)</f>
        <v>PD0009</v>
      </c>
      <c r="E2437" s="36">
        <v>130</v>
      </c>
      <c r="F2437" s="38">
        <v>15763800</v>
      </c>
      <c r="G2437" s="39" t="s">
        <v>4811</v>
      </c>
      <c r="H2437" s="12"/>
      <c r="L2437" s="12"/>
    </row>
    <row r="2438" spans="1:12" ht="15.75" customHeight="1" x14ac:dyDescent="0.3">
      <c r="A2438" s="29" t="s">
        <v>1103</v>
      </c>
      <c r="B2438" s="50" t="str">
        <f>VLOOKUP(A2438,'Sales Order'!A$2:B$1029,1,0)</f>
        <v>SO0865</v>
      </c>
      <c r="C2438" s="29" t="s">
        <v>19</v>
      </c>
      <c r="D2438" s="50" t="str">
        <f>VLOOKUP(C2438,Product!A$2:B$21,1,0)</f>
        <v>PD0001</v>
      </c>
      <c r="E2438" s="36">
        <v>127</v>
      </c>
      <c r="F2438" s="38">
        <v>30041850</v>
      </c>
      <c r="G2438" s="39" t="s">
        <v>4812</v>
      </c>
      <c r="H2438" s="12"/>
      <c r="L2438" s="12"/>
    </row>
    <row r="2439" spans="1:12" ht="15.75" customHeight="1" x14ac:dyDescent="0.3">
      <c r="A2439" s="29" t="s">
        <v>1103</v>
      </c>
      <c r="B2439" s="50" t="str">
        <f>VLOOKUP(A2439,'Sales Order'!A$2:B$1029,1,0)</f>
        <v>SO0865</v>
      </c>
      <c r="C2439" s="29" t="s">
        <v>40</v>
      </c>
      <c r="D2439" s="50" t="str">
        <f>VLOOKUP(C2439,Product!A$2:B$21,1,0)</f>
        <v>PD0006</v>
      </c>
      <c r="E2439" s="36">
        <v>63</v>
      </c>
      <c r="F2439" s="38">
        <v>12376980</v>
      </c>
      <c r="G2439" s="39" t="s">
        <v>4813</v>
      </c>
      <c r="H2439" s="12"/>
      <c r="L2439" s="12"/>
    </row>
    <row r="2440" spans="1:12" ht="15.75" customHeight="1" x14ac:dyDescent="0.3">
      <c r="A2440" s="29" t="s">
        <v>1103</v>
      </c>
      <c r="B2440" s="50" t="str">
        <f>VLOOKUP(A2440,'Sales Order'!A$2:B$1029,1,0)</f>
        <v>SO0865</v>
      </c>
      <c r="C2440" s="29" t="s">
        <v>61</v>
      </c>
      <c r="D2440" s="50" t="str">
        <f>VLOOKUP(C2440,Product!A$2:B$21,1,0)</f>
        <v>PD0013</v>
      </c>
      <c r="E2440" s="36">
        <v>45</v>
      </c>
      <c r="F2440" s="38">
        <v>16597350</v>
      </c>
      <c r="G2440" s="39" t="s">
        <v>4814</v>
      </c>
      <c r="H2440" s="12"/>
      <c r="L2440" s="12"/>
    </row>
    <row r="2441" spans="1:12" ht="15.75" customHeight="1" x14ac:dyDescent="0.3">
      <c r="A2441" s="29" t="s">
        <v>1104</v>
      </c>
      <c r="B2441" s="50" t="str">
        <f>VLOOKUP(A2441,'Sales Order'!A$2:B$1029,1,0)</f>
        <v>SO0866</v>
      </c>
      <c r="C2441" s="29" t="s">
        <v>78</v>
      </c>
      <c r="D2441" s="50" t="str">
        <f>VLOOKUP(C2441,Product!A$2:B$21,1,0)</f>
        <v>PD0018</v>
      </c>
      <c r="E2441" s="36">
        <v>27</v>
      </c>
      <c r="F2441" s="38">
        <v>11347560</v>
      </c>
      <c r="G2441" s="39" t="s">
        <v>4815</v>
      </c>
      <c r="H2441" s="12"/>
      <c r="L2441" s="12"/>
    </row>
    <row r="2442" spans="1:12" ht="15.75" customHeight="1" x14ac:dyDescent="0.3">
      <c r="A2442" s="29" t="s">
        <v>1104</v>
      </c>
      <c r="B2442" s="50" t="str">
        <f>VLOOKUP(A2442,'Sales Order'!A$2:B$1029,1,0)</f>
        <v>SO0866</v>
      </c>
      <c r="C2442" s="29" t="s">
        <v>25</v>
      </c>
      <c r="D2442" s="50" t="str">
        <f>VLOOKUP(C2442,Product!A$2:B$21,1,0)</f>
        <v>PD0002</v>
      </c>
      <c r="E2442" s="36">
        <v>62</v>
      </c>
      <c r="F2442" s="38">
        <v>1041600</v>
      </c>
      <c r="G2442" s="39" t="s">
        <v>4816</v>
      </c>
      <c r="H2442" s="12"/>
      <c r="L2442" s="12"/>
    </row>
    <row r="2443" spans="1:12" ht="15.75" customHeight="1" x14ac:dyDescent="0.3">
      <c r="A2443" s="29" t="s">
        <v>1104</v>
      </c>
      <c r="B2443" s="50" t="str">
        <f>VLOOKUP(A2443,'Sales Order'!A$2:B$1029,1,0)</f>
        <v>SO0866</v>
      </c>
      <c r="C2443" s="29" t="s">
        <v>72</v>
      </c>
      <c r="D2443" s="50" t="str">
        <f>VLOOKUP(C2443,Product!A$2:B$21,1,0)</f>
        <v>PD0016</v>
      </c>
      <c r="E2443" s="36">
        <v>44</v>
      </c>
      <c r="F2443" s="38">
        <v>11043120</v>
      </c>
      <c r="G2443" s="39" t="s">
        <v>4817</v>
      </c>
      <c r="H2443" s="12"/>
      <c r="L2443" s="12"/>
    </row>
    <row r="2444" spans="1:12" ht="15.75" customHeight="1" x14ac:dyDescent="0.3">
      <c r="A2444" s="17" t="s">
        <v>1105</v>
      </c>
      <c r="B2444" s="50" t="str">
        <f>VLOOKUP(A2444,'Sales Order'!A$2:B$1029,1,0)</f>
        <v>SO0867</v>
      </c>
      <c r="C2444" s="29" t="s">
        <v>75</v>
      </c>
      <c r="D2444" s="50" t="str">
        <f>VLOOKUP(C2444,Product!A$2:B$21,1,0)</f>
        <v>PD0017</v>
      </c>
      <c r="E2444" s="36">
        <v>105</v>
      </c>
      <c r="F2444" s="38">
        <v>217035000</v>
      </c>
      <c r="G2444" s="39" t="s">
        <v>4818</v>
      </c>
      <c r="H2444" s="12"/>
      <c r="L2444" s="12"/>
    </row>
    <row r="2445" spans="1:12" ht="15.75" customHeight="1" x14ac:dyDescent="0.3">
      <c r="A2445" s="29" t="s">
        <v>1105</v>
      </c>
      <c r="B2445" s="50" t="str">
        <f>VLOOKUP(A2445,'Sales Order'!A$2:B$1029,1,0)</f>
        <v>SO0867</v>
      </c>
      <c r="C2445" s="29" t="s">
        <v>33</v>
      </c>
      <c r="D2445" s="50" t="str">
        <f>VLOOKUP(C2445,Product!A$2:B$21,1,0)</f>
        <v>PD0004</v>
      </c>
      <c r="E2445" s="36">
        <v>99</v>
      </c>
      <c r="F2445" s="38">
        <v>20037600</v>
      </c>
      <c r="G2445" s="39" t="s">
        <v>4819</v>
      </c>
      <c r="H2445" s="12"/>
      <c r="L2445" s="12"/>
    </row>
    <row r="2446" spans="1:12" ht="15.75" customHeight="1" x14ac:dyDescent="0.3">
      <c r="A2446" s="29" t="s">
        <v>1105</v>
      </c>
      <c r="B2446" s="50" t="str">
        <f>VLOOKUP(A2446,'Sales Order'!A$2:B$1029,1,0)</f>
        <v>SO0867</v>
      </c>
      <c r="C2446" s="29" t="s">
        <v>19</v>
      </c>
      <c r="D2446" s="50" t="str">
        <f>VLOOKUP(C2446,Product!A$2:B$21,1,0)</f>
        <v>PD0001</v>
      </c>
      <c r="E2446" s="36">
        <v>69</v>
      </c>
      <c r="F2446" s="38">
        <v>15291090</v>
      </c>
      <c r="G2446" s="39" t="s">
        <v>4820</v>
      </c>
      <c r="H2446" s="12"/>
      <c r="L2446" s="12"/>
    </row>
    <row r="2447" spans="1:12" ht="15.75" customHeight="1" x14ac:dyDescent="0.3">
      <c r="A2447" s="17" t="s">
        <v>1106</v>
      </c>
      <c r="B2447" s="50" t="str">
        <f>VLOOKUP(A2447,'Sales Order'!A$2:B$1029,1,0)</f>
        <v>SO0868</v>
      </c>
      <c r="C2447" s="29" t="s">
        <v>72</v>
      </c>
      <c r="D2447" s="50" t="str">
        <f>VLOOKUP(C2447,Product!A$2:B$21,1,0)</f>
        <v>PD0016</v>
      </c>
      <c r="E2447" s="36">
        <v>37</v>
      </c>
      <c r="F2447" s="38">
        <v>8594730</v>
      </c>
      <c r="G2447" s="39" t="s">
        <v>4821</v>
      </c>
      <c r="H2447" s="12"/>
      <c r="L2447" s="12"/>
    </row>
    <row r="2448" spans="1:12" ht="15.75" customHeight="1" x14ac:dyDescent="0.3">
      <c r="A2448" s="29" t="s">
        <v>1106</v>
      </c>
      <c r="B2448" s="50" t="str">
        <f>VLOOKUP(A2448,'Sales Order'!A$2:B$1029,1,0)</f>
        <v>SO0868</v>
      </c>
      <c r="C2448" s="29" t="s">
        <v>81</v>
      </c>
      <c r="D2448" s="50" t="str">
        <f>VLOOKUP(C2448,Product!A$2:B$21,1,0)</f>
        <v>PD0019</v>
      </c>
      <c r="E2448" s="36">
        <v>68</v>
      </c>
      <c r="F2448" s="38">
        <v>157732120</v>
      </c>
      <c r="G2448" s="39" t="s">
        <v>4822</v>
      </c>
      <c r="H2448" s="12"/>
      <c r="L2448" s="12"/>
    </row>
    <row r="2449" spans="1:12" ht="15.75" customHeight="1" x14ac:dyDescent="0.3">
      <c r="A2449" s="17" t="s">
        <v>1107</v>
      </c>
      <c r="B2449" s="50" t="str">
        <f>VLOOKUP(A2449,'Sales Order'!A$2:B$1029,1,0)</f>
        <v>SO0869</v>
      </c>
      <c r="C2449" s="29" t="s">
        <v>52</v>
      </c>
      <c r="D2449" s="50" t="str">
        <f>VLOOKUP(C2449,Product!A$2:B$21,1,0)</f>
        <v>PD0010</v>
      </c>
      <c r="E2449" s="36">
        <v>92</v>
      </c>
      <c r="F2449" s="38">
        <v>26611000</v>
      </c>
      <c r="G2449" s="39" t="s">
        <v>4823</v>
      </c>
      <c r="H2449" s="12"/>
      <c r="L2449" s="12"/>
    </row>
    <row r="2450" spans="1:12" ht="15.75" customHeight="1" x14ac:dyDescent="0.3">
      <c r="A2450" s="29" t="s">
        <v>1107</v>
      </c>
      <c r="B2450" s="50" t="str">
        <f>VLOOKUP(A2450,'Sales Order'!A$2:B$1029,1,0)</f>
        <v>SO0869</v>
      </c>
      <c r="C2450" s="29" t="s">
        <v>19</v>
      </c>
      <c r="D2450" s="50" t="str">
        <f>VLOOKUP(C2450,Product!A$2:B$21,1,0)</f>
        <v>PD0001</v>
      </c>
      <c r="E2450" s="36">
        <v>126</v>
      </c>
      <c r="F2450" s="38">
        <v>29805300</v>
      </c>
      <c r="G2450" s="39" t="s">
        <v>4824</v>
      </c>
      <c r="H2450" s="12"/>
      <c r="L2450" s="12"/>
    </row>
    <row r="2451" spans="1:12" ht="15.75" customHeight="1" x14ac:dyDescent="0.3">
      <c r="A2451" s="29" t="s">
        <v>1107</v>
      </c>
      <c r="B2451" s="50" t="str">
        <f>VLOOKUP(A2451,'Sales Order'!A$2:B$1029,1,0)</f>
        <v>SO0869</v>
      </c>
      <c r="C2451" s="29" t="s">
        <v>25</v>
      </c>
      <c r="D2451" s="50" t="str">
        <f>VLOOKUP(C2451,Product!A$2:B$21,1,0)</f>
        <v>PD0002</v>
      </c>
      <c r="E2451" s="36">
        <v>117</v>
      </c>
      <c r="F2451" s="38">
        <v>2059200</v>
      </c>
      <c r="G2451" s="39" t="s">
        <v>4825</v>
      </c>
      <c r="H2451" s="12"/>
      <c r="L2451" s="12"/>
    </row>
    <row r="2452" spans="1:12" ht="15.75" customHeight="1" x14ac:dyDescent="0.3">
      <c r="A2452" s="17" t="s">
        <v>1108</v>
      </c>
      <c r="B2452" s="50" t="str">
        <f>VLOOKUP(A2452,'Sales Order'!A$2:B$1029,1,0)</f>
        <v>SO0870</v>
      </c>
      <c r="C2452" s="29" t="s">
        <v>65</v>
      </c>
      <c r="D2452" s="50" t="str">
        <f>VLOOKUP(C2452,Product!A$2:B$21,1,0)</f>
        <v>PD0014</v>
      </c>
      <c r="E2452" s="36">
        <v>67</v>
      </c>
      <c r="F2452" s="38">
        <v>15742320</v>
      </c>
      <c r="G2452" s="39" t="s">
        <v>4826</v>
      </c>
      <c r="H2452" s="12"/>
      <c r="L2452" s="12"/>
    </row>
    <row r="2453" spans="1:12" ht="15.75" customHeight="1" x14ac:dyDescent="0.3">
      <c r="A2453" s="29" t="s">
        <v>1108</v>
      </c>
      <c r="B2453" s="50" t="str">
        <f>VLOOKUP(A2453,'Sales Order'!A$2:B$1029,1,0)</f>
        <v>SO0870</v>
      </c>
      <c r="C2453" s="29" t="s">
        <v>48</v>
      </c>
      <c r="D2453" s="50" t="str">
        <f>VLOOKUP(C2453,Product!A$2:B$21,1,0)</f>
        <v>PD0009</v>
      </c>
      <c r="E2453" s="36">
        <v>89</v>
      </c>
      <c r="F2453" s="38">
        <v>8610750</v>
      </c>
      <c r="G2453" s="39" t="s">
        <v>4827</v>
      </c>
      <c r="H2453" s="12"/>
      <c r="L2453" s="12"/>
    </row>
    <row r="2454" spans="1:12" ht="15.75" customHeight="1" x14ac:dyDescent="0.3">
      <c r="A2454" s="29" t="s">
        <v>1108</v>
      </c>
      <c r="B2454" s="50" t="str">
        <f>VLOOKUP(A2454,'Sales Order'!A$2:B$1029,1,0)</f>
        <v>SO0870</v>
      </c>
      <c r="C2454" s="29" t="s">
        <v>52</v>
      </c>
      <c r="D2454" s="50" t="str">
        <f>VLOOKUP(C2454,Product!A$2:B$21,1,0)</f>
        <v>PD0010</v>
      </c>
      <c r="E2454" s="36">
        <v>93</v>
      </c>
      <c r="F2454" s="38">
        <v>25086750</v>
      </c>
      <c r="G2454" s="39" t="s">
        <v>4828</v>
      </c>
      <c r="H2454" s="12"/>
      <c r="L2454" s="12"/>
    </row>
    <row r="2455" spans="1:12" ht="15.75" customHeight="1" x14ac:dyDescent="0.3">
      <c r="A2455" s="17" t="s">
        <v>1109</v>
      </c>
      <c r="B2455" s="50" t="str">
        <f>VLOOKUP(A2455,'Sales Order'!A$2:B$1029,1,0)</f>
        <v>SO0871</v>
      </c>
      <c r="C2455" s="29" t="s">
        <v>19</v>
      </c>
      <c r="D2455" s="50" t="str">
        <f>VLOOKUP(C2455,Product!A$2:B$21,1,0)</f>
        <v>PD0001</v>
      </c>
      <c r="E2455" s="36">
        <v>47</v>
      </c>
      <c r="F2455" s="38">
        <v>10766760</v>
      </c>
      <c r="G2455" s="39" t="s">
        <v>4829</v>
      </c>
      <c r="H2455" s="12"/>
      <c r="L2455" s="12"/>
    </row>
    <row r="2456" spans="1:12" ht="15.75" customHeight="1" x14ac:dyDescent="0.3">
      <c r="A2456" s="29" t="s">
        <v>1109</v>
      </c>
      <c r="B2456" s="50" t="str">
        <f>VLOOKUP(A2456,'Sales Order'!A$2:B$1029,1,0)</f>
        <v>SO0871</v>
      </c>
      <c r="C2456" s="29" t="s">
        <v>72</v>
      </c>
      <c r="D2456" s="50" t="str">
        <f>VLOOKUP(C2456,Product!A$2:B$21,1,0)</f>
        <v>PD0016</v>
      </c>
      <c r="E2456" s="36">
        <v>123</v>
      </c>
      <c r="F2456" s="38">
        <v>26272800</v>
      </c>
      <c r="G2456" s="39" t="s">
        <v>4830</v>
      </c>
      <c r="H2456" s="12"/>
      <c r="L2456" s="12"/>
    </row>
    <row r="2457" spans="1:12" ht="15.75" customHeight="1" x14ac:dyDescent="0.3">
      <c r="A2457" s="29" t="s">
        <v>1109</v>
      </c>
      <c r="B2457" s="50" t="str">
        <f>VLOOKUP(A2457,'Sales Order'!A$2:B$1029,1,0)</f>
        <v>SO0871</v>
      </c>
      <c r="C2457" s="29" t="s">
        <v>40</v>
      </c>
      <c r="D2457" s="50" t="str">
        <f>VLOOKUP(C2457,Product!A$2:B$21,1,0)</f>
        <v>PD0006</v>
      </c>
      <c r="E2457" s="36">
        <v>142</v>
      </c>
      <c r="F2457" s="38">
        <v>26710200</v>
      </c>
      <c r="G2457" s="39" t="s">
        <v>4831</v>
      </c>
      <c r="H2457" s="12"/>
      <c r="L2457" s="12"/>
    </row>
    <row r="2458" spans="1:12" ht="15.75" customHeight="1" x14ac:dyDescent="0.3">
      <c r="A2458" s="29" t="s">
        <v>1109</v>
      </c>
      <c r="B2458" s="50" t="str">
        <f>VLOOKUP(A2458,'Sales Order'!A$2:B$1029,1,0)</f>
        <v>SO0871</v>
      </c>
      <c r="C2458" s="29" t="s">
        <v>75</v>
      </c>
      <c r="D2458" s="50" t="str">
        <f>VLOOKUP(C2458,Product!A$2:B$21,1,0)</f>
        <v>PD0017</v>
      </c>
      <c r="E2458" s="36">
        <v>148</v>
      </c>
      <c r="F2458" s="38">
        <v>329448000</v>
      </c>
      <c r="G2458" s="39" t="s">
        <v>4832</v>
      </c>
      <c r="H2458" s="12"/>
      <c r="L2458" s="12"/>
    </row>
    <row r="2459" spans="1:12" ht="15.75" customHeight="1" x14ac:dyDescent="0.3">
      <c r="A2459" s="17" t="s">
        <v>1110</v>
      </c>
      <c r="B2459" s="50" t="str">
        <f>VLOOKUP(A2459,'Sales Order'!A$2:B$1029,1,0)</f>
        <v>SO0872</v>
      </c>
      <c r="C2459" s="29" t="s">
        <v>19</v>
      </c>
      <c r="D2459" s="50" t="str">
        <f>VLOOKUP(C2459,Product!A$2:B$21,1,0)</f>
        <v>PD0001</v>
      </c>
      <c r="E2459" s="36">
        <v>51</v>
      </c>
      <c r="F2459" s="38">
        <v>9905220</v>
      </c>
      <c r="G2459" s="39" t="s">
        <v>4833</v>
      </c>
      <c r="H2459" s="12"/>
      <c r="L2459" s="12"/>
    </row>
    <row r="2460" spans="1:12" ht="15.75" customHeight="1" x14ac:dyDescent="0.3">
      <c r="A2460" s="29" t="s">
        <v>1110</v>
      </c>
      <c r="B2460" s="50" t="str">
        <f>VLOOKUP(A2460,'Sales Order'!A$2:B$1029,1,0)</f>
        <v>SO0872</v>
      </c>
      <c r="C2460" s="29" t="s">
        <v>81</v>
      </c>
      <c r="D2460" s="50" t="str">
        <f>VLOOKUP(C2460,Product!A$2:B$21,1,0)</f>
        <v>PD0019</v>
      </c>
      <c r="E2460" s="36">
        <v>97</v>
      </c>
      <c r="F2460" s="38">
        <v>207692520</v>
      </c>
      <c r="G2460" s="39" t="s">
        <v>4834</v>
      </c>
      <c r="H2460" s="12"/>
      <c r="L2460" s="12"/>
    </row>
    <row r="2461" spans="1:12" ht="15.75" customHeight="1" x14ac:dyDescent="0.3">
      <c r="A2461" s="29" t="s">
        <v>1110</v>
      </c>
      <c r="B2461" s="50" t="str">
        <f>VLOOKUP(A2461,'Sales Order'!A$2:B$1029,1,0)</f>
        <v>SO0872</v>
      </c>
      <c r="C2461" s="29" t="s">
        <v>78</v>
      </c>
      <c r="D2461" s="50" t="str">
        <f>VLOOKUP(C2461,Product!A$2:B$21,1,0)</f>
        <v>PD0018</v>
      </c>
      <c r="E2461" s="36">
        <v>134</v>
      </c>
      <c r="F2461" s="38">
        <v>64159200</v>
      </c>
      <c r="G2461" s="39" t="s">
        <v>4835</v>
      </c>
      <c r="H2461" s="12"/>
      <c r="L2461" s="12"/>
    </row>
    <row r="2462" spans="1:12" ht="15.75" customHeight="1" x14ac:dyDescent="0.3">
      <c r="A2462" s="29" t="s">
        <v>1110</v>
      </c>
      <c r="B2462" s="50" t="str">
        <f>VLOOKUP(A2462,'Sales Order'!A$2:B$1029,1,0)</f>
        <v>SO0872</v>
      </c>
      <c r="C2462" s="29" t="s">
        <v>55</v>
      </c>
      <c r="D2462" s="50" t="str">
        <f>VLOOKUP(C2462,Product!A$2:B$21,1,0)</f>
        <v>PD0011</v>
      </c>
      <c r="E2462" s="36">
        <v>53</v>
      </c>
      <c r="F2462" s="38">
        <v>98771330</v>
      </c>
      <c r="G2462" s="39" t="s">
        <v>4836</v>
      </c>
      <c r="H2462" s="12"/>
      <c r="L2462" s="12"/>
    </row>
    <row r="2463" spans="1:12" ht="15.75" customHeight="1" x14ac:dyDescent="0.3">
      <c r="A2463" s="29" t="s">
        <v>1110</v>
      </c>
      <c r="B2463" s="50" t="str">
        <f>VLOOKUP(A2463,'Sales Order'!A$2:B$1029,1,0)</f>
        <v>SO0872</v>
      </c>
      <c r="C2463" s="29" t="s">
        <v>33</v>
      </c>
      <c r="D2463" s="50" t="str">
        <f>VLOOKUP(C2463,Product!A$2:B$21,1,0)</f>
        <v>PD0004</v>
      </c>
      <c r="E2463" s="36">
        <v>55</v>
      </c>
      <c r="F2463" s="38">
        <v>10043000</v>
      </c>
      <c r="G2463" s="39" t="s">
        <v>4837</v>
      </c>
      <c r="H2463" s="12"/>
      <c r="L2463" s="12"/>
    </row>
    <row r="2464" spans="1:12" ht="15.75" customHeight="1" x14ac:dyDescent="0.3">
      <c r="A2464" s="17" t="s">
        <v>1111</v>
      </c>
      <c r="B2464" s="50" t="str">
        <f>VLOOKUP(A2464,'Sales Order'!A$2:B$1029,1,0)</f>
        <v>SO0873</v>
      </c>
      <c r="C2464" s="29" t="s">
        <v>55</v>
      </c>
      <c r="D2464" s="50" t="str">
        <f>VLOOKUP(C2464,Product!A$2:B$21,1,0)</f>
        <v>PD0011</v>
      </c>
      <c r="E2464" s="36">
        <v>44</v>
      </c>
      <c r="F2464" s="38">
        <v>91340480</v>
      </c>
      <c r="G2464" s="39" t="s">
        <v>4838</v>
      </c>
      <c r="H2464" s="12"/>
      <c r="L2464" s="12"/>
    </row>
    <row r="2465" spans="1:12" ht="15.75" customHeight="1" x14ac:dyDescent="0.3">
      <c r="A2465" s="29" t="s">
        <v>1111</v>
      </c>
      <c r="B2465" s="50" t="str">
        <f>VLOOKUP(A2465,'Sales Order'!A$2:B$1029,1,0)</f>
        <v>SO0873</v>
      </c>
      <c r="C2465" s="29" t="s">
        <v>58</v>
      </c>
      <c r="D2465" s="50" t="str">
        <f>VLOOKUP(C2465,Product!A$2:B$21,1,0)</f>
        <v>PD0012</v>
      </c>
      <c r="E2465" s="36">
        <v>150</v>
      </c>
      <c r="F2465" s="38">
        <v>735889500</v>
      </c>
      <c r="G2465" s="39" t="s">
        <v>4839</v>
      </c>
      <c r="H2465" s="12"/>
      <c r="L2465" s="12"/>
    </row>
    <row r="2466" spans="1:12" ht="15.75" customHeight="1" x14ac:dyDescent="0.3">
      <c r="A2466" s="29" t="s">
        <v>1111</v>
      </c>
      <c r="B2466" s="50" t="str">
        <f>VLOOKUP(A2466,'Sales Order'!A$2:B$1029,1,0)</f>
        <v>SO0873</v>
      </c>
      <c r="C2466" s="29" t="s">
        <v>61</v>
      </c>
      <c r="D2466" s="50" t="str">
        <f>VLOOKUP(C2466,Product!A$2:B$21,1,0)</f>
        <v>PD0013</v>
      </c>
      <c r="E2466" s="36">
        <v>143</v>
      </c>
      <c r="F2466" s="38">
        <v>58907420</v>
      </c>
      <c r="G2466" s="39" t="s">
        <v>4840</v>
      </c>
      <c r="H2466" s="12"/>
      <c r="L2466" s="12"/>
    </row>
    <row r="2467" spans="1:12" ht="15.75" customHeight="1" x14ac:dyDescent="0.3">
      <c r="A2467" s="29" t="s">
        <v>1111</v>
      </c>
      <c r="B2467" s="50" t="str">
        <f>VLOOKUP(A2467,'Sales Order'!A$2:B$1029,1,0)</f>
        <v>SO0873</v>
      </c>
      <c r="C2467" s="29" t="s">
        <v>45</v>
      </c>
      <c r="D2467" s="50" t="str">
        <f>VLOOKUP(C2467,Product!A$2:B$21,1,0)</f>
        <v>PD0008</v>
      </c>
      <c r="E2467" s="36">
        <v>90</v>
      </c>
      <c r="F2467" s="38">
        <v>12605400</v>
      </c>
      <c r="G2467" s="39" t="s">
        <v>4841</v>
      </c>
      <c r="H2467" s="12"/>
      <c r="L2467" s="12"/>
    </row>
    <row r="2468" spans="1:12" ht="15.75" customHeight="1" x14ac:dyDescent="0.3">
      <c r="A2468" s="29" t="s">
        <v>1111</v>
      </c>
      <c r="B2468" s="50" t="str">
        <f>VLOOKUP(A2468,'Sales Order'!A$2:B$1029,1,0)</f>
        <v>SO0873</v>
      </c>
      <c r="C2468" s="29" t="s">
        <v>83</v>
      </c>
      <c r="D2468" s="50" t="str">
        <f>VLOOKUP(C2468,Product!A$2:B$21,1,0)</f>
        <v>PD0020</v>
      </c>
      <c r="E2468" s="36">
        <v>113</v>
      </c>
      <c r="F2468" s="38">
        <v>34096620</v>
      </c>
      <c r="G2468" s="39" t="s">
        <v>4842</v>
      </c>
      <c r="H2468" s="12"/>
      <c r="L2468" s="12"/>
    </row>
    <row r="2469" spans="1:12" ht="15.75" customHeight="1" x14ac:dyDescent="0.3">
      <c r="A2469" s="29" t="s">
        <v>1111</v>
      </c>
      <c r="B2469" s="50" t="str">
        <f>VLOOKUP(A2469,'Sales Order'!A$2:B$1029,1,0)</f>
        <v>SO0873</v>
      </c>
      <c r="C2469" s="29" t="s">
        <v>48</v>
      </c>
      <c r="D2469" s="50" t="str">
        <f>VLOOKUP(C2469,Product!A$2:B$21,1,0)</f>
        <v>PD0009</v>
      </c>
      <c r="E2469" s="36">
        <v>64</v>
      </c>
      <c r="F2469" s="38">
        <v>6439680</v>
      </c>
      <c r="G2469" s="39" t="s">
        <v>4843</v>
      </c>
      <c r="H2469" s="12"/>
      <c r="L2469" s="12"/>
    </row>
    <row r="2470" spans="1:12" ht="15.75" customHeight="1" x14ac:dyDescent="0.3">
      <c r="A2470" s="17" t="s">
        <v>1112</v>
      </c>
      <c r="B2470" s="50" t="str">
        <f>VLOOKUP(A2470,'Sales Order'!A$2:B$1029,1,0)</f>
        <v>SO0874</v>
      </c>
      <c r="C2470" s="29" t="s">
        <v>48</v>
      </c>
      <c r="D2470" s="50" t="str">
        <f>VLOOKUP(C2470,Product!A$2:B$21,1,0)</f>
        <v>PD0009</v>
      </c>
      <c r="E2470" s="36">
        <v>149</v>
      </c>
      <c r="F2470" s="38">
        <v>14992380</v>
      </c>
      <c r="G2470" s="39" t="s">
        <v>4844</v>
      </c>
      <c r="H2470" s="12"/>
      <c r="L2470" s="12"/>
    </row>
    <row r="2471" spans="1:12" ht="15.75" customHeight="1" x14ac:dyDescent="0.3">
      <c r="A2471" s="29" t="s">
        <v>1112</v>
      </c>
      <c r="B2471" s="50" t="str">
        <f>VLOOKUP(A2471,'Sales Order'!A$2:B$1029,1,0)</f>
        <v>SO0874</v>
      </c>
      <c r="C2471" s="29" t="s">
        <v>72</v>
      </c>
      <c r="D2471" s="50" t="str">
        <f>VLOOKUP(C2471,Product!A$2:B$21,1,0)</f>
        <v>PD0016</v>
      </c>
      <c r="E2471" s="36">
        <v>101</v>
      </c>
      <c r="F2471" s="38">
        <v>23191620</v>
      </c>
      <c r="G2471" s="39" t="s">
        <v>4845</v>
      </c>
      <c r="H2471" s="12"/>
      <c r="L2471" s="12"/>
    </row>
    <row r="2472" spans="1:12" ht="15.75" customHeight="1" x14ac:dyDescent="0.3">
      <c r="A2472" s="29" t="s">
        <v>1112</v>
      </c>
      <c r="B2472" s="50" t="str">
        <f>VLOOKUP(A2472,'Sales Order'!A$2:B$1029,1,0)</f>
        <v>SO0874</v>
      </c>
      <c r="C2472" s="29" t="s">
        <v>40</v>
      </c>
      <c r="D2472" s="50" t="str">
        <f>VLOOKUP(C2472,Product!A$2:B$21,1,0)</f>
        <v>PD0006</v>
      </c>
      <c r="E2472" s="36">
        <v>97</v>
      </c>
      <c r="F2472" s="38">
        <v>16623860.000000002</v>
      </c>
      <c r="G2472" s="39" t="s">
        <v>4846</v>
      </c>
      <c r="H2472" s="12"/>
      <c r="L2472" s="12"/>
    </row>
    <row r="2473" spans="1:12" ht="15.75" customHeight="1" x14ac:dyDescent="0.3">
      <c r="A2473" s="29" t="s">
        <v>1112</v>
      </c>
      <c r="B2473" s="50" t="str">
        <f>VLOOKUP(A2473,'Sales Order'!A$2:B$1029,1,0)</f>
        <v>SO0874</v>
      </c>
      <c r="C2473" s="29" t="s">
        <v>65</v>
      </c>
      <c r="D2473" s="50" t="str">
        <f>VLOOKUP(C2473,Product!A$2:B$21,1,0)</f>
        <v>PD0014</v>
      </c>
      <c r="E2473" s="36">
        <v>51</v>
      </c>
      <c r="F2473" s="38">
        <v>12255300</v>
      </c>
      <c r="G2473" s="39" t="s">
        <v>4847</v>
      </c>
      <c r="H2473" s="12"/>
      <c r="L2473" s="12"/>
    </row>
    <row r="2474" spans="1:12" ht="15.75" customHeight="1" x14ac:dyDescent="0.3">
      <c r="A2474" s="17" t="s">
        <v>1113</v>
      </c>
      <c r="B2474" s="50" t="str">
        <f>VLOOKUP(A2474,'Sales Order'!A$2:B$1029,1,0)</f>
        <v>SO0875</v>
      </c>
      <c r="C2474" s="29" t="s">
        <v>69</v>
      </c>
      <c r="D2474" s="50" t="str">
        <f>VLOOKUP(C2474,Product!A$2:B$21,1,0)</f>
        <v>PD0015</v>
      </c>
      <c r="E2474" s="36">
        <v>149</v>
      </c>
      <c r="F2474" s="38">
        <v>19034154</v>
      </c>
      <c r="G2474" s="39" t="s">
        <v>4848</v>
      </c>
      <c r="H2474" s="12"/>
      <c r="L2474" s="12"/>
    </row>
    <row r="2475" spans="1:12" ht="15.75" customHeight="1" x14ac:dyDescent="0.3">
      <c r="A2475" s="29" t="s">
        <v>1113</v>
      </c>
      <c r="B2475" s="50" t="str">
        <f>VLOOKUP(A2475,'Sales Order'!A$2:B$1029,1,0)</f>
        <v>SO0875</v>
      </c>
      <c r="C2475" s="29" t="s">
        <v>48</v>
      </c>
      <c r="D2475" s="50" t="str">
        <f>VLOOKUP(C2475,Product!A$2:B$21,1,0)</f>
        <v>PD0009</v>
      </c>
      <c r="E2475" s="36">
        <v>138</v>
      </c>
      <c r="F2475" s="38">
        <v>13885560</v>
      </c>
      <c r="G2475" s="39" t="s">
        <v>4849</v>
      </c>
      <c r="H2475" s="12"/>
      <c r="L2475" s="12"/>
    </row>
    <row r="2476" spans="1:12" ht="15.75" customHeight="1" x14ac:dyDescent="0.3">
      <c r="A2476" s="29" t="s">
        <v>1113</v>
      </c>
      <c r="B2476" s="50" t="str">
        <f>VLOOKUP(A2476,'Sales Order'!A$2:B$1029,1,0)</f>
        <v>SO0875</v>
      </c>
      <c r="C2476" s="29" t="s">
        <v>61</v>
      </c>
      <c r="D2476" s="50" t="str">
        <f>VLOOKUP(C2476,Product!A$2:B$21,1,0)</f>
        <v>PD0013</v>
      </c>
      <c r="E2476" s="36">
        <v>39</v>
      </c>
      <c r="F2476" s="38">
        <v>16999710</v>
      </c>
      <c r="G2476" s="39" t="s">
        <v>4850</v>
      </c>
      <c r="H2476" s="12"/>
      <c r="L2476" s="12"/>
    </row>
    <row r="2477" spans="1:12" ht="15.75" customHeight="1" x14ac:dyDescent="0.3">
      <c r="A2477" s="29" t="s">
        <v>1113</v>
      </c>
      <c r="B2477" s="50" t="str">
        <f>VLOOKUP(A2477,'Sales Order'!A$2:B$1029,1,0)</f>
        <v>SO0875</v>
      </c>
      <c r="C2477" s="29" t="s">
        <v>78</v>
      </c>
      <c r="D2477" s="50" t="str">
        <f>VLOOKUP(C2477,Product!A$2:B$21,1,0)</f>
        <v>PD0018</v>
      </c>
      <c r="E2477" s="36">
        <v>36</v>
      </c>
      <c r="F2477" s="38">
        <v>14364000</v>
      </c>
      <c r="G2477" s="39" t="s">
        <v>4851</v>
      </c>
      <c r="H2477" s="12"/>
      <c r="L2477" s="12"/>
    </row>
    <row r="2478" spans="1:12" ht="15.75" customHeight="1" x14ac:dyDescent="0.3">
      <c r="A2478" s="29" t="s">
        <v>1113</v>
      </c>
      <c r="B2478" s="50" t="str">
        <f>VLOOKUP(A2478,'Sales Order'!A$2:B$1029,1,0)</f>
        <v>SO0875</v>
      </c>
      <c r="C2478" s="29" t="s">
        <v>40</v>
      </c>
      <c r="D2478" s="50" t="str">
        <f>VLOOKUP(C2478,Product!A$2:B$21,1,0)</f>
        <v>PD0006</v>
      </c>
      <c r="E2478" s="36">
        <v>134</v>
      </c>
      <c r="F2478" s="38">
        <v>22684860</v>
      </c>
      <c r="G2478" s="39" t="s">
        <v>4852</v>
      </c>
      <c r="H2478" s="12"/>
      <c r="L2478" s="12"/>
    </row>
    <row r="2479" spans="1:12" ht="15.75" customHeight="1" x14ac:dyDescent="0.3">
      <c r="A2479" s="17" t="s">
        <v>1114</v>
      </c>
      <c r="B2479" s="50" t="str">
        <f>VLOOKUP(A2479,'Sales Order'!A$2:B$1029,1,0)</f>
        <v>SO0876</v>
      </c>
      <c r="C2479" s="29" t="s">
        <v>55</v>
      </c>
      <c r="D2479" s="50" t="str">
        <f>VLOOKUP(C2479,Product!A$2:B$21,1,0)</f>
        <v>PD0011</v>
      </c>
      <c r="E2479" s="36">
        <v>33</v>
      </c>
      <c r="F2479" s="38">
        <v>66948420</v>
      </c>
      <c r="G2479" s="39" t="s">
        <v>4853</v>
      </c>
      <c r="H2479" s="12"/>
      <c r="L2479" s="12"/>
    </row>
    <row r="2480" spans="1:12" ht="15.75" customHeight="1" x14ac:dyDescent="0.3">
      <c r="A2480" s="29" t="s">
        <v>1114</v>
      </c>
      <c r="B2480" s="50" t="str">
        <f>VLOOKUP(A2480,'Sales Order'!A$2:B$1029,1,0)</f>
        <v>SO0876</v>
      </c>
      <c r="C2480" s="29" t="s">
        <v>33</v>
      </c>
      <c r="D2480" s="50" t="str">
        <f>VLOOKUP(C2480,Product!A$2:B$21,1,0)</f>
        <v>PD0004</v>
      </c>
      <c r="E2480" s="36">
        <v>51</v>
      </c>
      <c r="F2480" s="38">
        <v>8527200</v>
      </c>
      <c r="G2480" s="39" t="s">
        <v>4854</v>
      </c>
      <c r="H2480" s="12"/>
      <c r="L2480" s="12"/>
    </row>
    <row r="2481" spans="1:12" ht="15.75" customHeight="1" x14ac:dyDescent="0.3">
      <c r="A2481" s="29" t="s">
        <v>1114</v>
      </c>
      <c r="B2481" s="50" t="str">
        <f>VLOOKUP(A2481,'Sales Order'!A$2:B$1029,1,0)</f>
        <v>SO0876</v>
      </c>
      <c r="C2481" s="29" t="s">
        <v>19</v>
      </c>
      <c r="D2481" s="50" t="str">
        <f>VLOOKUP(C2481,Product!A$2:B$21,1,0)</f>
        <v>PD0001</v>
      </c>
      <c r="E2481" s="36">
        <v>110</v>
      </c>
      <c r="F2481" s="38">
        <v>26020500</v>
      </c>
      <c r="G2481" s="39" t="s">
        <v>4855</v>
      </c>
      <c r="H2481" s="12"/>
      <c r="L2481" s="12"/>
    </row>
    <row r="2482" spans="1:12" ht="15.75" customHeight="1" x14ac:dyDescent="0.3">
      <c r="A2482" s="17" t="s">
        <v>1115</v>
      </c>
      <c r="B2482" s="50" t="str">
        <f>VLOOKUP(A2482,'Sales Order'!A$2:B$1029,1,0)</f>
        <v>SO0877</v>
      </c>
      <c r="C2482" s="29" t="s">
        <v>55</v>
      </c>
      <c r="D2482" s="50" t="str">
        <f>VLOOKUP(C2482,Product!A$2:B$21,1,0)</f>
        <v>PD0011</v>
      </c>
      <c r="E2482" s="36">
        <v>43</v>
      </c>
      <c r="F2482" s="38">
        <v>83178340</v>
      </c>
      <c r="G2482" s="39" t="s">
        <v>4856</v>
      </c>
      <c r="H2482" s="12"/>
      <c r="L2482" s="12"/>
    </row>
    <row r="2483" spans="1:12" ht="15.75" customHeight="1" x14ac:dyDescent="0.3">
      <c r="A2483" s="29" t="s">
        <v>1115</v>
      </c>
      <c r="B2483" s="50" t="str">
        <f>VLOOKUP(A2483,'Sales Order'!A$2:B$1029,1,0)</f>
        <v>SO0877</v>
      </c>
      <c r="C2483" s="29" t="s">
        <v>43</v>
      </c>
      <c r="D2483" s="50" t="str">
        <f>VLOOKUP(C2483,Product!A$2:B$21,1,0)</f>
        <v>PD0007</v>
      </c>
      <c r="E2483" s="36">
        <v>46</v>
      </c>
      <c r="F2483" s="38">
        <v>131008000</v>
      </c>
      <c r="G2483" s="39" t="s">
        <v>4857</v>
      </c>
      <c r="H2483" s="12"/>
      <c r="L2483" s="12"/>
    </row>
    <row r="2484" spans="1:12" ht="15.75" customHeight="1" x14ac:dyDescent="0.3">
      <c r="A2484" s="17" t="s">
        <v>1116</v>
      </c>
      <c r="B2484" s="50" t="str">
        <f>VLOOKUP(A2484,'Sales Order'!A$2:B$1029,1,0)</f>
        <v>SO0878</v>
      </c>
      <c r="C2484" s="29" t="s">
        <v>83</v>
      </c>
      <c r="D2484" s="50" t="str">
        <f>VLOOKUP(C2484,Product!A$2:B$21,1,0)</f>
        <v>PD0020</v>
      </c>
      <c r="E2484" s="36">
        <v>52</v>
      </c>
      <c r="F2484" s="38">
        <v>14355120</v>
      </c>
      <c r="G2484" s="39" t="s">
        <v>4858</v>
      </c>
      <c r="H2484" s="12"/>
      <c r="L2484" s="12"/>
    </row>
    <row r="2485" spans="1:12" ht="15.75" customHeight="1" x14ac:dyDescent="0.3">
      <c r="A2485" s="17" t="s">
        <v>1117</v>
      </c>
      <c r="B2485" s="50" t="str">
        <f>VLOOKUP(A2485,'Sales Order'!A$2:B$1029,1,0)</f>
        <v>SO0879</v>
      </c>
      <c r="C2485" s="29" t="s">
        <v>43</v>
      </c>
      <c r="D2485" s="50" t="str">
        <f>VLOOKUP(C2485,Product!A$2:B$21,1,0)</f>
        <v>PD0007</v>
      </c>
      <c r="E2485" s="36">
        <v>90</v>
      </c>
      <c r="F2485" s="38">
        <v>253440000</v>
      </c>
      <c r="G2485" s="39" t="s">
        <v>4859</v>
      </c>
      <c r="H2485" s="12"/>
      <c r="L2485" s="12"/>
    </row>
    <row r="2486" spans="1:12" ht="15.75" customHeight="1" x14ac:dyDescent="0.3">
      <c r="A2486" s="29" t="s">
        <v>1117</v>
      </c>
      <c r="B2486" s="50" t="str">
        <f>VLOOKUP(A2486,'Sales Order'!A$2:B$1029,1,0)</f>
        <v>SO0879</v>
      </c>
      <c r="C2486" s="29" t="s">
        <v>40</v>
      </c>
      <c r="D2486" s="50" t="str">
        <f>VLOOKUP(C2486,Product!A$2:B$21,1,0)</f>
        <v>PD0006</v>
      </c>
      <c r="E2486" s="36">
        <v>84</v>
      </c>
      <c r="F2486" s="38">
        <v>15098160</v>
      </c>
      <c r="G2486" s="39" t="s">
        <v>4860</v>
      </c>
      <c r="H2486" s="12"/>
      <c r="L2486" s="12"/>
    </row>
    <row r="2487" spans="1:12" ht="15.75" customHeight="1" x14ac:dyDescent="0.3">
      <c r="A2487" s="29" t="s">
        <v>1117</v>
      </c>
      <c r="B2487" s="50" t="str">
        <f>VLOOKUP(A2487,'Sales Order'!A$2:B$1029,1,0)</f>
        <v>SO0879</v>
      </c>
      <c r="C2487" s="29" t="s">
        <v>52</v>
      </c>
      <c r="D2487" s="50" t="str">
        <f>VLOOKUP(C2487,Product!A$2:B$21,1,0)</f>
        <v>PD0010</v>
      </c>
      <c r="E2487" s="36">
        <v>39</v>
      </c>
      <c r="F2487" s="38">
        <v>9886500</v>
      </c>
      <c r="G2487" s="39" t="s">
        <v>4861</v>
      </c>
      <c r="H2487" s="12"/>
      <c r="L2487" s="12"/>
    </row>
    <row r="2488" spans="1:12" ht="15.75" customHeight="1" x14ac:dyDescent="0.3">
      <c r="A2488" s="29" t="s">
        <v>1117</v>
      </c>
      <c r="B2488" s="50" t="str">
        <f>VLOOKUP(A2488,'Sales Order'!A$2:B$1029,1,0)</f>
        <v>SO0879</v>
      </c>
      <c r="C2488" s="29" t="s">
        <v>33</v>
      </c>
      <c r="D2488" s="50" t="str">
        <f>VLOOKUP(C2488,Product!A$2:B$21,1,0)</f>
        <v>PD0004</v>
      </c>
      <c r="E2488" s="36">
        <v>127</v>
      </c>
      <c r="F2488" s="38">
        <v>22352000</v>
      </c>
      <c r="G2488" s="39" t="s">
        <v>4862</v>
      </c>
      <c r="H2488" s="12"/>
      <c r="L2488" s="12"/>
    </row>
    <row r="2489" spans="1:12" ht="15.75" customHeight="1" x14ac:dyDescent="0.3">
      <c r="A2489" s="29" t="s">
        <v>1117</v>
      </c>
      <c r="B2489" s="50" t="str">
        <f>VLOOKUP(A2489,'Sales Order'!A$2:B$1029,1,0)</f>
        <v>SO0879</v>
      </c>
      <c r="C2489" s="29" t="s">
        <v>61</v>
      </c>
      <c r="D2489" s="50" t="str">
        <f>VLOOKUP(C2489,Product!A$2:B$21,1,0)</f>
        <v>PD0013</v>
      </c>
      <c r="E2489" s="36">
        <v>113</v>
      </c>
      <c r="F2489" s="38">
        <v>47090490</v>
      </c>
      <c r="G2489" s="39" t="s">
        <v>4863</v>
      </c>
      <c r="H2489" s="12"/>
      <c r="L2489" s="12"/>
    </row>
    <row r="2490" spans="1:12" ht="15.75" customHeight="1" x14ac:dyDescent="0.3">
      <c r="A2490" s="17" t="s">
        <v>1119</v>
      </c>
      <c r="B2490" s="50" t="str">
        <f>VLOOKUP(A2490,'Sales Order'!A$2:B$1029,1,0)</f>
        <v>SO0881</v>
      </c>
      <c r="C2490" s="29" t="s">
        <v>65</v>
      </c>
      <c r="D2490" s="50" t="str">
        <f>VLOOKUP(C2490,Product!A$2:B$21,1,0)</f>
        <v>PD0014</v>
      </c>
      <c r="E2490" s="36">
        <v>126</v>
      </c>
      <c r="F2490" s="38">
        <v>25231500</v>
      </c>
      <c r="G2490" s="39" t="s">
        <v>4864</v>
      </c>
      <c r="H2490" s="12"/>
      <c r="L2490" s="12"/>
    </row>
    <row r="2491" spans="1:12" ht="15.75" customHeight="1" x14ac:dyDescent="0.3">
      <c r="A2491" s="29" t="s">
        <v>1119</v>
      </c>
      <c r="B2491" s="50" t="str">
        <f>VLOOKUP(A2491,'Sales Order'!A$2:B$1029,1,0)</f>
        <v>SO0881</v>
      </c>
      <c r="C2491" s="29" t="s">
        <v>19</v>
      </c>
      <c r="D2491" s="50" t="str">
        <f>VLOOKUP(C2491,Product!A$2:B$21,1,0)</f>
        <v>PD0001</v>
      </c>
      <c r="E2491" s="36">
        <v>76</v>
      </c>
      <c r="F2491" s="38">
        <v>17410080</v>
      </c>
      <c r="G2491" s="39" t="s">
        <v>4865</v>
      </c>
      <c r="H2491" s="12"/>
      <c r="L2491" s="12"/>
    </row>
    <row r="2492" spans="1:12" ht="15.75" customHeight="1" x14ac:dyDescent="0.3">
      <c r="A2492" s="29" t="s">
        <v>1119</v>
      </c>
      <c r="B2492" s="50" t="str">
        <f>VLOOKUP(A2492,'Sales Order'!A$2:B$1029,1,0)</f>
        <v>SO0881</v>
      </c>
      <c r="C2492" s="29" t="s">
        <v>25</v>
      </c>
      <c r="D2492" s="50" t="str">
        <f>VLOOKUP(C2492,Product!A$2:B$21,1,0)</f>
        <v>PD0002</v>
      </c>
      <c r="E2492" s="36">
        <v>42</v>
      </c>
      <c r="F2492" s="38">
        <v>680400</v>
      </c>
      <c r="G2492" s="39" t="s">
        <v>4866</v>
      </c>
      <c r="H2492" s="12"/>
      <c r="L2492" s="12"/>
    </row>
    <row r="2493" spans="1:12" ht="15.75" customHeight="1" x14ac:dyDescent="0.3">
      <c r="A2493" s="29" t="s">
        <v>1119</v>
      </c>
      <c r="B2493" s="50" t="str">
        <f>VLOOKUP(A2493,'Sales Order'!A$2:B$1029,1,0)</f>
        <v>SO0881</v>
      </c>
      <c r="C2493" s="29" t="s">
        <v>43</v>
      </c>
      <c r="D2493" s="50" t="str">
        <f>VLOOKUP(C2493,Product!A$2:B$21,1,0)</f>
        <v>PD0007</v>
      </c>
      <c r="E2493" s="36">
        <v>75</v>
      </c>
      <c r="F2493" s="38">
        <v>228000000</v>
      </c>
      <c r="G2493" s="39" t="s">
        <v>4867</v>
      </c>
      <c r="H2493" s="12"/>
      <c r="L2493" s="12"/>
    </row>
    <row r="2494" spans="1:12" ht="15.75" customHeight="1" x14ac:dyDescent="0.3">
      <c r="A2494" s="17" t="s">
        <v>1120</v>
      </c>
      <c r="B2494" s="50" t="str">
        <f>VLOOKUP(A2494,'Sales Order'!A$2:B$1029,1,0)</f>
        <v>SO0882</v>
      </c>
      <c r="C2494" s="29" t="s">
        <v>61</v>
      </c>
      <c r="D2494" s="50" t="str">
        <f>VLOOKUP(C2494,Product!A$2:B$21,1,0)</f>
        <v>PD0013</v>
      </c>
      <c r="E2494" s="36">
        <v>62</v>
      </c>
      <c r="F2494" s="38">
        <v>27916120</v>
      </c>
      <c r="G2494" s="39" t="s">
        <v>4868</v>
      </c>
      <c r="H2494" s="12"/>
      <c r="L2494" s="12"/>
    </row>
    <row r="2495" spans="1:12" ht="15.75" customHeight="1" x14ac:dyDescent="0.3">
      <c r="A2495" s="29" t="s">
        <v>1120</v>
      </c>
      <c r="B2495" s="50" t="str">
        <f>VLOOKUP(A2495,'Sales Order'!A$2:B$1029,1,0)</f>
        <v>SO0882</v>
      </c>
      <c r="C2495" s="29" t="s">
        <v>19</v>
      </c>
      <c r="D2495" s="50" t="str">
        <f>VLOOKUP(C2495,Product!A$2:B$21,1,0)</f>
        <v>PD0001</v>
      </c>
      <c r="E2495" s="36">
        <v>126</v>
      </c>
      <c r="F2495" s="38">
        <v>27609120</v>
      </c>
      <c r="G2495" s="39" t="s">
        <v>4869</v>
      </c>
      <c r="H2495" s="12"/>
      <c r="L2495" s="12"/>
    </row>
    <row r="2496" spans="1:12" ht="15.75" customHeight="1" x14ac:dyDescent="0.3">
      <c r="A2496" s="29" t="s">
        <v>1120</v>
      </c>
      <c r="B2496" s="50" t="str">
        <f>VLOOKUP(A2496,'Sales Order'!A$2:B$1029,1,0)</f>
        <v>SO0882</v>
      </c>
      <c r="C2496" s="29" t="s">
        <v>75</v>
      </c>
      <c r="D2496" s="50" t="str">
        <f>VLOOKUP(C2496,Product!A$2:B$21,1,0)</f>
        <v>PD0017</v>
      </c>
      <c r="E2496" s="36">
        <v>83</v>
      </c>
      <c r="F2496" s="38">
        <v>164962500</v>
      </c>
      <c r="G2496" s="39" t="s">
        <v>4870</v>
      </c>
      <c r="H2496" s="12"/>
      <c r="L2496" s="12"/>
    </row>
    <row r="2497" spans="1:12" ht="15.75" customHeight="1" x14ac:dyDescent="0.3">
      <c r="A2497" s="17" t="s">
        <v>1121</v>
      </c>
      <c r="B2497" s="50" t="str">
        <f>VLOOKUP(A2497,'Sales Order'!A$2:B$1029,1,0)</f>
        <v>SO0883</v>
      </c>
      <c r="C2497" s="29" t="s">
        <v>69</v>
      </c>
      <c r="D2497" s="50" t="str">
        <f>VLOOKUP(C2497,Product!A$2:B$21,1,0)</f>
        <v>PD0015</v>
      </c>
      <c r="E2497" s="36">
        <v>40</v>
      </c>
      <c r="F2497" s="38">
        <v>4729320</v>
      </c>
      <c r="G2497" s="39" t="s">
        <v>4871</v>
      </c>
      <c r="H2497" s="12"/>
      <c r="L2497" s="12"/>
    </row>
    <row r="2498" spans="1:12" ht="15.75" customHeight="1" x14ac:dyDescent="0.3">
      <c r="A2498" s="29" t="s">
        <v>1121</v>
      </c>
      <c r="B2498" s="50" t="str">
        <f>VLOOKUP(A2498,'Sales Order'!A$2:B$1029,1,0)</f>
        <v>SO0883</v>
      </c>
      <c r="C2498" s="29" t="s">
        <v>28</v>
      </c>
      <c r="D2498" s="50" t="str">
        <f>VLOOKUP(C2498,Product!A$2:B$21,1,0)</f>
        <v>PD0003</v>
      </c>
      <c r="E2498" s="36">
        <v>56</v>
      </c>
      <c r="F2498" s="38">
        <v>47965120</v>
      </c>
      <c r="G2498" s="39" t="s">
        <v>4872</v>
      </c>
      <c r="H2498" s="12"/>
      <c r="L2498" s="12"/>
    </row>
    <row r="2499" spans="1:12" ht="15.75" customHeight="1" x14ac:dyDescent="0.3">
      <c r="A2499" s="29" t="s">
        <v>1121</v>
      </c>
      <c r="B2499" s="50" t="str">
        <f>VLOOKUP(A2499,'Sales Order'!A$2:B$1029,1,0)</f>
        <v>SO0883</v>
      </c>
      <c r="C2499" s="29" t="s">
        <v>19</v>
      </c>
      <c r="D2499" s="50" t="str">
        <f>VLOOKUP(C2499,Product!A$2:B$21,1,0)</f>
        <v>PD0001</v>
      </c>
      <c r="E2499" s="36">
        <v>90</v>
      </c>
      <c r="F2499" s="38">
        <v>19496700</v>
      </c>
      <c r="G2499" s="39" t="s">
        <v>4873</v>
      </c>
      <c r="H2499" s="12"/>
      <c r="L2499" s="12"/>
    </row>
    <row r="2500" spans="1:12" ht="15.75" customHeight="1" x14ac:dyDescent="0.3">
      <c r="A2500" s="29" t="s">
        <v>1121</v>
      </c>
      <c r="B2500" s="50" t="str">
        <f>VLOOKUP(A2500,'Sales Order'!A$2:B$1029,1,0)</f>
        <v>SO0883</v>
      </c>
      <c r="C2500" s="29" t="s">
        <v>43</v>
      </c>
      <c r="D2500" s="50" t="str">
        <f>VLOOKUP(C2500,Product!A$2:B$21,1,0)</f>
        <v>PD0007</v>
      </c>
      <c r="E2500" s="36">
        <v>46</v>
      </c>
      <c r="F2500" s="38">
        <v>133952000</v>
      </c>
      <c r="G2500" s="39" t="s">
        <v>4874</v>
      </c>
      <c r="H2500" s="12"/>
      <c r="L2500" s="12"/>
    </row>
    <row r="2501" spans="1:12" ht="15.75" customHeight="1" x14ac:dyDescent="0.3">
      <c r="A2501" s="29" t="s">
        <v>1121</v>
      </c>
      <c r="B2501" s="50" t="str">
        <f>VLOOKUP(A2501,'Sales Order'!A$2:B$1029,1,0)</f>
        <v>SO0883</v>
      </c>
      <c r="C2501" s="29" t="s">
        <v>45</v>
      </c>
      <c r="D2501" s="50" t="str">
        <f>VLOOKUP(C2501,Product!A$2:B$21,1,0)</f>
        <v>PD0008</v>
      </c>
      <c r="E2501" s="36">
        <v>105</v>
      </c>
      <c r="F2501" s="38">
        <v>12672450</v>
      </c>
      <c r="G2501" s="39" t="s">
        <v>4875</v>
      </c>
      <c r="H2501" s="12"/>
      <c r="L2501" s="12"/>
    </row>
    <row r="2502" spans="1:12" ht="15.75" customHeight="1" x14ac:dyDescent="0.3">
      <c r="A2502" s="17" t="s">
        <v>1122</v>
      </c>
      <c r="B2502" s="50" t="str">
        <f>VLOOKUP(A2502,'Sales Order'!A$2:B$1029,1,0)</f>
        <v>SO0884</v>
      </c>
      <c r="C2502" s="29" t="s">
        <v>48</v>
      </c>
      <c r="D2502" s="50" t="str">
        <f>VLOOKUP(C2502,Product!A$2:B$21,1,0)</f>
        <v>PD0009</v>
      </c>
      <c r="E2502" s="36">
        <v>77</v>
      </c>
      <c r="F2502" s="38">
        <v>7747740</v>
      </c>
      <c r="G2502" s="39" t="s">
        <v>4876</v>
      </c>
      <c r="H2502" s="12"/>
      <c r="L2502" s="12"/>
    </row>
    <row r="2503" spans="1:12" ht="15.75" customHeight="1" x14ac:dyDescent="0.3">
      <c r="A2503" s="29" t="s">
        <v>1122</v>
      </c>
      <c r="B2503" s="50" t="str">
        <f>VLOOKUP(A2503,'Sales Order'!A$2:B$1029,1,0)</f>
        <v>SO0884</v>
      </c>
      <c r="C2503" s="29" t="s">
        <v>69</v>
      </c>
      <c r="D2503" s="50" t="str">
        <f>VLOOKUP(C2503,Product!A$2:B$21,1,0)</f>
        <v>PD0015</v>
      </c>
      <c r="E2503" s="36">
        <v>98</v>
      </c>
      <c r="F2503" s="38">
        <v>11986380</v>
      </c>
      <c r="G2503" s="39" t="s">
        <v>4877</v>
      </c>
      <c r="H2503" s="12"/>
      <c r="L2503" s="12"/>
    </row>
    <row r="2504" spans="1:12" ht="15.75" customHeight="1" x14ac:dyDescent="0.3">
      <c r="A2504" s="29" t="s">
        <v>1122</v>
      </c>
      <c r="B2504" s="50" t="str">
        <f>VLOOKUP(A2504,'Sales Order'!A$2:B$1029,1,0)</f>
        <v>SO0884</v>
      </c>
      <c r="C2504" s="29" t="s">
        <v>72</v>
      </c>
      <c r="D2504" s="50" t="str">
        <f>VLOOKUP(C2504,Product!A$2:B$21,1,0)</f>
        <v>PD0016</v>
      </c>
      <c r="E2504" s="36">
        <v>38</v>
      </c>
      <c r="F2504" s="38">
        <v>8015340</v>
      </c>
      <c r="G2504" s="39" t="s">
        <v>4878</v>
      </c>
      <c r="H2504" s="12"/>
      <c r="L2504" s="12"/>
    </row>
    <row r="2505" spans="1:12" ht="15.75" customHeight="1" x14ac:dyDescent="0.3">
      <c r="A2505" s="29" t="s">
        <v>1122</v>
      </c>
      <c r="B2505" s="50" t="str">
        <f>VLOOKUP(A2505,'Sales Order'!A$2:B$1029,1,0)</f>
        <v>SO0884</v>
      </c>
      <c r="C2505" s="29" t="s">
        <v>45</v>
      </c>
      <c r="D2505" s="50" t="str">
        <f>VLOOKUP(C2505,Product!A$2:B$21,1,0)</f>
        <v>PD0008</v>
      </c>
      <c r="E2505" s="36">
        <v>139</v>
      </c>
      <c r="F2505" s="38">
        <v>18847010</v>
      </c>
      <c r="G2505" s="39" t="s">
        <v>4879</v>
      </c>
      <c r="H2505" s="12"/>
      <c r="L2505" s="12"/>
    </row>
    <row r="2506" spans="1:12" ht="15.75" customHeight="1" x14ac:dyDescent="0.3">
      <c r="A2506" s="29" t="s">
        <v>1122</v>
      </c>
      <c r="B2506" s="50" t="str">
        <f>VLOOKUP(A2506,'Sales Order'!A$2:B$1029,1,0)</f>
        <v>SO0884</v>
      </c>
      <c r="C2506" s="29" t="s">
        <v>33</v>
      </c>
      <c r="D2506" s="50" t="str">
        <f>VLOOKUP(C2506,Product!A$2:B$21,1,0)</f>
        <v>PD0004</v>
      </c>
      <c r="E2506" s="36">
        <v>36</v>
      </c>
      <c r="F2506" s="38">
        <v>6652800</v>
      </c>
      <c r="G2506" s="39" t="s">
        <v>4880</v>
      </c>
      <c r="H2506" s="12"/>
      <c r="L2506" s="12"/>
    </row>
    <row r="2507" spans="1:12" ht="15.75" customHeight="1" x14ac:dyDescent="0.3">
      <c r="A2507" s="17" t="s">
        <v>1123</v>
      </c>
      <c r="B2507" s="50" t="str">
        <f>VLOOKUP(A2507,'Sales Order'!A$2:B$1029,1,0)</f>
        <v>SO0885</v>
      </c>
      <c r="C2507" s="29" t="s">
        <v>52</v>
      </c>
      <c r="D2507" s="50" t="str">
        <f>VLOOKUP(C2507,Product!A$2:B$21,1,0)</f>
        <v>PD0010</v>
      </c>
      <c r="E2507" s="36">
        <v>137</v>
      </c>
      <c r="F2507" s="38">
        <v>41408250</v>
      </c>
      <c r="G2507" s="39" t="s">
        <v>4881</v>
      </c>
      <c r="H2507" s="12"/>
      <c r="L2507" s="12"/>
    </row>
    <row r="2508" spans="1:12" ht="15.75" customHeight="1" x14ac:dyDescent="0.3">
      <c r="A2508" s="17" t="s">
        <v>1124</v>
      </c>
      <c r="B2508" s="50" t="str">
        <f>VLOOKUP(A2508,'Sales Order'!A$2:B$1029,1,0)</f>
        <v>SO0886</v>
      </c>
      <c r="C2508" s="29" t="s">
        <v>28</v>
      </c>
      <c r="D2508" s="50" t="str">
        <f>VLOOKUP(C2508,Product!A$2:B$21,1,0)</f>
        <v>PD0003</v>
      </c>
      <c r="E2508" s="36">
        <v>66</v>
      </c>
      <c r="F2508" s="38">
        <v>49156800</v>
      </c>
      <c r="G2508" s="39" t="s">
        <v>4882</v>
      </c>
      <c r="H2508" s="12"/>
      <c r="L2508" s="12"/>
    </row>
    <row r="2509" spans="1:12" ht="15.75" customHeight="1" x14ac:dyDescent="0.3">
      <c r="A2509" s="29" t="s">
        <v>1124</v>
      </c>
      <c r="B2509" s="50" t="str">
        <f>VLOOKUP(A2509,'Sales Order'!A$2:B$1029,1,0)</f>
        <v>SO0886</v>
      </c>
      <c r="C2509" s="29" t="s">
        <v>72</v>
      </c>
      <c r="D2509" s="50" t="str">
        <f>VLOOKUP(C2509,Product!A$2:B$21,1,0)</f>
        <v>PD0016</v>
      </c>
      <c r="E2509" s="36">
        <v>143</v>
      </c>
      <c r="F2509" s="38">
        <v>32072040</v>
      </c>
      <c r="G2509" s="39" t="s">
        <v>4883</v>
      </c>
      <c r="H2509" s="12"/>
      <c r="L2509" s="12"/>
    </row>
    <row r="2510" spans="1:12" ht="15.75" customHeight="1" x14ac:dyDescent="0.3">
      <c r="A2510" s="29" t="s">
        <v>1124</v>
      </c>
      <c r="B2510" s="50" t="str">
        <f>VLOOKUP(A2510,'Sales Order'!A$2:B$1029,1,0)</f>
        <v>SO0886</v>
      </c>
      <c r="C2510" s="29" t="s">
        <v>78</v>
      </c>
      <c r="D2510" s="50" t="str">
        <f>VLOOKUP(C2510,Product!A$2:B$21,1,0)</f>
        <v>PD0018</v>
      </c>
      <c r="E2510" s="36">
        <v>112</v>
      </c>
      <c r="F2510" s="38">
        <v>54817280</v>
      </c>
      <c r="G2510" s="39" t="s">
        <v>4884</v>
      </c>
      <c r="H2510" s="12"/>
      <c r="L2510" s="12"/>
    </row>
    <row r="2511" spans="1:12" ht="15.75" customHeight="1" x14ac:dyDescent="0.3">
      <c r="A2511" s="17" t="s">
        <v>1125</v>
      </c>
      <c r="B2511" s="50" t="str">
        <f>VLOOKUP(A2511,'Sales Order'!A$2:B$1029,1,0)</f>
        <v>SO0887</v>
      </c>
      <c r="C2511" s="29" t="s">
        <v>65</v>
      </c>
      <c r="D2511" s="50" t="str">
        <f>VLOOKUP(C2511,Product!A$2:B$21,1,0)</f>
        <v>PD0014</v>
      </c>
      <c r="E2511" s="36">
        <v>107</v>
      </c>
      <c r="F2511" s="38">
        <v>23140890</v>
      </c>
      <c r="G2511" s="39" t="s">
        <v>4885</v>
      </c>
      <c r="H2511" s="12"/>
      <c r="L2511" s="12"/>
    </row>
    <row r="2512" spans="1:12" ht="15.75" customHeight="1" x14ac:dyDescent="0.3">
      <c r="A2512" s="29" t="s">
        <v>1125</v>
      </c>
      <c r="B2512" s="50" t="str">
        <f>VLOOKUP(A2512,'Sales Order'!A$2:B$1029,1,0)</f>
        <v>SO0887</v>
      </c>
      <c r="C2512" s="29" t="s">
        <v>78</v>
      </c>
      <c r="D2512" s="50" t="str">
        <f>VLOOKUP(C2512,Product!A$2:B$21,1,0)</f>
        <v>PD0018</v>
      </c>
      <c r="E2512" s="36">
        <v>35</v>
      </c>
      <c r="F2512" s="38">
        <v>16571800</v>
      </c>
      <c r="G2512" s="39" t="s">
        <v>4886</v>
      </c>
      <c r="H2512" s="12"/>
      <c r="L2512" s="12"/>
    </row>
    <row r="2513" spans="1:12" ht="15.75" customHeight="1" x14ac:dyDescent="0.3">
      <c r="A2513" s="17" t="s">
        <v>1126</v>
      </c>
      <c r="B2513" s="50" t="str">
        <f>VLOOKUP(A2513,'Sales Order'!A$2:B$1029,1,0)</f>
        <v>SO0888</v>
      </c>
      <c r="C2513" s="29" t="s">
        <v>40</v>
      </c>
      <c r="D2513" s="50" t="str">
        <f>VLOOKUP(C2513,Product!A$2:B$21,1,0)</f>
        <v>PD0006</v>
      </c>
      <c r="E2513" s="36">
        <v>46</v>
      </c>
      <c r="F2513" s="38">
        <v>7979620</v>
      </c>
      <c r="G2513" s="39" t="s">
        <v>4887</v>
      </c>
      <c r="H2513" s="12"/>
      <c r="L2513" s="12"/>
    </row>
    <row r="2514" spans="1:12" ht="15.75" customHeight="1" x14ac:dyDescent="0.3">
      <c r="A2514" s="29" t="s">
        <v>1126</v>
      </c>
      <c r="B2514" s="50" t="str">
        <f>VLOOKUP(A2514,'Sales Order'!A$2:B$1029,1,0)</f>
        <v>SO0888</v>
      </c>
      <c r="C2514" s="29" t="s">
        <v>72</v>
      </c>
      <c r="D2514" s="50" t="str">
        <f>VLOOKUP(C2514,Product!A$2:B$21,1,0)</f>
        <v>PD0016</v>
      </c>
      <c r="E2514" s="36">
        <v>57</v>
      </c>
      <c r="F2514" s="38">
        <v>11718630</v>
      </c>
      <c r="G2514" s="39" t="s">
        <v>4888</v>
      </c>
      <c r="H2514" s="12"/>
      <c r="L2514" s="12"/>
    </row>
    <row r="2515" spans="1:12" ht="15.75" customHeight="1" x14ac:dyDescent="0.3">
      <c r="A2515" s="17" t="s">
        <v>1127</v>
      </c>
      <c r="B2515" s="50" t="str">
        <f>VLOOKUP(A2515,'Sales Order'!A$2:B$1029,1,0)</f>
        <v>SO0889</v>
      </c>
      <c r="C2515" s="29" t="s">
        <v>75</v>
      </c>
      <c r="D2515" s="50" t="str">
        <f>VLOOKUP(C2515,Product!A$2:B$21,1,0)</f>
        <v>PD0017</v>
      </c>
      <c r="E2515" s="36">
        <v>130</v>
      </c>
      <c r="F2515" s="38">
        <v>279045000</v>
      </c>
      <c r="G2515" s="39" t="s">
        <v>4889</v>
      </c>
      <c r="H2515" s="12"/>
      <c r="L2515" s="12"/>
    </row>
    <row r="2516" spans="1:12" ht="15.75" customHeight="1" x14ac:dyDescent="0.3">
      <c r="A2516" s="29" t="s">
        <v>1127</v>
      </c>
      <c r="B2516" s="50" t="str">
        <f>VLOOKUP(A2516,'Sales Order'!A$2:B$1029,1,0)</f>
        <v>SO0889</v>
      </c>
      <c r="C2516" s="29" t="s">
        <v>48</v>
      </c>
      <c r="D2516" s="50" t="str">
        <f>VLOOKUP(C2516,Product!A$2:B$21,1,0)</f>
        <v>PD0009</v>
      </c>
      <c r="E2516" s="36">
        <v>61</v>
      </c>
      <c r="F2516" s="38">
        <v>6531270</v>
      </c>
      <c r="G2516" s="39" t="s">
        <v>4890</v>
      </c>
      <c r="H2516" s="12"/>
      <c r="L2516" s="12"/>
    </row>
    <row r="2517" spans="1:12" ht="15.75" customHeight="1" x14ac:dyDescent="0.3">
      <c r="A2517" s="29" t="s">
        <v>1127</v>
      </c>
      <c r="B2517" s="50" t="str">
        <f>VLOOKUP(A2517,'Sales Order'!A$2:B$1029,1,0)</f>
        <v>SO0889</v>
      </c>
      <c r="C2517" s="29" t="s">
        <v>58</v>
      </c>
      <c r="D2517" s="50" t="str">
        <f>VLOOKUP(C2517,Product!A$2:B$21,1,0)</f>
        <v>PD0012</v>
      </c>
      <c r="E2517" s="36">
        <v>77</v>
      </c>
      <c r="F2517" s="38">
        <v>351704430</v>
      </c>
      <c r="G2517" s="39" t="s">
        <v>4891</v>
      </c>
      <c r="H2517" s="12"/>
      <c r="L2517" s="12"/>
    </row>
    <row r="2518" spans="1:12" ht="15.75" customHeight="1" x14ac:dyDescent="0.3">
      <c r="A2518" s="17" t="s">
        <v>1128</v>
      </c>
      <c r="B2518" s="50" t="str">
        <f>VLOOKUP(A2518,'Sales Order'!A$2:B$1029,1,0)</f>
        <v>SO0890</v>
      </c>
      <c r="C2518" s="29" t="s">
        <v>25</v>
      </c>
      <c r="D2518" s="50" t="str">
        <f>VLOOKUP(C2518,Product!A$2:B$21,1,0)</f>
        <v>PD0002</v>
      </c>
      <c r="E2518" s="36">
        <v>84</v>
      </c>
      <c r="F2518" s="38">
        <v>1444800</v>
      </c>
      <c r="G2518" s="39" t="s">
        <v>4892</v>
      </c>
      <c r="H2518" s="12"/>
      <c r="L2518" s="12"/>
    </row>
    <row r="2519" spans="1:12" ht="15.75" customHeight="1" x14ac:dyDescent="0.3">
      <c r="A2519" s="29" t="s">
        <v>1128</v>
      </c>
      <c r="B2519" s="50" t="str">
        <f>VLOOKUP(A2519,'Sales Order'!A$2:B$1029,1,0)</f>
        <v>SO0890</v>
      </c>
      <c r="C2519" s="29" t="s">
        <v>19</v>
      </c>
      <c r="D2519" s="50" t="str">
        <f>VLOOKUP(C2519,Product!A$2:B$21,1,0)</f>
        <v>PD0001</v>
      </c>
      <c r="E2519" s="36">
        <v>46</v>
      </c>
      <c r="F2519" s="38">
        <v>10308600</v>
      </c>
      <c r="G2519" s="39" t="s">
        <v>4893</v>
      </c>
      <c r="H2519" s="12"/>
      <c r="L2519" s="12"/>
    </row>
    <row r="2520" spans="1:12" ht="15.75" customHeight="1" x14ac:dyDescent="0.3">
      <c r="A2520" s="29" t="s">
        <v>1128</v>
      </c>
      <c r="B2520" s="50" t="str">
        <f>VLOOKUP(A2520,'Sales Order'!A$2:B$1029,1,0)</f>
        <v>SO0890</v>
      </c>
      <c r="C2520" s="29" t="s">
        <v>48</v>
      </c>
      <c r="D2520" s="50" t="str">
        <f>VLOOKUP(C2520,Product!A$2:B$21,1,0)</f>
        <v>PD0009</v>
      </c>
      <c r="E2520" s="36">
        <v>76</v>
      </c>
      <c r="F2520" s="38">
        <v>8921640</v>
      </c>
      <c r="G2520" s="39" t="s">
        <v>4894</v>
      </c>
      <c r="H2520" s="12"/>
      <c r="L2520" s="12"/>
    </row>
    <row r="2521" spans="1:12" ht="15.75" customHeight="1" x14ac:dyDescent="0.3">
      <c r="A2521" s="29" t="s">
        <v>1128</v>
      </c>
      <c r="B2521" s="50" t="str">
        <f>VLOOKUP(A2521,'Sales Order'!A$2:B$1029,1,0)</f>
        <v>SO0890</v>
      </c>
      <c r="C2521" s="29" t="s">
        <v>58</v>
      </c>
      <c r="D2521" s="50" t="str">
        <f>VLOOKUP(C2521,Product!A$2:B$21,1,0)</f>
        <v>PD0012</v>
      </c>
      <c r="E2521" s="36">
        <v>137</v>
      </c>
      <c r="F2521" s="38">
        <v>664386980</v>
      </c>
      <c r="G2521" s="39" t="s">
        <v>4895</v>
      </c>
      <c r="H2521" s="12"/>
      <c r="L2521" s="12"/>
    </row>
    <row r="2522" spans="1:12" ht="15.75" customHeight="1" x14ac:dyDescent="0.3">
      <c r="A2522" s="29" t="s">
        <v>1128</v>
      </c>
      <c r="B2522" s="50" t="str">
        <f>VLOOKUP(A2522,'Sales Order'!A$2:B$1029,1,0)</f>
        <v>SO0890</v>
      </c>
      <c r="C2522" s="29" t="s">
        <v>28</v>
      </c>
      <c r="D2522" s="50" t="str">
        <f>VLOOKUP(C2522,Product!A$2:B$21,1,0)</f>
        <v>PD0003</v>
      </c>
      <c r="E2522" s="36">
        <v>119</v>
      </c>
      <c r="F2522" s="38">
        <v>98602210</v>
      </c>
      <c r="G2522" s="39" t="s">
        <v>4896</v>
      </c>
      <c r="H2522" s="12"/>
      <c r="L2522" s="12"/>
    </row>
    <row r="2523" spans="1:12" ht="15.75" customHeight="1" x14ac:dyDescent="0.3">
      <c r="A2523" s="17" t="s">
        <v>1129</v>
      </c>
      <c r="B2523" s="50" t="str">
        <f>VLOOKUP(A2523,'Sales Order'!A$2:B$1029,1,0)</f>
        <v>SO0891</v>
      </c>
      <c r="C2523" s="29" t="s">
        <v>78</v>
      </c>
      <c r="D2523" s="50" t="str">
        <f>VLOOKUP(C2523,Product!A$2:B$21,1,0)</f>
        <v>PD0018</v>
      </c>
      <c r="E2523" s="36">
        <v>113</v>
      </c>
      <c r="F2523" s="38">
        <v>46289320</v>
      </c>
      <c r="G2523" s="39" t="s">
        <v>4897</v>
      </c>
      <c r="H2523" s="12"/>
      <c r="L2523" s="12"/>
    </row>
    <row r="2524" spans="1:12" ht="15.75" customHeight="1" x14ac:dyDescent="0.3">
      <c r="A2524" s="29" t="s">
        <v>1129</v>
      </c>
      <c r="B2524" s="50" t="str">
        <f>VLOOKUP(A2524,'Sales Order'!A$2:B$1029,1,0)</f>
        <v>SO0891</v>
      </c>
      <c r="C2524" s="29" t="s">
        <v>81</v>
      </c>
      <c r="D2524" s="50" t="str">
        <f>VLOOKUP(C2524,Product!A$2:B$21,1,0)</f>
        <v>PD0019</v>
      </c>
      <c r="E2524" s="36">
        <v>45</v>
      </c>
      <c r="F2524" s="38">
        <v>86028750</v>
      </c>
      <c r="G2524" s="39" t="s">
        <v>4898</v>
      </c>
      <c r="H2524" s="12"/>
      <c r="L2524" s="12"/>
    </row>
    <row r="2525" spans="1:12" ht="15.75" customHeight="1" x14ac:dyDescent="0.3">
      <c r="A2525" s="29" t="s">
        <v>1129</v>
      </c>
      <c r="B2525" s="50" t="str">
        <f>VLOOKUP(A2525,'Sales Order'!A$2:B$1029,1,0)</f>
        <v>SO0891</v>
      </c>
      <c r="C2525" s="29" t="s">
        <v>25</v>
      </c>
      <c r="D2525" s="50" t="str">
        <f>VLOOKUP(C2525,Product!A$2:B$21,1,0)</f>
        <v>PD0002</v>
      </c>
      <c r="E2525" s="36">
        <v>109</v>
      </c>
      <c r="F2525" s="38">
        <v>1809400</v>
      </c>
      <c r="G2525" s="39" t="s">
        <v>4899</v>
      </c>
      <c r="H2525" s="12"/>
      <c r="L2525" s="12"/>
    </row>
    <row r="2526" spans="1:12" ht="15.75" customHeight="1" x14ac:dyDescent="0.3">
      <c r="A2526" s="29" t="s">
        <v>1130</v>
      </c>
      <c r="B2526" s="50" t="str">
        <f>VLOOKUP(A2526,'Sales Order'!A$2:B$1029,1,0)</f>
        <v>SO0892</v>
      </c>
      <c r="C2526" s="29" t="s">
        <v>65</v>
      </c>
      <c r="D2526" s="50" t="str">
        <f>VLOOKUP(C2526,Product!A$2:B$21,1,0)</f>
        <v>PD0014</v>
      </c>
      <c r="E2526" s="36">
        <v>86</v>
      </c>
      <c r="F2526" s="38">
        <v>18139980</v>
      </c>
      <c r="G2526" s="39" t="s">
        <v>4900</v>
      </c>
      <c r="H2526" s="12"/>
      <c r="L2526" s="12"/>
    </row>
    <row r="2527" spans="1:12" ht="15.75" customHeight="1" x14ac:dyDescent="0.3">
      <c r="A2527" s="29" t="s">
        <v>1130</v>
      </c>
      <c r="B2527" s="50" t="str">
        <f>VLOOKUP(A2527,'Sales Order'!A$2:B$1029,1,0)</f>
        <v>SO0892</v>
      </c>
      <c r="C2527" s="29" t="s">
        <v>83</v>
      </c>
      <c r="D2527" s="50" t="str">
        <f>VLOOKUP(C2527,Product!A$2:B$21,1,0)</f>
        <v>PD0020</v>
      </c>
      <c r="E2527" s="36">
        <v>27</v>
      </c>
      <c r="F2527" s="38">
        <v>7713630</v>
      </c>
      <c r="G2527" s="39" t="s">
        <v>4901</v>
      </c>
      <c r="H2527" s="12"/>
      <c r="L2527" s="12"/>
    </row>
    <row r="2528" spans="1:12" ht="15.75" customHeight="1" x14ac:dyDescent="0.3">
      <c r="A2528" s="29" t="s">
        <v>1130</v>
      </c>
      <c r="B2528" s="50" t="str">
        <f>VLOOKUP(A2528,'Sales Order'!A$2:B$1029,1,0)</f>
        <v>SO0892</v>
      </c>
      <c r="C2528" s="29" t="s">
        <v>52</v>
      </c>
      <c r="D2528" s="50" t="str">
        <f>VLOOKUP(C2528,Product!A$2:B$21,1,0)</f>
        <v>PD0010</v>
      </c>
      <c r="E2528" s="36">
        <v>57</v>
      </c>
      <c r="F2528" s="38">
        <v>15931500</v>
      </c>
      <c r="G2528" s="39" t="s">
        <v>4902</v>
      </c>
      <c r="H2528" s="12"/>
      <c r="L2528" s="12"/>
    </row>
    <row r="2529" spans="1:12" ht="15.75" customHeight="1" x14ac:dyDescent="0.3">
      <c r="A2529" s="29" t="s">
        <v>1130</v>
      </c>
      <c r="B2529" s="50" t="str">
        <f>VLOOKUP(A2529,'Sales Order'!A$2:B$1029,1,0)</f>
        <v>SO0892</v>
      </c>
      <c r="C2529" s="29" t="s">
        <v>43</v>
      </c>
      <c r="D2529" s="50" t="str">
        <f>VLOOKUP(C2529,Product!A$2:B$21,1,0)</f>
        <v>PD0007</v>
      </c>
      <c r="E2529" s="36">
        <v>45</v>
      </c>
      <c r="F2529" s="38">
        <v>115200000</v>
      </c>
      <c r="G2529" s="39" t="s">
        <v>4903</v>
      </c>
      <c r="H2529" s="12"/>
      <c r="L2529" s="12"/>
    </row>
    <row r="2530" spans="1:12" ht="15.75" customHeight="1" x14ac:dyDescent="0.3">
      <c r="A2530" s="17" t="s">
        <v>1131</v>
      </c>
      <c r="B2530" s="50" t="str">
        <f>VLOOKUP(A2530,'Sales Order'!A$2:B$1029,1,0)</f>
        <v>SO0893</v>
      </c>
      <c r="C2530" s="29" t="s">
        <v>55</v>
      </c>
      <c r="D2530" s="50" t="str">
        <f>VLOOKUP(C2530,Product!A$2:B$21,1,0)</f>
        <v>PD0011</v>
      </c>
      <c r="E2530" s="36">
        <v>137</v>
      </c>
      <c r="F2530" s="38">
        <v>300560190</v>
      </c>
      <c r="G2530" s="39" t="s">
        <v>4904</v>
      </c>
      <c r="H2530" s="12"/>
      <c r="L2530" s="12"/>
    </row>
    <row r="2531" spans="1:12" ht="15.75" customHeight="1" x14ac:dyDescent="0.3">
      <c r="A2531" s="29" t="s">
        <v>1131</v>
      </c>
      <c r="B2531" s="50" t="str">
        <f>VLOOKUP(A2531,'Sales Order'!A$2:B$1029,1,0)</f>
        <v>SO0893</v>
      </c>
      <c r="C2531" s="29" t="s">
        <v>72</v>
      </c>
      <c r="D2531" s="50" t="str">
        <f>VLOOKUP(C2531,Product!A$2:B$21,1,0)</f>
        <v>PD0016</v>
      </c>
      <c r="E2531" s="36">
        <v>60</v>
      </c>
      <c r="F2531" s="38">
        <v>14418000</v>
      </c>
      <c r="G2531" s="39" t="s">
        <v>4905</v>
      </c>
      <c r="H2531" s="12"/>
      <c r="L2531" s="12"/>
    </row>
    <row r="2532" spans="1:12" ht="15.75" customHeight="1" x14ac:dyDescent="0.3">
      <c r="A2532" s="17" t="s">
        <v>1132</v>
      </c>
      <c r="B2532" s="50" t="str">
        <f>VLOOKUP(A2532,'Sales Order'!A$2:B$1029,1,0)</f>
        <v>SO0894</v>
      </c>
      <c r="C2532" s="29" t="s">
        <v>52</v>
      </c>
      <c r="D2532" s="50" t="str">
        <f>VLOOKUP(C2532,Product!A$2:B$21,1,0)</f>
        <v>PD0010</v>
      </c>
      <c r="E2532" s="36">
        <v>108</v>
      </c>
      <c r="F2532" s="38">
        <v>31941000</v>
      </c>
      <c r="G2532" s="39" t="s">
        <v>4906</v>
      </c>
      <c r="H2532" s="12"/>
      <c r="L2532" s="12"/>
    </row>
    <row r="2533" spans="1:12" ht="15.75" customHeight="1" x14ac:dyDescent="0.3">
      <c r="A2533" s="29" t="s">
        <v>1132</v>
      </c>
      <c r="B2533" s="50" t="str">
        <f>VLOOKUP(A2533,'Sales Order'!A$2:B$1029,1,0)</f>
        <v>SO0894</v>
      </c>
      <c r="C2533" s="29" t="s">
        <v>43</v>
      </c>
      <c r="D2533" s="50" t="str">
        <f>VLOOKUP(C2533,Product!A$2:B$21,1,0)</f>
        <v>PD0007</v>
      </c>
      <c r="E2533" s="36">
        <v>43</v>
      </c>
      <c r="F2533" s="38">
        <v>108704000</v>
      </c>
      <c r="G2533" s="39" t="s">
        <v>4907</v>
      </c>
      <c r="H2533" s="12"/>
      <c r="L2533" s="12"/>
    </row>
    <row r="2534" spans="1:12" ht="15.75" customHeight="1" x14ac:dyDescent="0.3">
      <c r="A2534" s="17" t="s">
        <v>1133</v>
      </c>
      <c r="B2534" s="50" t="str">
        <f>VLOOKUP(A2534,'Sales Order'!A$2:B$1029,1,0)</f>
        <v>SO0895</v>
      </c>
      <c r="C2534" s="29" t="s">
        <v>52</v>
      </c>
      <c r="D2534" s="50" t="str">
        <f>VLOOKUP(C2534,Product!A$2:B$21,1,0)</f>
        <v>PD0010</v>
      </c>
      <c r="E2534" s="36">
        <v>55</v>
      </c>
      <c r="F2534" s="38">
        <v>14478750.000000002</v>
      </c>
      <c r="G2534" s="39" t="s">
        <v>4908</v>
      </c>
      <c r="H2534" s="12"/>
      <c r="L2534" s="12"/>
    </row>
    <row r="2535" spans="1:12" ht="15.75" customHeight="1" x14ac:dyDescent="0.3">
      <c r="A2535" s="29" t="s">
        <v>1133</v>
      </c>
      <c r="B2535" s="50" t="str">
        <f>VLOOKUP(A2535,'Sales Order'!A$2:B$1029,1,0)</f>
        <v>SO0895</v>
      </c>
      <c r="C2535" s="29" t="s">
        <v>78</v>
      </c>
      <c r="D2535" s="50" t="str">
        <f>VLOOKUP(C2535,Product!A$2:B$21,1,0)</f>
        <v>PD0018</v>
      </c>
      <c r="E2535" s="36">
        <v>58</v>
      </c>
      <c r="F2535" s="38">
        <v>26227600</v>
      </c>
      <c r="G2535" s="39" t="s">
        <v>4909</v>
      </c>
      <c r="H2535" s="12"/>
      <c r="L2535" s="12"/>
    </row>
    <row r="2536" spans="1:12" ht="15.75" customHeight="1" x14ac:dyDescent="0.3">
      <c r="A2536" s="29" t="s">
        <v>1133</v>
      </c>
      <c r="B2536" s="50" t="str">
        <f>VLOOKUP(A2536,'Sales Order'!A$2:B$1029,1,0)</f>
        <v>SO0895</v>
      </c>
      <c r="C2536" s="29" t="s">
        <v>65</v>
      </c>
      <c r="D2536" s="50" t="str">
        <f>VLOOKUP(C2536,Product!A$2:B$21,1,0)</f>
        <v>PD0014</v>
      </c>
      <c r="E2536" s="36">
        <v>75</v>
      </c>
      <c r="F2536" s="38">
        <v>15619500</v>
      </c>
      <c r="G2536" s="39" t="s">
        <v>4910</v>
      </c>
      <c r="H2536" s="12"/>
      <c r="L2536" s="12"/>
    </row>
    <row r="2537" spans="1:12" ht="15.75" customHeight="1" x14ac:dyDescent="0.3">
      <c r="A2537" s="29" t="s">
        <v>1133</v>
      </c>
      <c r="B2537" s="50" t="str">
        <f>VLOOKUP(A2537,'Sales Order'!A$2:B$1029,1,0)</f>
        <v>SO0895</v>
      </c>
      <c r="C2537" s="29" t="s">
        <v>55</v>
      </c>
      <c r="D2537" s="50" t="str">
        <f>VLOOKUP(C2537,Product!A$2:B$21,1,0)</f>
        <v>PD0011</v>
      </c>
      <c r="E2537" s="36">
        <v>29</v>
      </c>
      <c r="F2537" s="38">
        <v>54728800</v>
      </c>
      <c r="G2537" s="39" t="s">
        <v>4911</v>
      </c>
      <c r="H2537" s="12"/>
      <c r="L2537" s="12"/>
    </row>
    <row r="2538" spans="1:12" ht="15.75" customHeight="1" x14ac:dyDescent="0.3">
      <c r="A2538" s="29" t="s">
        <v>1133</v>
      </c>
      <c r="B2538" s="50" t="str">
        <f>VLOOKUP(A2538,'Sales Order'!A$2:B$1029,1,0)</f>
        <v>SO0895</v>
      </c>
      <c r="C2538" s="29" t="s">
        <v>81</v>
      </c>
      <c r="D2538" s="50" t="str">
        <f>VLOOKUP(C2538,Product!A$2:B$21,1,0)</f>
        <v>PD0019</v>
      </c>
      <c r="E2538" s="36">
        <v>63</v>
      </c>
      <c r="F2538" s="38">
        <v>150951780</v>
      </c>
      <c r="G2538" s="39" t="s">
        <v>4912</v>
      </c>
      <c r="H2538" s="12"/>
      <c r="L2538" s="12"/>
    </row>
    <row r="2539" spans="1:12" ht="15.75" customHeight="1" x14ac:dyDescent="0.3">
      <c r="A2539" s="29" t="s">
        <v>1133</v>
      </c>
      <c r="B2539" s="50" t="str">
        <f>VLOOKUP(A2539,'Sales Order'!A$2:B$1029,1,0)</f>
        <v>SO0895</v>
      </c>
      <c r="C2539" s="29" t="s">
        <v>69</v>
      </c>
      <c r="D2539" s="50" t="str">
        <f>VLOOKUP(C2539,Product!A$2:B$21,1,0)</f>
        <v>PD0015</v>
      </c>
      <c r="E2539" s="36">
        <v>72</v>
      </c>
      <c r="F2539" s="38">
        <v>7827840</v>
      </c>
      <c r="G2539" s="39" t="s">
        <v>4913</v>
      </c>
      <c r="H2539" s="12"/>
      <c r="L2539" s="12"/>
    </row>
    <row r="2540" spans="1:12" ht="15.75" customHeight="1" x14ac:dyDescent="0.3">
      <c r="A2540" s="17" t="s">
        <v>1134</v>
      </c>
      <c r="B2540" s="50" t="str">
        <f>VLOOKUP(A2540,'Sales Order'!A$2:B$1029,1,0)</f>
        <v>SO0896</v>
      </c>
      <c r="C2540" s="29" t="s">
        <v>55</v>
      </c>
      <c r="D2540" s="50" t="str">
        <f>VLOOKUP(C2540,Product!A$2:B$21,1,0)</f>
        <v>PD0011</v>
      </c>
      <c r="E2540" s="36">
        <v>98</v>
      </c>
      <c r="F2540" s="38">
        <v>208063800</v>
      </c>
      <c r="G2540" s="39" t="s">
        <v>4914</v>
      </c>
      <c r="H2540" s="12"/>
      <c r="L2540" s="12"/>
    </row>
    <row r="2541" spans="1:12" ht="15.75" customHeight="1" x14ac:dyDescent="0.3">
      <c r="A2541" s="29" t="s">
        <v>1134</v>
      </c>
      <c r="B2541" s="50" t="str">
        <f>VLOOKUP(A2541,'Sales Order'!A$2:B$1029,1,0)</f>
        <v>SO0896</v>
      </c>
      <c r="C2541" s="29" t="s">
        <v>25</v>
      </c>
      <c r="D2541" s="50" t="str">
        <f>VLOOKUP(C2541,Product!A$2:B$21,1,0)</f>
        <v>PD0002</v>
      </c>
      <c r="E2541" s="36">
        <v>65</v>
      </c>
      <c r="F2541" s="38">
        <v>1118000</v>
      </c>
      <c r="G2541" s="39" t="s">
        <v>4915</v>
      </c>
      <c r="H2541" s="12"/>
      <c r="L2541" s="12"/>
    </row>
    <row r="2542" spans="1:12" ht="15.75" customHeight="1" x14ac:dyDescent="0.3">
      <c r="A2542" s="29" t="s">
        <v>1134</v>
      </c>
      <c r="B2542" s="50" t="str">
        <f>VLOOKUP(A2542,'Sales Order'!A$2:B$1029,1,0)</f>
        <v>SO0896</v>
      </c>
      <c r="C2542" s="29" t="s">
        <v>48</v>
      </c>
      <c r="D2542" s="50" t="str">
        <f>VLOOKUP(C2542,Product!A$2:B$21,1,0)</f>
        <v>PD0009</v>
      </c>
      <c r="E2542" s="36">
        <v>123</v>
      </c>
      <c r="F2542" s="38">
        <v>13804290</v>
      </c>
      <c r="G2542" s="39" t="s">
        <v>4916</v>
      </c>
      <c r="H2542" s="12"/>
      <c r="L2542" s="12"/>
    </row>
    <row r="2543" spans="1:12" ht="15.75" customHeight="1" x14ac:dyDescent="0.3">
      <c r="A2543" s="29" t="s">
        <v>1134</v>
      </c>
      <c r="B2543" s="50" t="str">
        <f>VLOOKUP(A2543,'Sales Order'!A$2:B$1029,1,0)</f>
        <v>SO0896</v>
      </c>
      <c r="C2543" s="29" t="s">
        <v>40</v>
      </c>
      <c r="D2543" s="50" t="str">
        <f>VLOOKUP(C2543,Product!A$2:B$21,1,0)</f>
        <v>PD0006</v>
      </c>
      <c r="E2543" s="36">
        <v>64</v>
      </c>
      <c r="F2543" s="38">
        <v>11235840</v>
      </c>
      <c r="G2543" s="39" t="s">
        <v>4917</v>
      </c>
      <c r="H2543" s="12"/>
      <c r="L2543" s="12"/>
    </row>
    <row r="2544" spans="1:12" ht="15.75" customHeight="1" x14ac:dyDescent="0.3">
      <c r="A2544" s="17" t="s">
        <v>1135</v>
      </c>
      <c r="B2544" s="50" t="str">
        <f>VLOOKUP(A2544,'Sales Order'!A$2:B$1029,1,0)</f>
        <v>SO0897</v>
      </c>
      <c r="C2544" s="29" t="s">
        <v>43</v>
      </c>
      <c r="D2544" s="50" t="str">
        <f>VLOOKUP(C2544,Product!A$2:B$21,1,0)</f>
        <v>PD0007</v>
      </c>
      <c r="E2544" s="36">
        <v>149</v>
      </c>
      <c r="F2544" s="38">
        <v>419584000</v>
      </c>
      <c r="G2544" s="39" t="s">
        <v>4918</v>
      </c>
      <c r="H2544" s="12"/>
      <c r="L2544" s="12"/>
    </row>
    <row r="2545" spans="1:12" ht="15.75" customHeight="1" x14ac:dyDescent="0.3">
      <c r="A2545" s="29" t="s">
        <v>1135</v>
      </c>
      <c r="B2545" s="50" t="str">
        <f>VLOOKUP(A2545,'Sales Order'!A$2:B$1029,1,0)</f>
        <v>SO0897</v>
      </c>
      <c r="C2545" s="29" t="s">
        <v>28</v>
      </c>
      <c r="D2545" s="50" t="str">
        <f>VLOOKUP(C2545,Product!A$2:B$21,1,0)</f>
        <v>PD0003</v>
      </c>
      <c r="E2545" s="36">
        <v>131</v>
      </c>
      <c r="F2545" s="38">
        <v>102447240</v>
      </c>
      <c r="G2545" s="39" t="s">
        <v>4919</v>
      </c>
      <c r="H2545" s="12"/>
      <c r="L2545" s="12"/>
    </row>
    <row r="2546" spans="1:12" ht="15.75" customHeight="1" x14ac:dyDescent="0.3">
      <c r="A2546" s="17" t="s">
        <v>1136</v>
      </c>
      <c r="B2546" s="50" t="str">
        <f>VLOOKUP(A2546,'Sales Order'!A$2:B$1029,1,0)</f>
        <v>SO0898</v>
      </c>
      <c r="C2546" s="29" t="s">
        <v>45</v>
      </c>
      <c r="D2546" s="50" t="str">
        <f>VLOOKUP(C2546,Product!A$2:B$21,1,0)</f>
        <v>PD0008</v>
      </c>
      <c r="E2546" s="36">
        <v>80</v>
      </c>
      <c r="F2546" s="38">
        <v>10608800</v>
      </c>
      <c r="G2546" s="39" t="s">
        <v>4920</v>
      </c>
      <c r="H2546" s="12"/>
      <c r="L2546" s="12"/>
    </row>
    <row r="2547" spans="1:12" ht="15.75" customHeight="1" x14ac:dyDescent="0.3">
      <c r="A2547" s="29" t="s">
        <v>1136</v>
      </c>
      <c r="B2547" s="50" t="str">
        <f>VLOOKUP(A2547,'Sales Order'!A$2:B$1029,1,0)</f>
        <v>SO0898</v>
      </c>
      <c r="C2547" s="29" t="s">
        <v>83</v>
      </c>
      <c r="D2547" s="50" t="str">
        <f>VLOOKUP(C2547,Product!A$2:B$21,1,0)</f>
        <v>PD0020</v>
      </c>
      <c r="E2547" s="36">
        <v>87</v>
      </c>
      <c r="F2547" s="38">
        <v>26530650</v>
      </c>
      <c r="G2547" s="39" t="s">
        <v>4921</v>
      </c>
      <c r="H2547" s="12"/>
      <c r="L2547" s="12"/>
    </row>
    <row r="2548" spans="1:12" ht="15.75" customHeight="1" x14ac:dyDescent="0.3">
      <c r="A2548" s="29" t="s">
        <v>1136</v>
      </c>
      <c r="B2548" s="50" t="str">
        <f>VLOOKUP(A2548,'Sales Order'!A$2:B$1029,1,0)</f>
        <v>SO0898</v>
      </c>
      <c r="C2548" s="29" t="s">
        <v>81</v>
      </c>
      <c r="D2548" s="50" t="str">
        <f>VLOOKUP(C2548,Product!A$2:B$21,1,0)</f>
        <v>PD0019</v>
      </c>
      <c r="E2548" s="36">
        <v>130</v>
      </c>
      <c r="F2548" s="38">
        <v>304860400</v>
      </c>
      <c r="G2548" s="39" t="s">
        <v>4922</v>
      </c>
      <c r="H2548" s="12"/>
      <c r="L2548" s="12"/>
    </row>
    <row r="2549" spans="1:12" ht="15.75" customHeight="1" x14ac:dyDescent="0.3">
      <c r="A2549" s="29" t="s">
        <v>1136</v>
      </c>
      <c r="B2549" s="50" t="str">
        <f>VLOOKUP(A2549,'Sales Order'!A$2:B$1029,1,0)</f>
        <v>SO0898</v>
      </c>
      <c r="C2549" s="29" t="s">
        <v>19</v>
      </c>
      <c r="D2549" s="50" t="str">
        <f>VLOOKUP(C2549,Product!A$2:B$21,1,0)</f>
        <v>PD0001</v>
      </c>
      <c r="E2549" s="36">
        <v>147</v>
      </c>
      <c r="F2549" s="38">
        <v>32576670</v>
      </c>
      <c r="G2549" s="39" t="s">
        <v>4923</v>
      </c>
      <c r="H2549" s="12"/>
      <c r="L2549" s="12"/>
    </row>
    <row r="2550" spans="1:12" ht="15.75" customHeight="1" x14ac:dyDescent="0.3">
      <c r="A2550" s="29" t="s">
        <v>1137</v>
      </c>
      <c r="B2550" s="50" t="str">
        <f>VLOOKUP(A2550,'Sales Order'!A$2:B$1029,1,0)</f>
        <v>SO0899</v>
      </c>
      <c r="C2550" s="29" t="s">
        <v>69</v>
      </c>
      <c r="D2550" s="50" t="str">
        <f>VLOOKUP(C2550,Product!A$2:B$21,1,0)</f>
        <v>PD0015</v>
      </c>
      <c r="E2550" s="36">
        <v>135</v>
      </c>
      <c r="F2550" s="38">
        <v>16328385</v>
      </c>
      <c r="G2550" s="39" t="s">
        <v>4924</v>
      </c>
      <c r="H2550" s="12"/>
      <c r="L2550" s="12"/>
    </row>
    <row r="2551" spans="1:12" ht="15.75" customHeight="1" x14ac:dyDescent="0.3">
      <c r="A2551" s="29" t="s">
        <v>1137</v>
      </c>
      <c r="B2551" s="50" t="str">
        <f>VLOOKUP(A2551,'Sales Order'!A$2:B$1029,1,0)</f>
        <v>SO0899</v>
      </c>
      <c r="C2551" s="29" t="s">
        <v>81</v>
      </c>
      <c r="D2551" s="50" t="str">
        <f>VLOOKUP(C2551,Product!A$2:B$21,1,0)</f>
        <v>PD0019</v>
      </c>
      <c r="E2551" s="36">
        <v>71</v>
      </c>
      <c r="F2551" s="38">
        <v>152022360</v>
      </c>
      <c r="G2551" s="39" t="s">
        <v>4925</v>
      </c>
      <c r="H2551" s="12"/>
      <c r="L2551" s="12"/>
    </row>
    <row r="2552" spans="1:12" ht="15.75" customHeight="1" x14ac:dyDescent="0.3">
      <c r="A2552" s="17" t="s">
        <v>1138</v>
      </c>
      <c r="B2552" s="50" t="str">
        <f>VLOOKUP(A2552,'Sales Order'!A$2:B$1029,1,0)</f>
        <v>SO0900</v>
      </c>
      <c r="C2552" s="29" t="s">
        <v>35</v>
      </c>
      <c r="D2552" s="50" t="str">
        <f>VLOOKUP(C2552,Product!A$2:B$21,1,0)</f>
        <v>PD0005</v>
      </c>
      <c r="E2552" s="36">
        <v>32</v>
      </c>
      <c r="F2552" s="38">
        <v>56192000</v>
      </c>
      <c r="G2552" s="39" t="s">
        <v>4926</v>
      </c>
      <c r="H2552" s="12"/>
      <c r="L2552" s="12"/>
    </row>
    <row r="2553" spans="1:12" ht="15.75" customHeight="1" x14ac:dyDescent="0.3">
      <c r="A2553" s="29" t="s">
        <v>1138</v>
      </c>
      <c r="B2553" s="50" t="str">
        <f>VLOOKUP(A2553,'Sales Order'!A$2:B$1029,1,0)</f>
        <v>SO0900</v>
      </c>
      <c r="C2553" s="29" t="s">
        <v>72</v>
      </c>
      <c r="D2553" s="50" t="str">
        <f>VLOOKUP(C2553,Product!A$2:B$21,1,0)</f>
        <v>PD0016</v>
      </c>
      <c r="E2553" s="36">
        <v>125</v>
      </c>
      <c r="F2553" s="38">
        <v>31706250</v>
      </c>
      <c r="G2553" s="39" t="s">
        <v>4927</v>
      </c>
      <c r="H2553" s="12"/>
      <c r="L2553" s="12"/>
    </row>
    <row r="2554" spans="1:12" ht="15.75" customHeight="1" x14ac:dyDescent="0.3">
      <c r="A2554" s="29" t="s">
        <v>1138</v>
      </c>
      <c r="B2554" s="50" t="str">
        <f>VLOOKUP(A2554,'Sales Order'!A$2:B$1029,1,0)</f>
        <v>SO0900</v>
      </c>
      <c r="C2554" s="29" t="s">
        <v>69</v>
      </c>
      <c r="D2554" s="50" t="str">
        <f>VLOOKUP(C2554,Product!A$2:B$21,1,0)</f>
        <v>PD0015</v>
      </c>
      <c r="E2554" s="36">
        <v>72</v>
      </c>
      <c r="F2554" s="38">
        <v>8414928</v>
      </c>
      <c r="G2554" s="39" t="s">
        <v>4928</v>
      </c>
      <c r="H2554" s="12"/>
      <c r="L2554" s="12"/>
    </row>
    <row r="2555" spans="1:12" ht="15.75" customHeight="1" x14ac:dyDescent="0.3">
      <c r="A2555" s="17" t="s">
        <v>1139</v>
      </c>
      <c r="B2555" s="50" t="str">
        <f>VLOOKUP(A2555,'Sales Order'!A$2:B$1029,1,0)</f>
        <v>SO0901</v>
      </c>
      <c r="C2555" s="29" t="s">
        <v>81</v>
      </c>
      <c r="D2555" s="50" t="str">
        <f>VLOOKUP(C2555,Product!A$2:B$21,1,0)</f>
        <v>PD0019</v>
      </c>
      <c r="E2555" s="36">
        <v>40</v>
      </c>
      <c r="F2555" s="38">
        <v>81568000</v>
      </c>
      <c r="G2555" s="39" t="s">
        <v>4929</v>
      </c>
      <c r="H2555" s="12"/>
      <c r="L2555" s="12"/>
    </row>
    <row r="2556" spans="1:12" ht="15.75" customHeight="1" x14ac:dyDescent="0.3">
      <c r="A2556" s="29" t="s">
        <v>1139</v>
      </c>
      <c r="B2556" s="50" t="str">
        <f>VLOOKUP(A2556,'Sales Order'!A$2:B$1029,1,0)</f>
        <v>SO0901</v>
      </c>
      <c r="C2556" s="29" t="s">
        <v>65</v>
      </c>
      <c r="D2556" s="50" t="str">
        <f>VLOOKUP(C2556,Product!A$2:B$21,1,0)</f>
        <v>PD0014</v>
      </c>
      <c r="E2556" s="36">
        <v>38</v>
      </c>
      <c r="F2556" s="38">
        <v>9232860</v>
      </c>
      <c r="G2556" s="39" t="s">
        <v>4930</v>
      </c>
      <c r="H2556" s="12"/>
      <c r="L2556" s="12"/>
    </row>
    <row r="2557" spans="1:12" ht="15.75" customHeight="1" x14ac:dyDescent="0.3">
      <c r="A2557" s="29" t="s">
        <v>1139</v>
      </c>
      <c r="B2557" s="50" t="str">
        <f>VLOOKUP(A2557,'Sales Order'!A$2:B$1029,1,0)</f>
        <v>SO0901</v>
      </c>
      <c r="C2557" s="29" t="s">
        <v>33</v>
      </c>
      <c r="D2557" s="50" t="str">
        <f>VLOOKUP(C2557,Product!A$2:B$21,1,0)</f>
        <v>PD0004</v>
      </c>
      <c r="E2557" s="36">
        <v>82</v>
      </c>
      <c r="F2557" s="38">
        <v>14251600</v>
      </c>
      <c r="G2557" s="39" t="s">
        <v>4931</v>
      </c>
      <c r="H2557" s="12"/>
      <c r="L2557" s="12"/>
    </row>
    <row r="2558" spans="1:12" ht="15.75" customHeight="1" x14ac:dyDescent="0.3">
      <c r="A2558" s="29" t="s">
        <v>1139</v>
      </c>
      <c r="B2558" s="50" t="str">
        <f>VLOOKUP(A2558,'Sales Order'!A$2:B$1029,1,0)</f>
        <v>SO0901</v>
      </c>
      <c r="C2558" s="29" t="s">
        <v>75</v>
      </c>
      <c r="D2558" s="50" t="str">
        <f>VLOOKUP(C2558,Product!A$2:B$21,1,0)</f>
        <v>PD0017</v>
      </c>
      <c r="E2558" s="36">
        <v>126</v>
      </c>
      <c r="F2558" s="38">
        <v>297171000</v>
      </c>
      <c r="G2558" s="39" t="s">
        <v>4932</v>
      </c>
      <c r="H2558" s="12"/>
      <c r="L2558" s="12"/>
    </row>
    <row r="2559" spans="1:12" ht="15.75" customHeight="1" x14ac:dyDescent="0.3">
      <c r="A2559" s="17" t="s">
        <v>1141</v>
      </c>
      <c r="B2559" s="50" t="str">
        <f>VLOOKUP(A2559,'Sales Order'!A$2:B$1029,1,0)</f>
        <v>SO0903</v>
      </c>
      <c r="C2559" s="29" t="s">
        <v>75</v>
      </c>
      <c r="D2559" s="50" t="str">
        <f>VLOOKUP(C2559,Product!A$2:B$21,1,0)</f>
        <v>PD0017</v>
      </c>
      <c r="E2559" s="36">
        <v>97</v>
      </c>
      <c r="F2559" s="38">
        <v>210781000.00000003</v>
      </c>
      <c r="G2559" s="39" t="s">
        <v>4933</v>
      </c>
      <c r="H2559" s="12"/>
      <c r="L2559" s="12"/>
    </row>
    <row r="2560" spans="1:12" ht="15.75" customHeight="1" x14ac:dyDescent="0.3">
      <c r="A2560" s="29" t="s">
        <v>1141</v>
      </c>
      <c r="B2560" s="50" t="str">
        <f>VLOOKUP(A2560,'Sales Order'!A$2:B$1029,1,0)</f>
        <v>SO0903</v>
      </c>
      <c r="C2560" s="29" t="s">
        <v>69</v>
      </c>
      <c r="D2560" s="50" t="str">
        <f>VLOOKUP(C2560,Product!A$2:B$21,1,0)</f>
        <v>PD0015</v>
      </c>
      <c r="E2560" s="36">
        <v>102</v>
      </c>
      <c r="F2560" s="38">
        <v>11228058</v>
      </c>
      <c r="G2560" s="39" t="s">
        <v>4934</v>
      </c>
      <c r="H2560" s="12"/>
      <c r="L2560" s="12"/>
    </row>
    <row r="2561" spans="1:12" ht="15.75" customHeight="1" x14ac:dyDescent="0.3">
      <c r="A2561" s="29" t="s">
        <v>1141</v>
      </c>
      <c r="B2561" s="50" t="str">
        <f>VLOOKUP(A2561,'Sales Order'!A$2:B$1029,1,0)</f>
        <v>SO0903</v>
      </c>
      <c r="C2561" s="29" t="s">
        <v>52</v>
      </c>
      <c r="D2561" s="50" t="str">
        <f>VLOOKUP(C2561,Product!A$2:B$21,1,0)</f>
        <v>PD0010</v>
      </c>
      <c r="E2561" s="36">
        <v>77</v>
      </c>
      <c r="F2561" s="38">
        <v>22522500</v>
      </c>
      <c r="G2561" s="39" t="s">
        <v>4935</v>
      </c>
      <c r="H2561" s="12"/>
      <c r="L2561" s="12"/>
    </row>
    <row r="2562" spans="1:12" ht="15.75" customHeight="1" x14ac:dyDescent="0.3">
      <c r="A2562" s="29" t="s">
        <v>1141</v>
      </c>
      <c r="B2562" s="50" t="str">
        <f>VLOOKUP(A2562,'Sales Order'!A$2:B$1029,1,0)</f>
        <v>SO0903</v>
      </c>
      <c r="C2562" s="29" t="s">
        <v>25</v>
      </c>
      <c r="D2562" s="50" t="str">
        <f>VLOOKUP(C2562,Product!A$2:B$21,1,0)</f>
        <v>PD0002</v>
      </c>
      <c r="E2562" s="36">
        <v>63</v>
      </c>
      <c r="F2562" s="38">
        <v>1083600</v>
      </c>
      <c r="G2562" s="39" t="s">
        <v>4936</v>
      </c>
      <c r="H2562" s="12"/>
      <c r="L2562" s="12"/>
    </row>
    <row r="2563" spans="1:12" ht="15.75" customHeight="1" x14ac:dyDescent="0.3">
      <c r="A2563" s="29" t="s">
        <v>1141</v>
      </c>
      <c r="B2563" s="50" t="str">
        <f>VLOOKUP(A2563,'Sales Order'!A$2:B$1029,1,0)</f>
        <v>SO0903</v>
      </c>
      <c r="C2563" s="29" t="s">
        <v>78</v>
      </c>
      <c r="D2563" s="50" t="str">
        <f>VLOOKUP(C2563,Product!A$2:B$21,1,0)</f>
        <v>PD0018</v>
      </c>
      <c r="E2563" s="36">
        <v>38</v>
      </c>
      <c r="F2563" s="38">
        <v>18396560</v>
      </c>
      <c r="G2563" s="39" t="s">
        <v>4937</v>
      </c>
      <c r="H2563" s="12"/>
      <c r="L2563" s="12"/>
    </row>
    <row r="2564" spans="1:12" ht="15.75" customHeight="1" x14ac:dyDescent="0.3">
      <c r="A2564" s="17" t="s">
        <v>1142</v>
      </c>
      <c r="B2564" s="50" t="str">
        <f>VLOOKUP(A2564,'Sales Order'!A$2:B$1029,1,0)</f>
        <v>SO0904</v>
      </c>
      <c r="C2564" s="29" t="s">
        <v>81</v>
      </c>
      <c r="D2564" s="50" t="str">
        <f>VLOOKUP(C2564,Product!A$2:B$21,1,0)</f>
        <v>PD0019</v>
      </c>
      <c r="E2564" s="36">
        <v>68</v>
      </c>
      <c r="F2564" s="38">
        <v>135198960</v>
      </c>
      <c r="G2564" s="39" t="s">
        <v>4938</v>
      </c>
      <c r="H2564" s="12"/>
      <c r="L2564" s="12"/>
    </row>
    <row r="2565" spans="1:12" ht="15.75" customHeight="1" x14ac:dyDescent="0.3">
      <c r="A2565" s="17" t="s">
        <v>1143</v>
      </c>
      <c r="B2565" s="50" t="str">
        <f>VLOOKUP(A2565,'Sales Order'!A$2:B$1029,1,0)</f>
        <v>SO0905</v>
      </c>
      <c r="C2565" s="29" t="s">
        <v>72</v>
      </c>
      <c r="D2565" s="50" t="str">
        <f>VLOOKUP(C2565,Product!A$2:B$21,1,0)</f>
        <v>PD0016</v>
      </c>
      <c r="E2565" s="36">
        <v>49</v>
      </c>
      <c r="F2565" s="38">
        <v>10466400</v>
      </c>
      <c r="G2565" s="39" t="s">
        <v>4939</v>
      </c>
      <c r="H2565" s="12"/>
      <c r="L2565" s="12"/>
    </row>
    <row r="2566" spans="1:12" ht="15.75" customHeight="1" x14ac:dyDescent="0.3">
      <c r="A2566" s="29" t="s">
        <v>1143</v>
      </c>
      <c r="B2566" s="50" t="str">
        <f>VLOOKUP(A2566,'Sales Order'!A$2:B$1029,1,0)</f>
        <v>SO0905</v>
      </c>
      <c r="C2566" s="29" t="s">
        <v>78</v>
      </c>
      <c r="D2566" s="50" t="str">
        <f>VLOOKUP(C2566,Product!A$2:B$21,1,0)</f>
        <v>PD0018</v>
      </c>
      <c r="E2566" s="36">
        <v>108</v>
      </c>
      <c r="F2566" s="38">
        <v>45964800</v>
      </c>
      <c r="G2566" s="39" t="s">
        <v>4940</v>
      </c>
      <c r="H2566" s="12"/>
      <c r="L2566" s="12"/>
    </row>
    <row r="2567" spans="1:12" ht="15.75" customHeight="1" x14ac:dyDescent="0.3">
      <c r="A2567" s="29" t="s">
        <v>1144</v>
      </c>
      <c r="B2567" s="50" t="str">
        <f>VLOOKUP(A2567,'Sales Order'!A$2:B$1029,1,0)</f>
        <v>SO0906</v>
      </c>
      <c r="C2567" s="29" t="s">
        <v>61</v>
      </c>
      <c r="D2567" s="50" t="str">
        <f>VLOOKUP(C2567,Product!A$2:B$21,1,0)</f>
        <v>PD0013</v>
      </c>
      <c r="E2567" s="36">
        <v>138</v>
      </c>
      <c r="F2567" s="38">
        <v>62135880</v>
      </c>
      <c r="G2567" s="39" t="s">
        <v>4941</v>
      </c>
      <c r="H2567" s="12"/>
      <c r="L2567" s="12"/>
    </row>
    <row r="2568" spans="1:12" ht="15.75" customHeight="1" x14ac:dyDescent="0.3">
      <c r="A2568" s="29" t="s">
        <v>1144</v>
      </c>
      <c r="B2568" s="50" t="str">
        <f>VLOOKUP(A2568,'Sales Order'!A$2:B$1029,1,0)</f>
        <v>SO0906</v>
      </c>
      <c r="C2568" s="29" t="s">
        <v>19</v>
      </c>
      <c r="D2568" s="50" t="str">
        <f>VLOOKUP(C2568,Product!A$2:B$21,1,0)</f>
        <v>PD0001</v>
      </c>
      <c r="E2568" s="36">
        <v>29</v>
      </c>
      <c r="F2568" s="38">
        <v>5632380</v>
      </c>
      <c r="G2568" s="39" t="s">
        <v>4942</v>
      </c>
      <c r="H2568" s="12"/>
      <c r="L2568" s="12"/>
    </row>
    <row r="2569" spans="1:12" ht="15.75" customHeight="1" x14ac:dyDescent="0.3">
      <c r="A2569" s="29" t="s">
        <v>1144</v>
      </c>
      <c r="B2569" s="50" t="str">
        <f>VLOOKUP(A2569,'Sales Order'!A$2:B$1029,1,0)</f>
        <v>SO0906</v>
      </c>
      <c r="C2569" s="29" t="s">
        <v>58</v>
      </c>
      <c r="D2569" s="50" t="str">
        <f>VLOOKUP(C2569,Product!A$2:B$21,1,0)</f>
        <v>PD0012</v>
      </c>
      <c r="E2569" s="36">
        <v>95</v>
      </c>
      <c r="F2569" s="38">
        <v>428564000</v>
      </c>
      <c r="G2569" s="39" t="s">
        <v>4943</v>
      </c>
      <c r="H2569" s="12"/>
      <c r="L2569" s="12"/>
    </row>
    <row r="2570" spans="1:12" ht="15.75" customHeight="1" x14ac:dyDescent="0.3">
      <c r="A2570" s="17" t="s">
        <v>1145</v>
      </c>
      <c r="B2570" s="50" t="str">
        <f>VLOOKUP(A2570,'Sales Order'!A$2:B$1029,1,0)</f>
        <v>SO0907</v>
      </c>
      <c r="C2570" s="29" t="s">
        <v>48</v>
      </c>
      <c r="D2570" s="50" t="str">
        <f>VLOOKUP(C2570,Product!A$2:B$21,1,0)</f>
        <v>PD0009</v>
      </c>
      <c r="E2570" s="36">
        <v>91</v>
      </c>
      <c r="F2570" s="38">
        <v>10799880</v>
      </c>
      <c r="G2570" s="39" t="s">
        <v>4944</v>
      </c>
      <c r="H2570" s="12"/>
      <c r="L2570" s="12"/>
    </row>
    <row r="2571" spans="1:12" ht="15.75" customHeight="1" x14ac:dyDescent="0.3">
      <c r="A2571" s="29" t="s">
        <v>1145</v>
      </c>
      <c r="B2571" s="50" t="str">
        <f>VLOOKUP(A2571,'Sales Order'!A$2:B$1029,1,0)</f>
        <v>SO0907</v>
      </c>
      <c r="C2571" s="29" t="s">
        <v>19</v>
      </c>
      <c r="D2571" s="50" t="str">
        <f>VLOOKUP(C2571,Product!A$2:B$21,1,0)</f>
        <v>PD0001</v>
      </c>
      <c r="E2571" s="36">
        <v>144</v>
      </c>
      <c r="F2571" s="38">
        <v>30119040</v>
      </c>
      <c r="G2571" s="39" t="s">
        <v>4945</v>
      </c>
      <c r="H2571" s="12"/>
      <c r="L2571" s="12"/>
    </row>
    <row r="2572" spans="1:12" ht="15.75" customHeight="1" x14ac:dyDescent="0.3">
      <c r="A2572" s="29" t="s">
        <v>1145</v>
      </c>
      <c r="B2572" s="50" t="str">
        <f>VLOOKUP(A2572,'Sales Order'!A$2:B$1029,1,0)</f>
        <v>SO0907</v>
      </c>
      <c r="C2572" s="29" t="s">
        <v>43</v>
      </c>
      <c r="D2572" s="50" t="str">
        <f>VLOOKUP(C2572,Product!A$2:B$21,1,0)</f>
        <v>PD0007</v>
      </c>
      <c r="E2572" s="36">
        <v>36</v>
      </c>
      <c r="F2572" s="38">
        <v>92160000</v>
      </c>
      <c r="G2572" s="39" t="s">
        <v>4946</v>
      </c>
      <c r="H2572" s="12"/>
      <c r="L2572" s="12"/>
    </row>
    <row r="2573" spans="1:12" ht="15.75" customHeight="1" x14ac:dyDescent="0.3">
      <c r="A2573" s="17" t="s">
        <v>1146</v>
      </c>
      <c r="B2573" s="50" t="str">
        <f>VLOOKUP(A2573,'Sales Order'!A$2:B$1029,1,0)</f>
        <v>SO0908</v>
      </c>
      <c r="C2573" s="29" t="s">
        <v>58</v>
      </c>
      <c r="D2573" s="50" t="str">
        <f>VLOOKUP(C2573,Product!A$2:B$21,1,0)</f>
        <v>PD0012</v>
      </c>
      <c r="E2573" s="36">
        <v>69</v>
      </c>
      <c r="F2573" s="38">
        <v>295709160</v>
      </c>
      <c r="G2573" s="39" t="s">
        <v>4947</v>
      </c>
      <c r="H2573" s="12"/>
      <c r="L2573" s="12"/>
    </row>
    <row r="2574" spans="1:12" ht="15.75" customHeight="1" x14ac:dyDescent="0.3">
      <c r="A2574" s="29" t="s">
        <v>1146</v>
      </c>
      <c r="B2574" s="50" t="str">
        <f>VLOOKUP(A2574,'Sales Order'!A$2:B$1029,1,0)</f>
        <v>SO0908</v>
      </c>
      <c r="C2574" s="29" t="s">
        <v>75</v>
      </c>
      <c r="D2574" s="50" t="str">
        <f>VLOOKUP(C2574,Product!A$2:B$21,1,0)</f>
        <v>PD0017</v>
      </c>
      <c r="E2574" s="36">
        <v>44</v>
      </c>
      <c r="F2574" s="38">
        <v>94446000</v>
      </c>
      <c r="G2574" s="39" t="s">
        <v>4948</v>
      </c>
      <c r="H2574" s="12"/>
      <c r="L2574" s="12"/>
    </row>
    <row r="2575" spans="1:12" ht="15.75" customHeight="1" x14ac:dyDescent="0.3">
      <c r="A2575" s="29" t="s">
        <v>1146</v>
      </c>
      <c r="B2575" s="50" t="str">
        <f>VLOOKUP(A2575,'Sales Order'!A$2:B$1029,1,0)</f>
        <v>SO0908</v>
      </c>
      <c r="C2575" s="29" t="s">
        <v>25</v>
      </c>
      <c r="D2575" s="50" t="str">
        <f>VLOOKUP(C2575,Product!A$2:B$21,1,0)</f>
        <v>PD0002</v>
      </c>
      <c r="E2575" s="36">
        <v>133</v>
      </c>
      <c r="F2575" s="38">
        <v>2527000</v>
      </c>
      <c r="G2575" s="39" t="s">
        <v>4949</v>
      </c>
      <c r="H2575" s="12"/>
      <c r="L2575" s="12"/>
    </row>
    <row r="2576" spans="1:12" ht="15.75" customHeight="1" x14ac:dyDescent="0.3">
      <c r="A2576" s="17" t="s">
        <v>1147</v>
      </c>
      <c r="B2576" s="50" t="str">
        <f>VLOOKUP(A2576,'Sales Order'!A$2:B$1029,1,0)</f>
        <v>SO0909</v>
      </c>
      <c r="C2576" s="29" t="s">
        <v>25</v>
      </c>
      <c r="D2576" s="50" t="str">
        <f>VLOOKUP(C2576,Product!A$2:B$21,1,0)</f>
        <v>PD0002</v>
      </c>
      <c r="E2576" s="36">
        <v>68</v>
      </c>
      <c r="F2576" s="38">
        <v>1264800</v>
      </c>
      <c r="G2576" s="39" t="s">
        <v>4950</v>
      </c>
      <c r="H2576" s="12"/>
      <c r="L2576" s="12"/>
    </row>
    <row r="2577" spans="1:12" ht="15.75" customHeight="1" x14ac:dyDescent="0.3">
      <c r="A2577" s="29" t="s">
        <v>1147</v>
      </c>
      <c r="B2577" s="50" t="str">
        <f>VLOOKUP(A2577,'Sales Order'!A$2:B$1029,1,0)</f>
        <v>SO0909</v>
      </c>
      <c r="C2577" s="29" t="s">
        <v>55</v>
      </c>
      <c r="D2577" s="50" t="str">
        <f>VLOOKUP(C2577,Product!A$2:B$21,1,0)</f>
        <v>PD0011</v>
      </c>
      <c r="E2577" s="36">
        <v>137</v>
      </c>
      <c r="F2577" s="38">
        <v>248850910</v>
      </c>
      <c r="G2577" s="39" t="s">
        <v>4951</v>
      </c>
      <c r="H2577" s="12"/>
      <c r="L2577" s="12"/>
    </row>
    <row r="2578" spans="1:12" ht="15.75" customHeight="1" x14ac:dyDescent="0.3">
      <c r="A2578" s="29" t="s">
        <v>1147</v>
      </c>
      <c r="B2578" s="50" t="str">
        <f>VLOOKUP(A2578,'Sales Order'!A$2:B$1029,1,0)</f>
        <v>SO0909</v>
      </c>
      <c r="C2578" s="29" t="s">
        <v>58</v>
      </c>
      <c r="D2578" s="50" t="str">
        <f>VLOOKUP(C2578,Product!A$2:B$21,1,0)</f>
        <v>PD0012</v>
      </c>
      <c r="E2578" s="36">
        <v>104</v>
      </c>
      <c r="F2578" s="38">
        <v>486758480</v>
      </c>
      <c r="G2578" s="39" t="s">
        <v>4952</v>
      </c>
      <c r="H2578" s="12"/>
      <c r="L2578" s="12"/>
    </row>
    <row r="2579" spans="1:12" ht="15.75" customHeight="1" x14ac:dyDescent="0.3">
      <c r="A2579" s="17" t="s">
        <v>1148</v>
      </c>
      <c r="B2579" s="50" t="str">
        <f>VLOOKUP(A2579,'Sales Order'!A$2:B$1029,1,0)</f>
        <v>SO0910</v>
      </c>
      <c r="C2579" s="29" t="s">
        <v>69</v>
      </c>
      <c r="D2579" s="50" t="str">
        <f>VLOOKUP(C2579,Product!A$2:B$21,1,0)</f>
        <v>PD0015</v>
      </c>
      <c r="E2579" s="36">
        <v>44</v>
      </c>
      <c r="F2579" s="38">
        <v>5680620</v>
      </c>
      <c r="G2579" s="39" t="s">
        <v>4953</v>
      </c>
      <c r="H2579" s="12"/>
      <c r="L2579" s="12"/>
    </row>
    <row r="2580" spans="1:12" ht="15.75" customHeight="1" x14ac:dyDescent="0.3">
      <c r="A2580" s="17" t="s">
        <v>1149</v>
      </c>
      <c r="B2580" s="50" t="str">
        <f>VLOOKUP(A2580,'Sales Order'!A$2:B$1029,1,0)</f>
        <v>SO0911</v>
      </c>
      <c r="C2580" s="29" t="s">
        <v>65</v>
      </c>
      <c r="D2580" s="50" t="str">
        <f>VLOOKUP(C2580,Product!A$2:B$21,1,0)</f>
        <v>PD0014</v>
      </c>
      <c r="E2580" s="36">
        <v>137</v>
      </c>
      <c r="F2580" s="38">
        <v>28165830</v>
      </c>
      <c r="G2580" s="39" t="s">
        <v>4954</v>
      </c>
      <c r="H2580" s="12"/>
      <c r="L2580" s="12"/>
    </row>
    <row r="2581" spans="1:12" ht="15.75" customHeight="1" x14ac:dyDescent="0.3">
      <c r="A2581" s="29" t="s">
        <v>1149</v>
      </c>
      <c r="B2581" s="50" t="str">
        <f>VLOOKUP(A2581,'Sales Order'!A$2:B$1029,1,0)</f>
        <v>SO0911</v>
      </c>
      <c r="C2581" s="29" t="s">
        <v>69</v>
      </c>
      <c r="D2581" s="50" t="str">
        <f>VLOOKUP(C2581,Product!A$2:B$21,1,0)</f>
        <v>PD0015</v>
      </c>
      <c r="E2581" s="36">
        <v>75</v>
      </c>
      <c r="F2581" s="38">
        <v>8561700</v>
      </c>
      <c r="G2581" s="39" t="s">
        <v>4955</v>
      </c>
      <c r="H2581" s="12"/>
      <c r="L2581" s="12"/>
    </row>
    <row r="2582" spans="1:12" ht="15.75" customHeight="1" x14ac:dyDescent="0.3">
      <c r="A2582" s="29" t="s">
        <v>1149</v>
      </c>
      <c r="B2582" s="50" t="str">
        <f>VLOOKUP(A2582,'Sales Order'!A$2:B$1029,1,0)</f>
        <v>SO0911</v>
      </c>
      <c r="C2582" s="29" t="s">
        <v>58</v>
      </c>
      <c r="D2582" s="50" t="str">
        <f>VLOOKUP(C2582,Product!A$2:B$21,1,0)</f>
        <v>PD0012</v>
      </c>
      <c r="E2582" s="36">
        <v>150</v>
      </c>
      <c r="F2582" s="38">
        <v>752806500</v>
      </c>
      <c r="G2582" s="39" t="s">
        <v>4956</v>
      </c>
      <c r="H2582" s="12"/>
      <c r="L2582" s="12"/>
    </row>
    <row r="2583" spans="1:12" ht="15.75" customHeight="1" x14ac:dyDescent="0.3">
      <c r="A2583" s="29" t="s">
        <v>1149</v>
      </c>
      <c r="B2583" s="50" t="str">
        <f>VLOOKUP(A2583,'Sales Order'!A$2:B$1029,1,0)</f>
        <v>SO0911</v>
      </c>
      <c r="C2583" s="29" t="s">
        <v>78</v>
      </c>
      <c r="D2583" s="50" t="str">
        <f>VLOOKUP(C2583,Product!A$2:B$21,1,0)</f>
        <v>PD0018</v>
      </c>
      <c r="E2583" s="36">
        <v>141</v>
      </c>
      <c r="F2583" s="38">
        <v>70511280</v>
      </c>
      <c r="G2583" s="39" t="s">
        <v>4957</v>
      </c>
      <c r="H2583" s="12"/>
      <c r="L2583" s="12"/>
    </row>
    <row r="2584" spans="1:12" ht="15.75" customHeight="1" x14ac:dyDescent="0.3">
      <c r="A2584" s="17" t="s">
        <v>1150</v>
      </c>
      <c r="B2584" s="50" t="str">
        <f>VLOOKUP(A2584,'Sales Order'!A$2:B$1029,1,0)</f>
        <v>SO0912</v>
      </c>
      <c r="C2584" s="29" t="s">
        <v>45</v>
      </c>
      <c r="D2584" s="50" t="str">
        <f>VLOOKUP(C2584,Product!A$2:B$21,1,0)</f>
        <v>PD0008</v>
      </c>
      <c r="E2584" s="36">
        <v>118</v>
      </c>
      <c r="F2584" s="38">
        <v>14944700</v>
      </c>
      <c r="G2584" s="39" t="s">
        <v>4958</v>
      </c>
      <c r="H2584" s="12"/>
      <c r="L2584" s="12"/>
    </row>
    <row r="2585" spans="1:12" ht="15.75" customHeight="1" x14ac:dyDescent="0.3">
      <c r="A2585" s="29" t="s">
        <v>1150</v>
      </c>
      <c r="B2585" s="50" t="str">
        <f>VLOOKUP(A2585,'Sales Order'!A$2:B$1029,1,0)</f>
        <v>SO0912</v>
      </c>
      <c r="C2585" s="29" t="s">
        <v>52</v>
      </c>
      <c r="D2585" s="50" t="str">
        <f>VLOOKUP(C2585,Product!A$2:B$21,1,0)</f>
        <v>PD0010</v>
      </c>
      <c r="E2585" s="36">
        <v>62</v>
      </c>
      <c r="F2585" s="38">
        <v>17732000</v>
      </c>
      <c r="G2585" s="39" t="s">
        <v>4959</v>
      </c>
      <c r="H2585" s="12"/>
      <c r="L2585" s="12"/>
    </row>
    <row r="2586" spans="1:12" ht="15.75" customHeight="1" x14ac:dyDescent="0.3">
      <c r="A2586" s="29" t="s">
        <v>1151</v>
      </c>
      <c r="B2586" s="50" t="str">
        <f>VLOOKUP(A2586,'Sales Order'!A$2:B$1029,1,0)</f>
        <v>SO0913</v>
      </c>
      <c r="C2586" s="29" t="s">
        <v>72</v>
      </c>
      <c r="D2586" s="50" t="str">
        <f>VLOOKUP(C2586,Product!A$2:B$21,1,0)</f>
        <v>PD0016</v>
      </c>
      <c r="E2586" s="36">
        <v>130</v>
      </c>
      <c r="F2586" s="38">
        <v>26032500</v>
      </c>
      <c r="G2586" s="39" t="s">
        <v>4960</v>
      </c>
      <c r="H2586" s="12"/>
      <c r="L2586" s="12"/>
    </row>
    <row r="2587" spans="1:12" ht="15.75" customHeight="1" x14ac:dyDescent="0.3">
      <c r="A2587" s="29" t="s">
        <v>1151</v>
      </c>
      <c r="B2587" s="50" t="str">
        <f>VLOOKUP(A2587,'Sales Order'!A$2:B$1029,1,0)</f>
        <v>SO0913</v>
      </c>
      <c r="C2587" s="29" t="s">
        <v>81</v>
      </c>
      <c r="D2587" s="50" t="str">
        <f>VLOOKUP(C2587,Product!A$2:B$21,1,0)</f>
        <v>PD0019</v>
      </c>
      <c r="E2587" s="36">
        <v>143</v>
      </c>
      <c r="F2587" s="38">
        <v>324411230</v>
      </c>
      <c r="G2587" s="39" t="s">
        <v>4961</v>
      </c>
      <c r="H2587" s="12"/>
      <c r="L2587" s="12"/>
    </row>
    <row r="2588" spans="1:12" ht="15.75" customHeight="1" x14ac:dyDescent="0.3">
      <c r="A2588" s="17" t="s">
        <v>1152</v>
      </c>
      <c r="B2588" s="50" t="str">
        <f>VLOOKUP(A2588,'Sales Order'!A$2:B$1029,1,0)</f>
        <v>SO0914</v>
      </c>
      <c r="C2588" s="29" t="s">
        <v>40</v>
      </c>
      <c r="D2588" s="50" t="str">
        <f>VLOOKUP(C2588,Product!A$2:B$21,1,0)</f>
        <v>PD0006</v>
      </c>
      <c r="E2588" s="36">
        <v>100</v>
      </c>
      <c r="F2588" s="38">
        <v>17765000</v>
      </c>
      <c r="G2588" s="39" t="s">
        <v>4962</v>
      </c>
      <c r="H2588" s="12"/>
      <c r="L2588" s="12"/>
    </row>
    <row r="2589" spans="1:12" ht="15.75" customHeight="1" x14ac:dyDescent="0.3">
      <c r="A2589" s="29" t="s">
        <v>1152</v>
      </c>
      <c r="B2589" s="50" t="str">
        <f>VLOOKUP(A2589,'Sales Order'!A$2:B$1029,1,0)</f>
        <v>SO0914</v>
      </c>
      <c r="C2589" s="29" t="s">
        <v>78</v>
      </c>
      <c r="D2589" s="50" t="str">
        <f>VLOOKUP(C2589,Product!A$2:B$21,1,0)</f>
        <v>PD0018</v>
      </c>
      <c r="E2589" s="36">
        <v>98</v>
      </c>
      <c r="F2589" s="38">
        <v>49529200</v>
      </c>
      <c r="G2589" s="39" t="s">
        <v>4963</v>
      </c>
      <c r="H2589" s="12"/>
      <c r="L2589" s="12"/>
    </row>
    <row r="2590" spans="1:12" ht="15.75" customHeight="1" x14ac:dyDescent="0.3">
      <c r="A2590" s="29" t="s">
        <v>1152</v>
      </c>
      <c r="B2590" s="50" t="str">
        <f>VLOOKUP(A2590,'Sales Order'!A$2:B$1029,1,0)</f>
        <v>SO0914</v>
      </c>
      <c r="C2590" s="29" t="s">
        <v>43</v>
      </c>
      <c r="D2590" s="50" t="str">
        <f>VLOOKUP(C2590,Product!A$2:B$21,1,0)</f>
        <v>PD0007</v>
      </c>
      <c r="E2590" s="36">
        <v>80</v>
      </c>
      <c r="F2590" s="38">
        <v>227840000</v>
      </c>
      <c r="G2590" s="39" t="s">
        <v>4964</v>
      </c>
      <c r="H2590" s="12"/>
      <c r="L2590" s="12"/>
    </row>
    <row r="2591" spans="1:12" ht="15.75" customHeight="1" x14ac:dyDescent="0.3">
      <c r="A2591" s="17" t="s">
        <v>1153</v>
      </c>
      <c r="B2591" s="50" t="str">
        <f>VLOOKUP(A2591,'Sales Order'!A$2:B$1029,1,0)</f>
        <v>SO0915</v>
      </c>
      <c r="C2591" s="29" t="s">
        <v>78</v>
      </c>
      <c r="D2591" s="50" t="str">
        <f>VLOOKUP(C2591,Product!A$2:B$21,1,0)</f>
        <v>PD0018</v>
      </c>
      <c r="E2591" s="36">
        <v>28</v>
      </c>
      <c r="F2591" s="38">
        <v>13257440</v>
      </c>
      <c r="G2591" s="39" t="s">
        <v>4965</v>
      </c>
      <c r="H2591" s="12"/>
      <c r="L2591" s="12"/>
    </row>
    <row r="2592" spans="1:12" ht="15.75" customHeight="1" x14ac:dyDescent="0.3">
      <c r="A2592" s="17" t="s">
        <v>1154</v>
      </c>
      <c r="B2592" s="50" t="str">
        <f>VLOOKUP(A2592,'Sales Order'!A$2:B$1029,1,0)</f>
        <v>SO0916</v>
      </c>
      <c r="C2592" s="29" t="s">
        <v>81</v>
      </c>
      <c r="D2592" s="50" t="str">
        <f>VLOOKUP(C2592,Product!A$2:B$21,1,0)</f>
        <v>PD0019</v>
      </c>
      <c r="E2592" s="36">
        <v>107</v>
      </c>
      <c r="F2592" s="38">
        <v>245468700</v>
      </c>
      <c r="G2592" s="39" t="s">
        <v>4966</v>
      </c>
      <c r="H2592" s="12"/>
      <c r="L2592" s="12"/>
    </row>
    <row r="2593" spans="1:12" ht="15.75" customHeight="1" x14ac:dyDescent="0.3">
      <c r="A2593" s="29" t="s">
        <v>1154</v>
      </c>
      <c r="B2593" s="50" t="str">
        <f>VLOOKUP(A2593,'Sales Order'!A$2:B$1029,1,0)</f>
        <v>SO0916</v>
      </c>
      <c r="C2593" s="29" t="s">
        <v>48</v>
      </c>
      <c r="D2593" s="50" t="str">
        <f>VLOOKUP(C2593,Product!A$2:B$21,1,0)</f>
        <v>PD0009</v>
      </c>
      <c r="E2593" s="36">
        <v>90</v>
      </c>
      <c r="F2593" s="38">
        <v>8939700</v>
      </c>
      <c r="G2593" s="39" t="s">
        <v>4967</v>
      </c>
      <c r="H2593" s="12"/>
      <c r="L2593" s="12"/>
    </row>
    <row r="2594" spans="1:12" ht="15.75" customHeight="1" x14ac:dyDescent="0.3">
      <c r="A2594" s="17" t="s">
        <v>1155</v>
      </c>
      <c r="B2594" s="50" t="str">
        <f>VLOOKUP(A2594,'Sales Order'!A$2:B$1029,1,0)</f>
        <v>SO0917</v>
      </c>
      <c r="C2594" s="29" t="s">
        <v>58</v>
      </c>
      <c r="D2594" s="50" t="str">
        <f>VLOOKUP(C2594,Product!A$2:B$21,1,0)</f>
        <v>PD0012</v>
      </c>
      <c r="E2594" s="36">
        <v>85</v>
      </c>
      <c r="F2594" s="38">
        <v>383452000</v>
      </c>
      <c r="G2594" s="39" t="s">
        <v>4968</v>
      </c>
      <c r="H2594" s="12"/>
      <c r="L2594" s="12"/>
    </row>
    <row r="2595" spans="1:12" ht="15.75" customHeight="1" x14ac:dyDescent="0.3">
      <c r="A2595" s="29" t="s">
        <v>1155</v>
      </c>
      <c r="B2595" s="50" t="str">
        <f>VLOOKUP(A2595,'Sales Order'!A$2:B$1029,1,0)</f>
        <v>SO0917</v>
      </c>
      <c r="C2595" s="29" t="s">
        <v>69</v>
      </c>
      <c r="D2595" s="50" t="str">
        <f>VLOOKUP(C2595,Product!A$2:B$21,1,0)</f>
        <v>PD0015</v>
      </c>
      <c r="E2595" s="36">
        <v>100</v>
      </c>
      <c r="F2595" s="38">
        <v>11823300</v>
      </c>
      <c r="G2595" s="39" t="s">
        <v>4969</v>
      </c>
      <c r="H2595" s="12"/>
      <c r="L2595" s="12"/>
    </row>
    <row r="2596" spans="1:12" ht="15.75" customHeight="1" x14ac:dyDescent="0.3">
      <c r="A2596" s="29" t="s">
        <v>1155</v>
      </c>
      <c r="B2596" s="50" t="str">
        <f>VLOOKUP(A2596,'Sales Order'!A$2:B$1029,1,0)</f>
        <v>SO0917</v>
      </c>
      <c r="C2596" s="29" t="s">
        <v>48</v>
      </c>
      <c r="D2596" s="50" t="str">
        <f>VLOOKUP(C2596,Product!A$2:B$21,1,0)</f>
        <v>PD0009</v>
      </c>
      <c r="E2596" s="36">
        <v>120</v>
      </c>
      <c r="F2596" s="38">
        <v>13622400</v>
      </c>
      <c r="G2596" s="39" t="s">
        <v>4970</v>
      </c>
      <c r="H2596" s="12"/>
      <c r="L2596" s="12"/>
    </row>
    <row r="2597" spans="1:12" ht="15.75" customHeight="1" x14ac:dyDescent="0.3">
      <c r="A2597" s="17" t="s">
        <v>1156</v>
      </c>
      <c r="B2597" s="50" t="str">
        <f>VLOOKUP(A2597,'Sales Order'!A$2:B$1029,1,0)</f>
        <v>SO0918</v>
      </c>
      <c r="C2597" s="29" t="s">
        <v>48</v>
      </c>
      <c r="D2597" s="50" t="str">
        <f>VLOOKUP(C2597,Product!A$2:B$21,1,0)</f>
        <v>PD0009</v>
      </c>
      <c r="E2597" s="36">
        <v>89</v>
      </c>
      <c r="F2597" s="38">
        <v>9529230</v>
      </c>
      <c r="G2597" s="39" t="s">
        <v>4971</v>
      </c>
      <c r="H2597" s="12"/>
      <c r="L2597" s="12"/>
    </row>
    <row r="2598" spans="1:12" ht="15.75" customHeight="1" x14ac:dyDescent="0.3">
      <c r="A2598" s="29" t="s">
        <v>1156</v>
      </c>
      <c r="B2598" s="50" t="str">
        <f>VLOOKUP(A2598,'Sales Order'!A$2:B$1029,1,0)</f>
        <v>SO0918</v>
      </c>
      <c r="C2598" s="29" t="s">
        <v>65</v>
      </c>
      <c r="D2598" s="50" t="str">
        <f>VLOOKUP(C2598,Product!A$2:B$21,1,0)</f>
        <v>PD0014</v>
      </c>
      <c r="E2598" s="36">
        <v>30</v>
      </c>
      <c r="F2598" s="38">
        <v>7609500</v>
      </c>
      <c r="G2598" s="39" t="s">
        <v>4972</v>
      </c>
      <c r="H2598" s="12"/>
      <c r="L2598" s="12"/>
    </row>
    <row r="2599" spans="1:12" ht="15.75" customHeight="1" x14ac:dyDescent="0.3">
      <c r="A2599" s="17" t="s">
        <v>1157</v>
      </c>
      <c r="B2599" s="50" t="str">
        <f>VLOOKUP(A2599,'Sales Order'!A$2:B$1029,1,0)</f>
        <v>SO0919</v>
      </c>
      <c r="C2599" s="29" t="s">
        <v>43</v>
      </c>
      <c r="D2599" s="50" t="str">
        <f>VLOOKUP(C2599,Product!A$2:B$21,1,0)</f>
        <v>PD0007</v>
      </c>
      <c r="E2599" s="36">
        <v>126</v>
      </c>
      <c r="F2599" s="38">
        <v>354816000</v>
      </c>
      <c r="G2599" s="39" t="s">
        <v>4973</v>
      </c>
      <c r="H2599" s="12"/>
      <c r="L2599" s="12"/>
    </row>
    <row r="2600" spans="1:12" ht="15.75" customHeight="1" x14ac:dyDescent="0.3">
      <c r="A2600" s="29" t="s">
        <v>1157</v>
      </c>
      <c r="B2600" s="50" t="str">
        <f>VLOOKUP(A2600,'Sales Order'!A$2:B$1029,1,0)</f>
        <v>SO0919</v>
      </c>
      <c r="C2600" s="29" t="s">
        <v>19</v>
      </c>
      <c r="D2600" s="50" t="str">
        <f>VLOOKUP(C2600,Product!A$2:B$21,1,0)</f>
        <v>PD0001</v>
      </c>
      <c r="E2600" s="36">
        <v>29</v>
      </c>
      <c r="F2600" s="38">
        <v>6498900</v>
      </c>
      <c r="G2600" s="39" t="s">
        <v>4974</v>
      </c>
      <c r="H2600" s="12"/>
      <c r="L2600" s="12"/>
    </row>
    <row r="2601" spans="1:12" ht="15.75" customHeight="1" x14ac:dyDescent="0.3">
      <c r="A2601" s="29" t="s">
        <v>1157</v>
      </c>
      <c r="B2601" s="50" t="str">
        <f>VLOOKUP(A2601,'Sales Order'!A$2:B$1029,1,0)</f>
        <v>SO0919</v>
      </c>
      <c r="C2601" s="29" t="s">
        <v>40</v>
      </c>
      <c r="D2601" s="50" t="str">
        <f>VLOOKUP(C2601,Product!A$2:B$21,1,0)</f>
        <v>PD0006</v>
      </c>
      <c r="E2601" s="36">
        <v>67</v>
      </c>
      <c r="F2601" s="38">
        <v>11622490</v>
      </c>
      <c r="G2601" s="39" t="s">
        <v>4975</v>
      </c>
      <c r="H2601" s="12"/>
      <c r="L2601" s="12"/>
    </row>
    <row r="2602" spans="1:12" ht="15.75" customHeight="1" x14ac:dyDescent="0.3">
      <c r="A2602" s="29" t="s">
        <v>1157</v>
      </c>
      <c r="B2602" s="50" t="str">
        <f>VLOOKUP(A2602,'Sales Order'!A$2:B$1029,1,0)</f>
        <v>SO0919</v>
      </c>
      <c r="C2602" s="29" t="s">
        <v>55</v>
      </c>
      <c r="D2602" s="50" t="str">
        <f>VLOOKUP(C2602,Product!A$2:B$21,1,0)</f>
        <v>PD0011</v>
      </c>
      <c r="E2602" s="36">
        <v>35</v>
      </c>
      <c r="F2602" s="38">
        <v>74308500</v>
      </c>
      <c r="G2602" s="39" t="s">
        <v>4976</v>
      </c>
      <c r="H2602" s="12"/>
      <c r="L2602" s="12"/>
    </row>
    <row r="2603" spans="1:12" ht="15.75" customHeight="1" x14ac:dyDescent="0.3">
      <c r="A2603" s="29" t="s">
        <v>1158</v>
      </c>
      <c r="B2603" s="50" t="str">
        <f>VLOOKUP(A2603,'Sales Order'!A$2:B$1029,1,0)</f>
        <v>SO0920</v>
      </c>
      <c r="C2603" s="29" t="s">
        <v>75</v>
      </c>
      <c r="D2603" s="50" t="str">
        <f>VLOOKUP(C2603,Product!A$2:B$21,1,0)</f>
        <v>PD0017</v>
      </c>
      <c r="E2603" s="36">
        <v>61</v>
      </c>
      <c r="F2603" s="38">
        <v>130936500.00000001</v>
      </c>
      <c r="G2603" s="39" t="s">
        <v>4977</v>
      </c>
      <c r="H2603" s="12"/>
      <c r="L2603" s="12"/>
    </row>
    <row r="2604" spans="1:12" ht="15.75" customHeight="1" x14ac:dyDescent="0.3">
      <c r="A2604" s="29" t="s">
        <v>1158</v>
      </c>
      <c r="B2604" s="50" t="str">
        <f>VLOOKUP(A2604,'Sales Order'!A$2:B$1029,1,0)</f>
        <v>SO0920</v>
      </c>
      <c r="C2604" s="29" t="s">
        <v>28</v>
      </c>
      <c r="D2604" s="50" t="str">
        <f>VLOOKUP(C2604,Product!A$2:B$21,1,0)</f>
        <v>PD0003</v>
      </c>
      <c r="E2604" s="36">
        <v>111</v>
      </c>
      <c r="F2604" s="38">
        <v>87839850</v>
      </c>
      <c r="G2604" s="39" t="s">
        <v>4978</v>
      </c>
      <c r="H2604" s="12"/>
      <c r="L2604" s="12"/>
    </row>
    <row r="2605" spans="1:12" ht="15.75" customHeight="1" x14ac:dyDescent="0.3">
      <c r="A2605" s="29" t="s">
        <v>1158</v>
      </c>
      <c r="B2605" s="50" t="str">
        <f>VLOOKUP(A2605,'Sales Order'!A$2:B$1029,1,0)</f>
        <v>SO0920</v>
      </c>
      <c r="C2605" s="29" t="s">
        <v>58</v>
      </c>
      <c r="D2605" s="50" t="str">
        <f>VLOOKUP(C2605,Product!A$2:B$21,1,0)</f>
        <v>PD0012</v>
      </c>
      <c r="E2605" s="36">
        <v>126</v>
      </c>
      <c r="F2605" s="38">
        <v>589726620</v>
      </c>
      <c r="G2605" s="39" t="s">
        <v>4979</v>
      </c>
      <c r="H2605" s="12"/>
      <c r="L2605" s="12"/>
    </row>
    <row r="2606" spans="1:12" ht="15.75" customHeight="1" x14ac:dyDescent="0.3">
      <c r="A2606" s="17" t="s">
        <v>1159</v>
      </c>
      <c r="B2606" s="50" t="str">
        <f>VLOOKUP(A2606,'Sales Order'!A$2:B$1029,1,0)</f>
        <v>SO0921</v>
      </c>
      <c r="C2606" s="29" t="s">
        <v>25</v>
      </c>
      <c r="D2606" s="50" t="str">
        <f>VLOOKUP(C2606,Product!A$2:B$21,1,0)</f>
        <v>PD0002</v>
      </c>
      <c r="E2606" s="36">
        <v>116</v>
      </c>
      <c r="F2606" s="38">
        <v>1902400.0000000002</v>
      </c>
      <c r="G2606" s="39" t="s">
        <v>4980</v>
      </c>
      <c r="H2606" s="12"/>
      <c r="L2606" s="12"/>
    </row>
    <row r="2607" spans="1:12" ht="15.75" customHeight="1" x14ac:dyDescent="0.3">
      <c r="A2607" s="29" t="s">
        <v>1159</v>
      </c>
      <c r="B2607" s="50" t="str">
        <f>VLOOKUP(A2607,'Sales Order'!A$2:B$1029,1,0)</f>
        <v>SO0921</v>
      </c>
      <c r="C2607" s="29" t="s">
        <v>35</v>
      </c>
      <c r="D2607" s="50" t="str">
        <f>VLOOKUP(C2607,Product!A$2:B$21,1,0)</f>
        <v>PD0005</v>
      </c>
      <c r="E2607" s="36">
        <v>104</v>
      </c>
      <c r="F2607" s="38">
        <v>175775600</v>
      </c>
      <c r="G2607" s="39" t="s">
        <v>4981</v>
      </c>
      <c r="H2607" s="12"/>
      <c r="L2607" s="12"/>
    </row>
    <row r="2608" spans="1:12" ht="15.75" customHeight="1" x14ac:dyDescent="0.3">
      <c r="A2608" s="29" t="s">
        <v>1160</v>
      </c>
      <c r="B2608" s="50" t="str">
        <f>VLOOKUP(A2608,'Sales Order'!A$2:B$1029,1,0)</f>
        <v>SO0922</v>
      </c>
      <c r="C2608" s="29" t="s">
        <v>52</v>
      </c>
      <c r="D2608" s="50" t="str">
        <f>VLOOKUP(C2608,Product!A$2:B$21,1,0)</f>
        <v>PD0010</v>
      </c>
      <c r="E2608" s="36">
        <v>34</v>
      </c>
      <c r="F2608" s="38">
        <v>9171500</v>
      </c>
      <c r="G2608" s="39" t="s">
        <v>4982</v>
      </c>
      <c r="H2608" s="12"/>
      <c r="L2608" s="12"/>
    </row>
    <row r="2609" spans="1:12" ht="15.75" customHeight="1" x14ac:dyDescent="0.3">
      <c r="A2609" s="29" t="s">
        <v>1160</v>
      </c>
      <c r="B2609" s="50" t="str">
        <f>VLOOKUP(A2609,'Sales Order'!A$2:B$1029,1,0)</f>
        <v>SO0922</v>
      </c>
      <c r="C2609" s="29" t="s">
        <v>19</v>
      </c>
      <c r="D2609" s="50" t="str">
        <f>VLOOKUP(C2609,Product!A$2:B$21,1,0)</f>
        <v>PD0001</v>
      </c>
      <c r="E2609" s="36">
        <v>123</v>
      </c>
      <c r="F2609" s="38">
        <v>28483109.999999996</v>
      </c>
      <c r="G2609" s="39" t="s">
        <v>4983</v>
      </c>
      <c r="H2609" s="12"/>
      <c r="L2609" s="12"/>
    </row>
    <row r="2610" spans="1:12" ht="15.75" customHeight="1" x14ac:dyDescent="0.3">
      <c r="A2610" s="29" t="s">
        <v>1160</v>
      </c>
      <c r="B2610" s="50" t="str">
        <f>VLOOKUP(A2610,'Sales Order'!A$2:B$1029,1,0)</f>
        <v>SO0922</v>
      </c>
      <c r="C2610" s="29" t="s">
        <v>55</v>
      </c>
      <c r="D2610" s="50" t="str">
        <f>VLOOKUP(C2610,Product!A$2:B$21,1,0)</f>
        <v>PD0011</v>
      </c>
      <c r="E2610" s="36">
        <v>94</v>
      </c>
      <c r="F2610" s="38">
        <v>172961880</v>
      </c>
      <c r="G2610" s="39" t="s">
        <v>4984</v>
      </c>
      <c r="H2610" s="12"/>
      <c r="L2610" s="12"/>
    </row>
    <row r="2611" spans="1:12" ht="15.75" customHeight="1" x14ac:dyDescent="0.3">
      <c r="A2611" s="29" t="s">
        <v>1160</v>
      </c>
      <c r="B2611" s="50" t="str">
        <f>VLOOKUP(A2611,'Sales Order'!A$2:B$1029,1,0)</f>
        <v>SO0922</v>
      </c>
      <c r="C2611" s="29" t="s">
        <v>33</v>
      </c>
      <c r="D2611" s="50" t="str">
        <f>VLOOKUP(C2611,Product!A$2:B$21,1,0)</f>
        <v>PD0004</v>
      </c>
      <c r="E2611" s="36">
        <v>105</v>
      </c>
      <c r="F2611" s="38">
        <v>17556000</v>
      </c>
      <c r="G2611" s="39" t="s">
        <v>4985</v>
      </c>
      <c r="H2611" s="12"/>
      <c r="L2611" s="12"/>
    </row>
    <row r="2612" spans="1:12" ht="15.75" customHeight="1" x14ac:dyDescent="0.3">
      <c r="A2612" s="17" t="s">
        <v>1161</v>
      </c>
      <c r="B2612" s="50" t="str">
        <f>VLOOKUP(A2612,'Sales Order'!A$2:B$1029,1,0)</f>
        <v>SO0923</v>
      </c>
      <c r="C2612" s="29" t="s">
        <v>25</v>
      </c>
      <c r="D2612" s="50" t="str">
        <f>VLOOKUP(C2612,Product!A$2:B$21,1,0)</f>
        <v>PD0002</v>
      </c>
      <c r="E2612" s="36">
        <v>149</v>
      </c>
      <c r="F2612" s="38">
        <v>2413800</v>
      </c>
      <c r="G2612" s="39" t="s">
        <v>4986</v>
      </c>
      <c r="H2612" s="12"/>
      <c r="L2612" s="12"/>
    </row>
    <row r="2613" spans="1:12" ht="15.75" customHeight="1" x14ac:dyDescent="0.3">
      <c r="A2613" s="29" t="s">
        <v>1161</v>
      </c>
      <c r="B2613" s="50" t="str">
        <f>VLOOKUP(A2613,'Sales Order'!A$2:B$1029,1,0)</f>
        <v>SO0923</v>
      </c>
      <c r="C2613" s="29" t="s">
        <v>28</v>
      </c>
      <c r="D2613" s="50" t="str">
        <f>VLOOKUP(C2613,Product!A$2:B$21,1,0)</f>
        <v>PD0003</v>
      </c>
      <c r="E2613" s="36">
        <v>71</v>
      </c>
      <c r="F2613" s="38">
        <v>54202820.000000007</v>
      </c>
      <c r="G2613" s="39" t="s">
        <v>4987</v>
      </c>
      <c r="H2613" s="12"/>
      <c r="L2613" s="12"/>
    </row>
    <row r="2614" spans="1:12" ht="15.75" customHeight="1" x14ac:dyDescent="0.3">
      <c r="A2614" s="17" t="s">
        <v>1162</v>
      </c>
      <c r="B2614" s="50" t="str">
        <f>VLOOKUP(A2614,'Sales Order'!A$2:B$1029,1,0)</f>
        <v>SO0924</v>
      </c>
      <c r="C2614" s="29" t="s">
        <v>48</v>
      </c>
      <c r="D2614" s="50" t="str">
        <f>VLOOKUP(C2614,Product!A$2:B$21,1,0)</f>
        <v>PD0009</v>
      </c>
      <c r="E2614" s="36">
        <v>88</v>
      </c>
      <c r="F2614" s="38">
        <v>10103280</v>
      </c>
      <c r="G2614" s="39" t="s">
        <v>4988</v>
      </c>
      <c r="H2614" s="12"/>
      <c r="L2614" s="12"/>
    </row>
    <row r="2615" spans="1:12" ht="15.75" customHeight="1" x14ac:dyDescent="0.3">
      <c r="A2615" s="29" t="s">
        <v>1162</v>
      </c>
      <c r="B2615" s="50" t="str">
        <f>VLOOKUP(A2615,'Sales Order'!A$2:B$1029,1,0)</f>
        <v>SO0924</v>
      </c>
      <c r="C2615" s="29" t="s">
        <v>33</v>
      </c>
      <c r="D2615" s="50" t="str">
        <f>VLOOKUP(C2615,Product!A$2:B$21,1,0)</f>
        <v>PD0004</v>
      </c>
      <c r="E2615" s="36">
        <v>95</v>
      </c>
      <c r="F2615" s="38">
        <v>16093000</v>
      </c>
      <c r="G2615" s="39" t="s">
        <v>4989</v>
      </c>
      <c r="H2615" s="12"/>
      <c r="L2615" s="12"/>
    </row>
    <row r="2616" spans="1:12" ht="15.75" customHeight="1" x14ac:dyDescent="0.3">
      <c r="A2616" s="17" t="s">
        <v>1163</v>
      </c>
      <c r="B2616" s="50" t="str">
        <f>VLOOKUP(A2616,'Sales Order'!A$2:B$1029,1,0)</f>
        <v>SO0925</v>
      </c>
      <c r="C2616" s="29" t="s">
        <v>83</v>
      </c>
      <c r="D2616" s="50" t="str">
        <f>VLOOKUP(C2616,Product!A$2:B$21,1,0)</f>
        <v>PD0020</v>
      </c>
      <c r="E2616" s="36">
        <v>122</v>
      </c>
      <c r="F2616" s="38">
        <v>34462560</v>
      </c>
      <c r="G2616" s="39" t="s">
        <v>4990</v>
      </c>
      <c r="H2616" s="12"/>
      <c r="L2616" s="12"/>
    </row>
    <row r="2617" spans="1:12" ht="15.75" customHeight="1" x14ac:dyDescent="0.3">
      <c r="A2617" s="29" t="s">
        <v>1163</v>
      </c>
      <c r="B2617" s="50" t="str">
        <f>VLOOKUP(A2617,'Sales Order'!A$2:B$1029,1,0)</f>
        <v>SO0925</v>
      </c>
      <c r="C2617" s="29" t="s">
        <v>75</v>
      </c>
      <c r="D2617" s="50" t="str">
        <f>VLOOKUP(C2617,Product!A$2:B$21,1,0)</f>
        <v>PD0017</v>
      </c>
      <c r="E2617" s="36">
        <v>102</v>
      </c>
      <c r="F2617" s="38">
        <v>205428000</v>
      </c>
      <c r="G2617" s="39" t="s">
        <v>4991</v>
      </c>
      <c r="H2617" s="12"/>
      <c r="L2617" s="12"/>
    </row>
    <row r="2618" spans="1:12" ht="15.75" customHeight="1" x14ac:dyDescent="0.3">
      <c r="A2618" s="29" t="s">
        <v>1163</v>
      </c>
      <c r="B2618" s="50" t="str">
        <f>VLOOKUP(A2618,'Sales Order'!A$2:B$1029,1,0)</f>
        <v>SO0925</v>
      </c>
      <c r="C2618" s="29" t="s">
        <v>52</v>
      </c>
      <c r="D2618" s="50" t="str">
        <f>VLOOKUP(C2618,Product!A$2:B$21,1,0)</f>
        <v>PD0010</v>
      </c>
      <c r="E2618" s="36">
        <v>37</v>
      </c>
      <c r="F2618" s="38">
        <v>10461750</v>
      </c>
      <c r="G2618" s="39" t="s">
        <v>4992</v>
      </c>
      <c r="H2618" s="12"/>
      <c r="L2618" s="12"/>
    </row>
    <row r="2619" spans="1:12" ht="15.75" customHeight="1" x14ac:dyDescent="0.3">
      <c r="A2619" s="29" t="s">
        <v>1163</v>
      </c>
      <c r="B2619" s="50" t="str">
        <f>VLOOKUP(A2619,'Sales Order'!A$2:B$1029,1,0)</f>
        <v>SO0925</v>
      </c>
      <c r="C2619" s="29" t="s">
        <v>78</v>
      </c>
      <c r="D2619" s="50" t="str">
        <f>VLOOKUP(C2619,Product!A$2:B$21,1,0)</f>
        <v>PD0018</v>
      </c>
      <c r="E2619" s="36">
        <v>46</v>
      </c>
      <c r="F2619" s="38">
        <v>22514240</v>
      </c>
      <c r="G2619" s="39" t="s">
        <v>4993</v>
      </c>
      <c r="H2619" s="12"/>
      <c r="L2619" s="12"/>
    </row>
    <row r="2620" spans="1:12" ht="15.75" customHeight="1" x14ac:dyDescent="0.3">
      <c r="A2620" s="17" t="s">
        <v>1164</v>
      </c>
      <c r="B2620" s="50" t="str">
        <f>VLOOKUP(A2620,'Sales Order'!A$2:B$1029,1,0)</f>
        <v>SO0926</v>
      </c>
      <c r="C2620" s="29" t="s">
        <v>25</v>
      </c>
      <c r="D2620" s="50" t="str">
        <f>VLOOKUP(C2620,Product!A$2:B$21,1,0)</f>
        <v>PD0002</v>
      </c>
      <c r="E2620" s="36">
        <v>32</v>
      </c>
      <c r="F2620" s="38">
        <v>582400</v>
      </c>
      <c r="G2620" s="39" t="s">
        <v>4994</v>
      </c>
      <c r="H2620" s="12"/>
      <c r="L2620" s="12"/>
    </row>
    <row r="2621" spans="1:12" ht="15.75" customHeight="1" x14ac:dyDescent="0.3">
      <c r="A2621" s="29" t="s">
        <v>1164</v>
      </c>
      <c r="B2621" s="50" t="str">
        <f>VLOOKUP(A2621,'Sales Order'!A$2:B$1029,1,0)</f>
        <v>SO0926</v>
      </c>
      <c r="C2621" s="29" t="s">
        <v>40</v>
      </c>
      <c r="D2621" s="50" t="str">
        <f>VLOOKUP(C2621,Product!A$2:B$21,1,0)</f>
        <v>PD0006</v>
      </c>
      <c r="E2621" s="36">
        <v>100</v>
      </c>
      <c r="F2621" s="38">
        <v>18392000</v>
      </c>
      <c r="G2621" s="39" t="s">
        <v>4995</v>
      </c>
      <c r="H2621" s="12"/>
      <c r="L2621" s="12"/>
    </row>
    <row r="2622" spans="1:12" ht="15.75" customHeight="1" x14ac:dyDescent="0.3">
      <c r="A2622" s="29" t="s">
        <v>1165</v>
      </c>
      <c r="B2622" s="50" t="str">
        <f>VLOOKUP(A2622,'Sales Order'!A$2:B$1029,1,0)</f>
        <v>SO0927</v>
      </c>
      <c r="C2622" s="29" t="s">
        <v>65</v>
      </c>
      <c r="D2622" s="50" t="str">
        <f>VLOOKUP(C2622,Product!A$2:B$21,1,0)</f>
        <v>PD0014</v>
      </c>
      <c r="E2622" s="36">
        <v>116</v>
      </c>
      <c r="F2622" s="38">
        <v>26635920</v>
      </c>
      <c r="G2622" s="39" t="s">
        <v>4996</v>
      </c>
      <c r="H2622" s="12"/>
      <c r="L2622" s="12"/>
    </row>
    <row r="2623" spans="1:12" ht="15.75" customHeight="1" x14ac:dyDescent="0.3">
      <c r="A2623" s="29" t="s">
        <v>1165</v>
      </c>
      <c r="B2623" s="50" t="str">
        <f>VLOOKUP(A2623,'Sales Order'!A$2:B$1029,1,0)</f>
        <v>SO0927</v>
      </c>
      <c r="C2623" s="29" t="s">
        <v>48</v>
      </c>
      <c r="D2623" s="50" t="str">
        <f>VLOOKUP(C2623,Product!A$2:B$21,1,0)</f>
        <v>PD0009</v>
      </c>
      <c r="E2623" s="36">
        <v>148</v>
      </c>
      <c r="F2623" s="38">
        <v>18137400</v>
      </c>
      <c r="G2623" s="39" t="s">
        <v>4997</v>
      </c>
      <c r="H2623" s="12"/>
      <c r="L2623" s="12"/>
    </row>
    <row r="2624" spans="1:12" ht="15.75" customHeight="1" x14ac:dyDescent="0.3">
      <c r="A2624" s="29" t="s">
        <v>1165</v>
      </c>
      <c r="B2624" s="50" t="str">
        <f>VLOOKUP(A2624,'Sales Order'!A$2:B$1029,1,0)</f>
        <v>SO0927</v>
      </c>
      <c r="C2624" s="29" t="s">
        <v>81</v>
      </c>
      <c r="D2624" s="50" t="str">
        <f>VLOOKUP(C2624,Product!A$2:B$21,1,0)</f>
        <v>PD0019</v>
      </c>
      <c r="E2624" s="36">
        <v>31</v>
      </c>
      <c r="F2624" s="38">
        <v>74277860</v>
      </c>
      <c r="G2624" s="39" t="s">
        <v>4998</v>
      </c>
      <c r="H2624" s="12"/>
      <c r="L2624" s="12"/>
    </row>
    <row r="2625" spans="1:12" ht="15.75" customHeight="1" x14ac:dyDescent="0.3">
      <c r="A2625" s="17" t="s">
        <v>1166</v>
      </c>
      <c r="B2625" s="50" t="str">
        <f>VLOOKUP(A2625,'Sales Order'!A$2:B$1029,1,0)</f>
        <v>SO0928</v>
      </c>
      <c r="C2625" s="29" t="s">
        <v>28</v>
      </c>
      <c r="D2625" s="50" t="str">
        <f>VLOOKUP(C2625,Product!A$2:B$21,1,0)</f>
        <v>PD0003</v>
      </c>
      <c r="E2625" s="36">
        <v>53</v>
      </c>
      <c r="F2625" s="38">
        <v>37500680</v>
      </c>
      <c r="G2625" s="39" t="s">
        <v>4999</v>
      </c>
      <c r="H2625" s="12"/>
      <c r="L2625" s="12"/>
    </row>
    <row r="2626" spans="1:12" ht="15.75" customHeight="1" x14ac:dyDescent="0.3">
      <c r="A2626" s="29" t="s">
        <v>1166</v>
      </c>
      <c r="B2626" s="50" t="str">
        <f>VLOOKUP(A2626,'Sales Order'!A$2:B$1029,1,0)</f>
        <v>SO0928</v>
      </c>
      <c r="C2626" s="29" t="s">
        <v>33</v>
      </c>
      <c r="D2626" s="50" t="str">
        <f>VLOOKUP(C2626,Product!A$2:B$21,1,0)</f>
        <v>PD0004</v>
      </c>
      <c r="E2626" s="36">
        <v>118</v>
      </c>
      <c r="F2626" s="38">
        <v>20768000</v>
      </c>
      <c r="G2626" s="39" t="s">
        <v>5000</v>
      </c>
      <c r="H2626" s="12"/>
      <c r="L2626" s="12"/>
    </row>
    <row r="2627" spans="1:12" ht="15.75" customHeight="1" x14ac:dyDescent="0.3">
      <c r="A2627" s="29" t="s">
        <v>1166</v>
      </c>
      <c r="B2627" s="50" t="str">
        <f>VLOOKUP(A2627,'Sales Order'!A$2:B$1029,1,0)</f>
        <v>SO0928</v>
      </c>
      <c r="C2627" s="29" t="s">
        <v>40</v>
      </c>
      <c r="D2627" s="50" t="str">
        <f>VLOOKUP(C2627,Product!A$2:B$21,1,0)</f>
        <v>PD0006</v>
      </c>
      <c r="E2627" s="36">
        <v>130</v>
      </c>
      <c r="F2627" s="38">
        <v>20920900</v>
      </c>
      <c r="G2627" s="39" t="s">
        <v>5001</v>
      </c>
      <c r="H2627" s="12"/>
      <c r="L2627" s="12"/>
    </row>
    <row r="2628" spans="1:12" ht="15.75" customHeight="1" x14ac:dyDescent="0.3">
      <c r="A2628" s="17" t="s">
        <v>1167</v>
      </c>
      <c r="B2628" s="50" t="str">
        <f>VLOOKUP(A2628,'Sales Order'!A$2:B$1029,1,0)</f>
        <v>SO0929</v>
      </c>
      <c r="C2628" s="29" t="s">
        <v>58</v>
      </c>
      <c r="D2628" s="50" t="str">
        <f>VLOOKUP(C2628,Product!A$2:B$21,1,0)</f>
        <v>PD0012</v>
      </c>
      <c r="E2628" s="36">
        <v>134</v>
      </c>
      <c r="F2628" s="38">
        <v>589388280</v>
      </c>
      <c r="G2628" s="39" t="s">
        <v>5002</v>
      </c>
      <c r="H2628" s="12"/>
      <c r="L2628" s="12"/>
    </row>
    <row r="2629" spans="1:12" ht="15.75" customHeight="1" x14ac:dyDescent="0.3">
      <c r="A2629" s="29" t="s">
        <v>1167</v>
      </c>
      <c r="B2629" s="50" t="str">
        <f>VLOOKUP(A2629,'Sales Order'!A$2:B$1029,1,0)</f>
        <v>SO0929</v>
      </c>
      <c r="C2629" s="29" t="s">
        <v>72</v>
      </c>
      <c r="D2629" s="50" t="str">
        <f>VLOOKUP(C2629,Product!A$2:B$21,1,0)</f>
        <v>PD0016</v>
      </c>
      <c r="E2629" s="36">
        <v>105</v>
      </c>
      <c r="F2629" s="38">
        <v>24670800</v>
      </c>
      <c r="G2629" s="39" t="s">
        <v>5003</v>
      </c>
      <c r="H2629" s="12"/>
      <c r="L2629" s="12"/>
    </row>
    <row r="2630" spans="1:12" ht="15.75" customHeight="1" x14ac:dyDescent="0.3">
      <c r="A2630" s="29" t="s">
        <v>1167</v>
      </c>
      <c r="B2630" s="50" t="str">
        <f>VLOOKUP(A2630,'Sales Order'!A$2:B$1029,1,0)</f>
        <v>SO0929</v>
      </c>
      <c r="C2630" s="29" t="s">
        <v>83</v>
      </c>
      <c r="D2630" s="50" t="str">
        <f>VLOOKUP(C2630,Product!A$2:B$21,1,0)</f>
        <v>PD0020</v>
      </c>
      <c r="E2630" s="36">
        <v>55</v>
      </c>
      <c r="F2630" s="38">
        <v>13770900</v>
      </c>
      <c r="G2630" s="39" t="s">
        <v>5004</v>
      </c>
      <c r="H2630" s="12"/>
      <c r="L2630" s="12"/>
    </row>
    <row r="2631" spans="1:12" ht="15.75" customHeight="1" x14ac:dyDescent="0.3">
      <c r="A2631" s="29" t="s">
        <v>1167</v>
      </c>
      <c r="B2631" s="50" t="str">
        <f>VLOOKUP(A2631,'Sales Order'!A$2:B$1029,1,0)</f>
        <v>SO0929</v>
      </c>
      <c r="C2631" s="29" t="s">
        <v>45</v>
      </c>
      <c r="D2631" s="50" t="str">
        <f>VLOOKUP(C2631,Product!A$2:B$21,1,0)</f>
        <v>PD0008</v>
      </c>
      <c r="E2631" s="36">
        <v>48</v>
      </c>
      <c r="F2631" s="38">
        <v>5650080</v>
      </c>
      <c r="G2631" s="39" t="s">
        <v>5005</v>
      </c>
      <c r="H2631" s="12"/>
      <c r="L2631" s="12"/>
    </row>
    <row r="2632" spans="1:12" ht="15.75" customHeight="1" x14ac:dyDescent="0.3">
      <c r="A2632" s="17" t="s">
        <v>1168</v>
      </c>
      <c r="B2632" s="50" t="str">
        <f>VLOOKUP(A2632,'Sales Order'!A$2:B$1029,1,0)</f>
        <v>SO0930</v>
      </c>
      <c r="C2632" s="29" t="s">
        <v>58</v>
      </c>
      <c r="D2632" s="50" t="str">
        <f>VLOOKUP(C2632,Product!A$2:B$21,1,0)</f>
        <v>PD0012</v>
      </c>
      <c r="E2632" s="36">
        <v>60</v>
      </c>
      <c r="F2632" s="38">
        <v>318039600</v>
      </c>
      <c r="G2632" s="39" t="s">
        <v>5006</v>
      </c>
      <c r="H2632" s="12"/>
      <c r="L2632" s="12"/>
    </row>
    <row r="2633" spans="1:12" ht="15.75" customHeight="1" x14ac:dyDescent="0.3">
      <c r="A2633" s="29" t="s">
        <v>1168</v>
      </c>
      <c r="B2633" s="50" t="str">
        <f>VLOOKUP(A2633,'Sales Order'!A$2:B$1029,1,0)</f>
        <v>SO0930</v>
      </c>
      <c r="C2633" s="29" t="s">
        <v>61</v>
      </c>
      <c r="D2633" s="50" t="str">
        <f>VLOOKUP(C2633,Product!A$2:B$21,1,0)</f>
        <v>PD0013</v>
      </c>
      <c r="E2633" s="36">
        <v>142</v>
      </c>
      <c r="F2633" s="38">
        <v>63256739.999999993</v>
      </c>
      <c r="G2633" s="39" t="s">
        <v>5007</v>
      </c>
      <c r="H2633" s="12"/>
      <c r="L2633" s="12"/>
    </row>
    <row r="2634" spans="1:12" ht="15.75" customHeight="1" x14ac:dyDescent="0.3">
      <c r="A2634" s="17" t="s">
        <v>1169</v>
      </c>
      <c r="B2634" s="50" t="str">
        <f>VLOOKUP(A2634,'Sales Order'!A$2:B$1029,1,0)</f>
        <v>SO0931</v>
      </c>
      <c r="C2634" s="29" t="s">
        <v>25</v>
      </c>
      <c r="D2634" s="50" t="str">
        <f>VLOOKUP(C2634,Product!A$2:B$21,1,0)</f>
        <v>PD0002</v>
      </c>
      <c r="E2634" s="36">
        <v>29</v>
      </c>
      <c r="F2634" s="38">
        <v>504600</v>
      </c>
      <c r="G2634" s="39" t="s">
        <v>5008</v>
      </c>
      <c r="H2634" s="12"/>
      <c r="L2634" s="12"/>
    </row>
    <row r="2635" spans="1:12" ht="15.75" customHeight="1" x14ac:dyDescent="0.3">
      <c r="A2635" s="29" t="s">
        <v>1169</v>
      </c>
      <c r="B2635" s="50" t="str">
        <f>VLOOKUP(A2635,'Sales Order'!A$2:B$1029,1,0)</f>
        <v>SO0931</v>
      </c>
      <c r="C2635" s="29" t="s">
        <v>55</v>
      </c>
      <c r="D2635" s="50" t="str">
        <f>VLOOKUP(C2635,Product!A$2:B$21,1,0)</f>
        <v>PD0011</v>
      </c>
      <c r="E2635" s="36">
        <v>83</v>
      </c>
      <c r="F2635" s="38">
        <v>146847750</v>
      </c>
      <c r="G2635" s="39" t="s">
        <v>5009</v>
      </c>
      <c r="H2635" s="12"/>
      <c r="L2635" s="12"/>
    </row>
    <row r="2636" spans="1:12" ht="15.75" customHeight="1" x14ac:dyDescent="0.3">
      <c r="A2636" s="17" t="s">
        <v>1170</v>
      </c>
      <c r="B2636" s="50" t="str">
        <f>VLOOKUP(A2636,'Sales Order'!A$2:B$1029,1,0)</f>
        <v>SO0932</v>
      </c>
      <c r="C2636" s="29" t="s">
        <v>28</v>
      </c>
      <c r="D2636" s="50" t="str">
        <f>VLOOKUP(C2636,Product!A$2:B$21,1,0)</f>
        <v>PD0003</v>
      </c>
      <c r="E2636" s="36">
        <v>103</v>
      </c>
      <c r="F2636" s="38">
        <v>85344770</v>
      </c>
      <c r="G2636" s="39" t="s">
        <v>5010</v>
      </c>
      <c r="H2636" s="12"/>
      <c r="L2636" s="12"/>
    </row>
    <row r="2637" spans="1:12" ht="15.75" customHeight="1" x14ac:dyDescent="0.3">
      <c r="A2637" s="29" t="s">
        <v>1170</v>
      </c>
      <c r="B2637" s="50" t="str">
        <f>VLOOKUP(A2637,'Sales Order'!A$2:B$1029,1,0)</f>
        <v>SO0932</v>
      </c>
      <c r="C2637" s="29" t="s">
        <v>83</v>
      </c>
      <c r="D2637" s="50" t="str">
        <f>VLOOKUP(C2637,Product!A$2:B$21,1,0)</f>
        <v>PD0020</v>
      </c>
      <c r="E2637" s="36">
        <v>91</v>
      </c>
      <c r="F2637" s="38">
        <v>23076690</v>
      </c>
      <c r="G2637" s="39" t="s">
        <v>5011</v>
      </c>
      <c r="H2637" s="12"/>
      <c r="L2637" s="12"/>
    </row>
    <row r="2638" spans="1:12" ht="15.75" customHeight="1" x14ac:dyDescent="0.3">
      <c r="A2638" s="17" t="s">
        <v>1171</v>
      </c>
      <c r="B2638" s="50" t="str">
        <f>VLOOKUP(A2638,'Sales Order'!A$2:B$1029,1,0)</f>
        <v>SO0933</v>
      </c>
      <c r="C2638" s="29" t="s">
        <v>65</v>
      </c>
      <c r="D2638" s="50" t="str">
        <f>VLOOKUP(C2638,Product!A$2:B$21,1,0)</f>
        <v>PD0014</v>
      </c>
      <c r="E2638" s="36">
        <v>84</v>
      </c>
      <c r="F2638" s="38">
        <v>19063800</v>
      </c>
      <c r="G2638" s="39" t="s">
        <v>5012</v>
      </c>
      <c r="H2638" s="12"/>
      <c r="L2638" s="12"/>
    </row>
    <row r="2639" spans="1:12" ht="15.75" customHeight="1" x14ac:dyDescent="0.3">
      <c r="A2639" s="29" t="s">
        <v>1171</v>
      </c>
      <c r="B2639" s="50" t="str">
        <f>VLOOKUP(A2639,'Sales Order'!A$2:B$1029,1,0)</f>
        <v>SO0933</v>
      </c>
      <c r="C2639" s="29" t="s">
        <v>61</v>
      </c>
      <c r="D2639" s="50" t="str">
        <f>VLOOKUP(C2639,Product!A$2:B$21,1,0)</f>
        <v>PD0013</v>
      </c>
      <c r="E2639" s="36">
        <v>89</v>
      </c>
      <c r="F2639" s="38">
        <v>35810040</v>
      </c>
      <c r="G2639" s="39" t="s">
        <v>5013</v>
      </c>
      <c r="H2639" s="12"/>
      <c r="L2639" s="12"/>
    </row>
    <row r="2640" spans="1:12" ht="15.75" customHeight="1" x14ac:dyDescent="0.3">
      <c r="A2640" s="29" t="s">
        <v>1171</v>
      </c>
      <c r="B2640" s="50" t="str">
        <f>VLOOKUP(A2640,'Sales Order'!A$2:B$1029,1,0)</f>
        <v>SO0933</v>
      </c>
      <c r="C2640" s="29" t="s">
        <v>55</v>
      </c>
      <c r="D2640" s="50" t="str">
        <f>VLOOKUP(C2640,Product!A$2:B$21,1,0)</f>
        <v>PD0011</v>
      </c>
      <c r="E2640" s="36">
        <v>145</v>
      </c>
      <c r="F2640" s="38">
        <v>277064550</v>
      </c>
      <c r="G2640" s="39" t="s">
        <v>5014</v>
      </c>
      <c r="H2640" s="12"/>
      <c r="L2640" s="12"/>
    </row>
    <row r="2641" spans="1:12" ht="15.75" customHeight="1" x14ac:dyDescent="0.3">
      <c r="A2641" s="29" t="s">
        <v>1171</v>
      </c>
      <c r="B2641" s="50" t="str">
        <f>VLOOKUP(A2641,'Sales Order'!A$2:B$1029,1,0)</f>
        <v>SO0933</v>
      </c>
      <c r="C2641" s="29" t="s">
        <v>69</v>
      </c>
      <c r="D2641" s="50" t="str">
        <f>VLOOKUP(C2641,Product!A$2:B$21,1,0)</f>
        <v>PD0015</v>
      </c>
      <c r="E2641" s="36">
        <v>66</v>
      </c>
      <c r="F2641" s="38">
        <v>6816744</v>
      </c>
      <c r="G2641" s="39" t="s">
        <v>5015</v>
      </c>
      <c r="H2641" s="12"/>
      <c r="L2641" s="12"/>
    </row>
    <row r="2642" spans="1:12" ht="15.75" customHeight="1" x14ac:dyDescent="0.3">
      <c r="A2642" s="29" t="s">
        <v>1171</v>
      </c>
      <c r="B2642" s="50" t="str">
        <f>VLOOKUP(A2642,'Sales Order'!A$2:B$1029,1,0)</f>
        <v>SO0933</v>
      </c>
      <c r="C2642" s="29" t="s">
        <v>35</v>
      </c>
      <c r="D2642" s="50" t="str">
        <f>VLOOKUP(C2642,Product!A$2:B$21,1,0)</f>
        <v>PD0005</v>
      </c>
      <c r="E2642" s="36">
        <v>62</v>
      </c>
      <c r="F2642" s="38">
        <v>125202800</v>
      </c>
      <c r="G2642" s="39" t="s">
        <v>5016</v>
      </c>
      <c r="H2642" s="12"/>
      <c r="L2642" s="12"/>
    </row>
    <row r="2643" spans="1:12" ht="15.75" customHeight="1" x14ac:dyDescent="0.3">
      <c r="A2643" s="17" t="s">
        <v>1172</v>
      </c>
      <c r="B2643" s="50" t="str">
        <f>VLOOKUP(A2643,'Sales Order'!A$2:B$1029,1,0)</f>
        <v>SO0934</v>
      </c>
      <c r="C2643" s="29" t="s">
        <v>83</v>
      </c>
      <c r="D2643" s="50" t="str">
        <f>VLOOKUP(C2643,Product!A$2:B$21,1,0)</f>
        <v>PD0020</v>
      </c>
      <c r="E2643" s="36">
        <v>53</v>
      </c>
      <c r="F2643" s="38">
        <v>15651960</v>
      </c>
      <c r="G2643" s="39" t="s">
        <v>5017</v>
      </c>
      <c r="H2643" s="12"/>
      <c r="L2643" s="12"/>
    </row>
    <row r="2644" spans="1:12" ht="15.75" customHeight="1" x14ac:dyDescent="0.3">
      <c r="A2644" s="29" t="s">
        <v>1172</v>
      </c>
      <c r="B2644" s="50" t="str">
        <f>VLOOKUP(A2644,'Sales Order'!A$2:B$1029,1,0)</f>
        <v>SO0934</v>
      </c>
      <c r="C2644" s="29" t="s">
        <v>55</v>
      </c>
      <c r="D2644" s="50" t="str">
        <f>VLOOKUP(C2644,Product!A$2:B$21,1,0)</f>
        <v>PD0011</v>
      </c>
      <c r="E2644" s="36">
        <v>33</v>
      </c>
      <c r="F2644" s="38">
        <v>66948420</v>
      </c>
      <c r="G2644" s="39" t="s">
        <v>5018</v>
      </c>
      <c r="H2644" s="12"/>
      <c r="L2644" s="12"/>
    </row>
    <row r="2645" spans="1:12" ht="15.75" customHeight="1" x14ac:dyDescent="0.3">
      <c r="A2645" s="29" t="s">
        <v>1172</v>
      </c>
      <c r="B2645" s="50" t="str">
        <f>VLOOKUP(A2645,'Sales Order'!A$2:B$1029,1,0)</f>
        <v>SO0934</v>
      </c>
      <c r="C2645" s="29" t="s">
        <v>61</v>
      </c>
      <c r="D2645" s="50" t="str">
        <f>VLOOKUP(C2645,Product!A$2:B$21,1,0)</f>
        <v>PD0013</v>
      </c>
      <c r="E2645" s="36">
        <v>85</v>
      </c>
      <c r="F2645" s="38">
        <v>37864950</v>
      </c>
      <c r="G2645" s="39" t="s">
        <v>5019</v>
      </c>
      <c r="H2645" s="12"/>
      <c r="L2645" s="12"/>
    </row>
    <row r="2646" spans="1:12" ht="15.75" customHeight="1" x14ac:dyDescent="0.3">
      <c r="A2646" s="17" t="s">
        <v>1173</v>
      </c>
      <c r="B2646" s="50" t="str">
        <f>VLOOKUP(A2646,'Sales Order'!A$2:B$1029,1,0)</f>
        <v>SO0935</v>
      </c>
      <c r="C2646" s="29" t="s">
        <v>33</v>
      </c>
      <c r="D2646" s="50" t="str">
        <f>VLOOKUP(C2646,Product!A$2:B$21,1,0)</f>
        <v>PD0004</v>
      </c>
      <c r="E2646" s="36">
        <v>32</v>
      </c>
      <c r="F2646" s="38">
        <v>5420800</v>
      </c>
      <c r="G2646" s="39" t="s">
        <v>5020</v>
      </c>
      <c r="H2646" s="12"/>
      <c r="L2646" s="12"/>
    </row>
    <row r="2647" spans="1:12" ht="15.75" customHeight="1" x14ac:dyDescent="0.3">
      <c r="A2647" s="29" t="s">
        <v>1173</v>
      </c>
      <c r="B2647" s="50" t="str">
        <f>VLOOKUP(A2647,'Sales Order'!A$2:B$1029,1,0)</f>
        <v>SO0935</v>
      </c>
      <c r="C2647" s="29" t="s">
        <v>83</v>
      </c>
      <c r="D2647" s="50" t="str">
        <f>VLOOKUP(C2647,Product!A$2:B$21,1,0)</f>
        <v>PD0020</v>
      </c>
      <c r="E2647" s="36">
        <v>66</v>
      </c>
      <c r="F2647" s="38">
        <v>19491120</v>
      </c>
      <c r="G2647" s="39" t="s">
        <v>5021</v>
      </c>
      <c r="H2647" s="12"/>
      <c r="L2647" s="12"/>
    </row>
    <row r="2648" spans="1:12" ht="15.75" customHeight="1" x14ac:dyDescent="0.3">
      <c r="A2648" s="29" t="s">
        <v>1173</v>
      </c>
      <c r="B2648" s="50" t="str">
        <f>VLOOKUP(A2648,'Sales Order'!A$2:B$1029,1,0)</f>
        <v>SO0935</v>
      </c>
      <c r="C2648" s="29" t="s">
        <v>48</v>
      </c>
      <c r="D2648" s="50" t="str">
        <f>VLOOKUP(C2648,Product!A$2:B$21,1,0)</f>
        <v>PD0009</v>
      </c>
      <c r="E2648" s="36">
        <v>39</v>
      </c>
      <c r="F2648" s="38">
        <v>4729140</v>
      </c>
      <c r="G2648" s="39" t="s">
        <v>5022</v>
      </c>
      <c r="H2648" s="12"/>
      <c r="L2648" s="12"/>
    </row>
    <row r="2649" spans="1:12" ht="15.75" customHeight="1" x14ac:dyDescent="0.3">
      <c r="A2649" s="17" t="s">
        <v>1174</v>
      </c>
      <c r="B2649" s="50" t="str">
        <f>VLOOKUP(A2649,'Sales Order'!A$2:B$1029,1,0)</f>
        <v>SO0936</v>
      </c>
      <c r="C2649" s="29" t="s">
        <v>25</v>
      </c>
      <c r="D2649" s="50" t="str">
        <f>VLOOKUP(C2649,Product!A$2:B$21,1,0)</f>
        <v>PD0002</v>
      </c>
      <c r="E2649" s="36">
        <v>128</v>
      </c>
      <c r="F2649" s="38">
        <v>2048000</v>
      </c>
      <c r="G2649" s="39" t="s">
        <v>5023</v>
      </c>
      <c r="H2649" s="12"/>
      <c r="L2649" s="12"/>
    </row>
    <row r="2650" spans="1:12" ht="15.75" customHeight="1" x14ac:dyDescent="0.3">
      <c r="A2650" s="29" t="s">
        <v>1174</v>
      </c>
      <c r="B2650" s="50" t="str">
        <f>VLOOKUP(A2650,'Sales Order'!A$2:B$1029,1,0)</f>
        <v>SO0936</v>
      </c>
      <c r="C2650" s="29" t="s">
        <v>45</v>
      </c>
      <c r="D2650" s="50" t="str">
        <f>VLOOKUP(C2650,Product!A$2:B$21,1,0)</f>
        <v>PD0008</v>
      </c>
      <c r="E2650" s="36">
        <v>59</v>
      </c>
      <c r="F2650" s="38">
        <v>7736080</v>
      </c>
      <c r="G2650" s="39" t="s">
        <v>5024</v>
      </c>
      <c r="H2650" s="12"/>
      <c r="L2650" s="12"/>
    </row>
    <row r="2651" spans="1:12" ht="15.75" customHeight="1" x14ac:dyDescent="0.3">
      <c r="A2651" s="17" t="s">
        <v>1175</v>
      </c>
      <c r="B2651" s="50" t="str">
        <f>VLOOKUP(A2651,'Sales Order'!A$2:B$1029,1,0)</f>
        <v>SO0937</v>
      </c>
      <c r="C2651" s="29" t="s">
        <v>19</v>
      </c>
      <c r="D2651" s="50" t="str">
        <f>VLOOKUP(C2651,Product!A$2:B$21,1,0)</f>
        <v>PD0001</v>
      </c>
      <c r="E2651" s="36">
        <v>81</v>
      </c>
      <c r="F2651" s="38">
        <v>17950410</v>
      </c>
      <c r="G2651" s="39" t="s">
        <v>5025</v>
      </c>
      <c r="H2651" s="12"/>
      <c r="L2651" s="12"/>
    </row>
    <row r="2652" spans="1:12" ht="15.75" customHeight="1" x14ac:dyDescent="0.3">
      <c r="A2652" s="29" t="s">
        <v>1175</v>
      </c>
      <c r="B2652" s="50" t="str">
        <f>VLOOKUP(A2652,'Sales Order'!A$2:B$1029,1,0)</f>
        <v>SO0937</v>
      </c>
      <c r="C2652" s="29" t="s">
        <v>69</v>
      </c>
      <c r="D2652" s="50" t="str">
        <f>VLOOKUP(C2652,Product!A$2:B$21,1,0)</f>
        <v>PD0015</v>
      </c>
      <c r="E2652" s="36">
        <v>105</v>
      </c>
      <c r="F2652" s="38">
        <v>11272905</v>
      </c>
      <c r="G2652" s="39" t="s">
        <v>5026</v>
      </c>
      <c r="H2652" s="12"/>
      <c r="L2652" s="12"/>
    </row>
    <row r="2653" spans="1:12" ht="15.75" customHeight="1" x14ac:dyDescent="0.3">
      <c r="A2653" s="17" t="s">
        <v>1176</v>
      </c>
      <c r="B2653" s="50" t="str">
        <f>VLOOKUP(A2653,'Sales Order'!A$2:B$1029,1,0)</f>
        <v>SO0938</v>
      </c>
      <c r="C2653" s="29" t="s">
        <v>78</v>
      </c>
      <c r="D2653" s="50" t="str">
        <f>VLOOKUP(C2653,Product!A$2:B$21,1,0)</f>
        <v>PD0018</v>
      </c>
      <c r="E2653" s="36">
        <v>120</v>
      </c>
      <c r="F2653" s="38">
        <v>55540800</v>
      </c>
      <c r="G2653" s="39" t="s">
        <v>5027</v>
      </c>
      <c r="H2653" s="12"/>
      <c r="L2653" s="12"/>
    </row>
    <row r="2654" spans="1:12" ht="15.75" customHeight="1" x14ac:dyDescent="0.3">
      <c r="A2654" s="29" t="s">
        <v>1176</v>
      </c>
      <c r="B2654" s="50" t="str">
        <f>VLOOKUP(A2654,'Sales Order'!A$2:B$1029,1,0)</f>
        <v>SO0938</v>
      </c>
      <c r="C2654" s="29" t="s">
        <v>33</v>
      </c>
      <c r="D2654" s="50" t="str">
        <f>VLOOKUP(C2654,Product!A$2:B$21,1,0)</f>
        <v>PD0004</v>
      </c>
      <c r="E2654" s="36">
        <v>97</v>
      </c>
      <c r="F2654" s="38">
        <v>18352400</v>
      </c>
      <c r="G2654" s="39" t="s">
        <v>5028</v>
      </c>
      <c r="H2654" s="12"/>
      <c r="L2654" s="12"/>
    </row>
    <row r="2655" spans="1:12" ht="15.75" customHeight="1" x14ac:dyDescent="0.3">
      <c r="A2655" s="17" t="s">
        <v>1177</v>
      </c>
      <c r="B2655" s="50" t="str">
        <f>VLOOKUP(A2655,'Sales Order'!A$2:B$1029,1,0)</f>
        <v>SO0939</v>
      </c>
      <c r="C2655" s="29" t="s">
        <v>81</v>
      </c>
      <c r="D2655" s="50" t="str">
        <f>VLOOKUP(C2655,Product!A$2:B$21,1,0)</f>
        <v>PD0019</v>
      </c>
      <c r="E2655" s="36">
        <v>87</v>
      </c>
      <c r="F2655" s="38">
        <v>181845660</v>
      </c>
      <c r="G2655" s="39" t="s">
        <v>5029</v>
      </c>
      <c r="H2655" s="12"/>
      <c r="L2655" s="12"/>
    </row>
    <row r="2656" spans="1:12" ht="15.75" customHeight="1" x14ac:dyDescent="0.3">
      <c r="A2656" s="29" t="s">
        <v>1177</v>
      </c>
      <c r="B2656" s="50" t="str">
        <f>VLOOKUP(A2656,'Sales Order'!A$2:B$1029,1,0)</f>
        <v>SO0939</v>
      </c>
      <c r="C2656" s="29" t="s">
        <v>83</v>
      </c>
      <c r="D2656" s="50" t="str">
        <f>VLOOKUP(C2656,Product!A$2:B$21,1,0)</f>
        <v>PD0020</v>
      </c>
      <c r="E2656" s="36">
        <v>29</v>
      </c>
      <c r="F2656" s="38">
        <v>7912650</v>
      </c>
      <c r="G2656" s="39" t="s">
        <v>5030</v>
      </c>
      <c r="H2656" s="12"/>
      <c r="L2656" s="12"/>
    </row>
    <row r="2657" spans="1:12" ht="15.75" customHeight="1" x14ac:dyDescent="0.3">
      <c r="A2657" s="29" t="s">
        <v>1177</v>
      </c>
      <c r="B2657" s="50" t="str">
        <f>VLOOKUP(A2657,'Sales Order'!A$2:B$1029,1,0)</f>
        <v>SO0939</v>
      </c>
      <c r="C2657" s="29" t="s">
        <v>72</v>
      </c>
      <c r="D2657" s="50" t="str">
        <f>VLOOKUP(C2657,Product!A$2:B$21,1,0)</f>
        <v>PD0016</v>
      </c>
      <c r="E2657" s="36">
        <v>91</v>
      </c>
      <c r="F2657" s="38">
        <v>18708690</v>
      </c>
      <c r="G2657" s="39" t="s">
        <v>5031</v>
      </c>
      <c r="H2657" s="12"/>
      <c r="L2657" s="12"/>
    </row>
    <row r="2658" spans="1:12" ht="15.75" customHeight="1" x14ac:dyDescent="0.3">
      <c r="A2658" s="29" t="s">
        <v>1177</v>
      </c>
      <c r="B2658" s="50" t="str">
        <f>VLOOKUP(A2658,'Sales Order'!A$2:B$1029,1,0)</f>
        <v>SO0939</v>
      </c>
      <c r="C2658" s="29" t="s">
        <v>75</v>
      </c>
      <c r="D2658" s="50" t="str">
        <f>VLOOKUP(C2658,Product!A$2:B$21,1,0)</f>
        <v>PD0017</v>
      </c>
      <c r="E2658" s="36">
        <v>48</v>
      </c>
      <c r="F2658" s="38">
        <v>111936000</v>
      </c>
      <c r="G2658" s="39" t="s">
        <v>5032</v>
      </c>
      <c r="H2658" s="12"/>
      <c r="L2658" s="12"/>
    </row>
    <row r="2659" spans="1:12" ht="15.75" customHeight="1" x14ac:dyDescent="0.3">
      <c r="A2659" s="17" t="s">
        <v>1178</v>
      </c>
      <c r="B2659" s="50" t="str">
        <f>VLOOKUP(A2659,'Sales Order'!A$2:B$1029,1,0)</f>
        <v>SO0940</v>
      </c>
      <c r="C2659" s="29" t="s">
        <v>81</v>
      </c>
      <c r="D2659" s="50" t="str">
        <f>VLOOKUP(C2659,Product!A$2:B$21,1,0)</f>
        <v>PD0019</v>
      </c>
      <c r="E2659" s="36">
        <v>40</v>
      </c>
      <c r="F2659" s="38">
        <v>92783600</v>
      </c>
      <c r="G2659" s="39" t="s">
        <v>5033</v>
      </c>
      <c r="H2659" s="12"/>
      <c r="L2659" s="12"/>
    </row>
    <row r="2660" spans="1:12" ht="15.75" customHeight="1" x14ac:dyDescent="0.3">
      <c r="A2660" s="29" t="s">
        <v>1178</v>
      </c>
      <c r="B2660" s="50" t="str">
        <f>VLOOKUP(A2660,'Sales Order'!A$2:B$1029,1,0)</f>
        <v>SO0940</v>
      </c>
      <c r="C2660" s="29" t="s">
        <v>33</v>
      </c>
      <c r="D2660" s="50" t="str">
        <f>VLOOKUP(C2660,Product!A$2:B$21,1,0)</f>
        <v>PD0004</v>
      </c>
      <c r="E2660" s="36">
        <v>54</v>
      </c>
      <c r="F2660" s="38">
        <v>9147600</v>
      </c>
      <c r="G2660" s="39" t="s">
        <v>5034</v>
      </c>
      <c r="H2660" s="12"/>
      <c r="L2660" s="12"/>
    </row>
    <row r="2661" spans="1:12" ht="15.75" customHeight="1" x14ac:dyDescent="0.3">
      <c r="A2661" s="29" t="s">
        <v>1178</v>
      </c>
      <c r="B2661" s="50" t="str">
        <f>VLOOKUP(A2661,'Sales Order'!A$2:B$1029,1,0)</f>
        <v>SO0940</v>
      </c>
      <c r="C2661" s="29" t="s">
        <v>61</v>
      </c>
      <c r="D2661" s="50" t="str">
        <f>VLOOKUP(C2661,Product!A$2:B$21,1,0)</f>
        <v>PD0013</v>
      </c>
      <c r="E2661" s="36">
        <v>98</v>
      </c>
      <c r="F2661" s="38">
        <v>41308960</v>
      </c>
      <c r="G2661" s="39" t="s">
        <v>5035</v>
      </c>
      <c r="H2661" s="12"/>
      <c r="L2661" s="12"/>
    </row>
    <row r="2662" spans="1:12" ht="15.75" customHeight="1" x14ac:dyDescent="0.3">
      <c r="A2662" s="17" t="s">
        <v>1179</v>
      </c>
      <c r="B2662" s="50" t="str">
        <f>VLOOKUP(A2662,'Sales Order'!A$2:B$1029,1,0)</f>
        <v>SO0941</v>
      </c>
      <c r="C2662" s="29" t="s">
        <v>81</v>
      </c>
      <c r="D2662" s="50" t="str">
        <f>VLOOKUP(C2662,Product!A$2:B$21,1,0)</f>
        <v>PD0019</v>
      </c>
      <c r="E2662" s="36">
        <v>29</v>
      </c>
      <c r="F2662" s="38">
        <v>66528900</v>
      </c>
      <c r="G2662" s="39" t="s">
        <v>5036</v>
      </c>
      <c r="H2662" s="12"/>
      <c r="L2662" s="12"/>
    </row>
    <row r="2663" spans="1:12" ht="15.75" customHeight="1" x14ac:dyDescent="0.3">
      <c r="A2663" s="29" t="s">
        <v>1179</v>
      </c>
      <c r="B2663" s="50" t="str">
        <f>VLOOKUP(A2663,'Sales Order'!A$2:B$1029,1,0)</f>
        <v>SO0941</v>
      </c>
      <c r="C2663" s="29" t="s">
        <v>83</v>
      </c>
      <c r="D2663" s="50" t="str">
        <f>VLOOKUP(C2663,Product!A$2:B$21,1,0)</f>
        <v>PD0020</v>
      </c>
      <c r="E2663" s="36">
        <v>94</v>
      </c>
      <c r="F2663" s="38">
        <v>27458340</v>
      </c>
      <c r="G2663" s="39" t="s">
        <v>5037</v>
      </c>
      <c r="H2663" s="12"/>
      <c r="L2663" s="12"/>
    </row>
    <row r="2664" spans="1:12" ht="15.75" customHeight="1" x14ac:dyDescent="0.3">
      <c r="A2664" s="29" t="s">
        <v>1180</v>
      </c>
      <c r="B2664" s="50" t="str">
        <f>VLOOKUP(A2664,'Sales Order'!A$2:B$1029,1,0)</f>
        <v>SO0942</v>
      </c>
      <c r="C2664" s="29" t="s">
        <v>43</v>
      </c>
      <c r="D2664" s="50" t="str">
        <f>VLOOKUP(C2664,Product!A$2:B$21,1,0)</f>
        <v>PD0007</v>
      </c>
      <c r="E2664" s="36">
        <v>128</v>
      </c>
      <c r="F2664" s="38">
        <v>364544000</v>
      </c>
      <c r="G2664" s="39" t="s">
        <v>5038</v>
      </c>
      <c r="H2664" s="12"/>
      <c r="L2664" s="12"/>
    </row>
    <row r="2665" spans="1:12" ht="15.75" customHeight="1" x14ac:dyDescent="0.3">
      <c r="A2665" s="17" t="s">
        <v>1181</v>
      </c>
      <c r="B2665" s="50" t="str">
        <f>VLOOKUP(A2665,'Sales Order'!A$2:B$1029,1,0)</f>
        <v>SO0943</v>
      </c>
      <c r="C2665" s="29" t="s">
        <v>52</v>
      </c>
      <c r="D2665" s="50" t="str">
        <f>VLOOKUP(C2665,Product!A$2:B$21,1,0)</f>
        <v>PD0010</v>
      </c>
      <c r="E2665" s="36">
        <v>102</v>
      </c>
      <c r="F2665" s="38">
        <v>28509000</v>
      </c>
      <c r="G2665" s="39" t="s">
        <v>5039</v>
      </c>
      <c r="H2665" s="12"/>
      <c r="L2665" s="12"/>
    </row>
    <row r="2666" spans="1:12" ht="15.75" customHeight="1" x14ac:dyDescent="0.3">
      <c r="A2666" s="29" t="s">
        <v>1181</v>
      </c>
      <c r="B2666" s="50" t="str">
        <f>VLOOKUP(A2666,'Sales Order'!A$2:B$1029,1,0)</f>
        <v>SO0943</v>
      </c>
      <c r="C2666" s="29" t="s">
        <v>19</v>
      </c>
      <c r="D2666" s="50" t="str">
        <f>VLOOKUP(C2666,Product!A$2:B$21,1,0)</f>
        <v>PD0001</v>
      </c>
      <c r="E2666" s="36">
        <v>142</v>
      </c>
      <c r="F2666" s="38">
        <v>27932820</v>
      </c>
      <c r="G2666" s="39" t="s">
        <v>5040</v>
      </c>
      <c r="H2666" s="12"/>
      <c r="L2666" s="12"/>
    </row>
    <row r="2667" spans="1:12" ht="15.75" customHeight="1" x14ac:dyDescent="0.3">
      <c r="A2667" s="29" t="s">
        <v>1181</v>
      </c>
      <c r="B2667" s="50" t="str">
        <f>VLOOKUP(A2667,'Sales Order'!A$2:B$1029,1,0)</f>
        <v>SO0943</v>
      </c>
      <c r="C2667" s="29" t="s">
        <v>83</v>
      </c>
      <c r="D2667" s="50" t="str">
        <f>VLOOKUP(C2667,Product!A$2:B$21,1,0)</f>
        <v>PD0020</v>
      </c>
      <c r="E2667" s="36">
        <v>109</v>
      </c>
      <c r="F2667" s="38">
        <v>28341090.000000004</v>
      </c>
      <c r="G2667" s="39" t="s">
        <v>5041</v>
      </c>
      <c r="H2667" s="12"/>
      <c r="L2667" s="12"/>
    </row>
    <row r="2668" spans="1:12" ht="15.75" customHeight="1" x14ac:dyDescent="0.3">
      <c r="A2668" s="29" t="s">
        <v>1181</v>
      </c>
      <c r="B2668" s="50" t="str">
        <f>VLOOKUP(A2668,'Sales Order'!A$2:B$1029,1,0)</f>
        <v>SO0943</v>
      </c>
      <c r="C2668" s="29" t="s">
        <v>81</v>
      </c>
      <c r="D2668" s="50" t="str">
        <f>VLOOKUP(C2668,Product!A$2:B$21,1,0)</f>
        <v>PD0019</v>
      </c>
      <c r="E2668" s="36">
        <v>126</v>
      </c>
      <c r="F2668" s="38">
        <v>282633120</v>
      </c>
      <c r="G2668" s="39" t="s">
        <v>5042</v>
      </c>
      <c r="H2668" s="12"/>
      <c r="L2668" s="12"/>
    </row>
    <row r="2669" spans="1:12" ht="15.75" customHeight="1" x14ac:dyDescent="0.3">
      <c r="A2669" s="29" t="s">
        <v>1181</v>
      </c>
      <c r="B2669" s="50" t="str">
        <f>VLOOKUP(A2669,'Sales Order'!A$2:B$1029,1,0)</f>
        <v>SO0943</v>
      </c>
      <c r="C2669" s="29" t="s">
        <v>75</v>
      </c>
      <c r="D2669" s="50" t="str">
        <f>VLOOKUP(C2669,Product!A$2:B$21,1,0)</f>
        <v>PD0017</v>
      </c>
      <c r="E2669" s="36">
        <v>105</v>
      </c>
      <c r="F2669" s="38">
        <v>211470000</v>
      </c>
      <c r="G2669" s="39" t="s">
        <v>5043</v>
      </c>
      <c r="H2669" s="12"/>
      <c r="L2669" s="12"/>
    </row>
    <row r="2670" spans="1:12" ht="15.75" customHeight="1" x14ac:dyDescent="0.3">
      <c r="A2670" s="17" t="s">
        <v>1182</v>
      </c>
      <c r="B2670" s="50" t="str">
        <f>VLOOKUP(A2670,'Sales Order'!A$2:B$1029,1,0)</f>
        <v>SO0944</v>
      </c>
      <c r="C2670" s="29" t="s">
        <v>45</v>
      </c>
      <c r="D2670" s="50" t="str">
        <f>VLOOKUP(C2670,Product!A$2:B$21,1,0)</f>
        <v>PD0008</v>
      </c>
      <c r="E2670" s="36">
        <v>104</v>
      </c>
      <c r="F2670" s="38">
        <v>14411279.999999998</v>
      </c>
      <c r="G2670" s="39" t="s">
        <v>5044</v>
      </c>
      <c r="H2670" s="12"/>
      <c r="L2670" s="12"/>
    </row>
    <row r="2671" spans="1:12" ht="15.75" customHeight="1" x14ac:dyDescent="0.3">
      <c r="A2671" s="29" t="s">
        <v>1183</v>
      </c>
      <c r="B2671" s="50" t="str">
        <f>VLOOKUP(A2671,'Sales Order'!A$2:B$1029,1,0)</f>
        <v>SO0945</v>
      </c>
      <c r="C2671" s="29" t="s">
        <v>58</v>
      </c>
      <c r="D2671" s="50" t="str">
        <f>VLOOKUP(C2671,Product!A$2:B$21,1,0)</f>
        <v>PD0012</v>
      </c>
      <c r="E2671" s="36">
        <v>67</v>
      </c>
      <c r="F2671" s="38">
        <v>294694140</v>
      </c>
      <c r="G2671" s="39" t="s">
        <v>5045</v>
      </c>
      <c r="H2671" s="12"/>
      <c r="L2671" s="12"/>
    </row>
    <row r="2672" spans="1:12" ht="15.75" customHeight="1" x14ac:dyDescent="0.3">
      <c r="A2672" s="29" t="s">
        <v>1183</v>
      </c>
      <c r="B2672" s="50" t="str">
        <f>VLOOKUP(A2672,'Sales Order'!A$2:B$1029,1,0)</f>
        <v>SO0945</v>
      </c>
      <c r="C2672" s="29" t="s">
        <v>28</v>
      </c>
      <c r="D2672" s="50" t="str">
        <f>VLOOKUP(C2672,Product!A$2:B$21,1,0)</f>
        <v>PD0003</v>
      </c>
      <c r="E2672" s="36">
        <v>93</v>
      </c>
      <c r="F2672" s="38">
        <v>65803080</v>
      </c>
      <c r="G2672" s="39" t="s">
        <v>5046</v>
      </c>
      <c r="H2672" s="12"/>
      <c r="L2672" s="12"/>
    </row>
    <row r="2673" spans="1:12" ht="15.75" customHeight="1" x14ac:dyDescent="0.3">
      <c r="A2673" s="17" t="s">
        <v>1184</v>
      </c>
      <c r="B2673" s="50" t="str">
        <f>VLOOKUP(A2673,'Sales Order'!A$2:B$1029,1,0)</f>
        <v>SO0946</v>
      </c>
      <c r="C2673" s="29" t="s">
        <v>28</v>
      </c>
      <c r="D2673" s="50" t="str">
        <f>VLOOKUP(C2673,Product!A$2:B$21,1,0)</f>
        <v>PD0003</v>
      </c>
      <c r="E2673" s="36">
        <v>26</v>
      </c>
      <c r="F2673" s="38">
        <v>21301280</v>
      </c>
      <c r="G2673" s="39" t="s">
        <v>5047</v>
      </c>
      <c r="H2673" s="12"/>
      <c r="L2673" s="12"/>
    </row>
    <row r="2674" spans="1:12" ht="15.75" customHeight="1" x14ac:dyDescent="0.3">
      <c r="A2674" s="29" t="s">
        <v>1184</v>
      </c>
      <c r="B2674" s="50" t="str">
        <f>VLOOKUP(A2674,'Sales Order'!A$2:B$1029,1,0)</f>
        <v>SO0946</v>
      </c>
      <c r="C2674" s="29" t="s">
        <v>65</v>
      </c>
      <c r="D2674" s="50" t="str">
        <f>VLOOKUP(C2674,Product!A$2:B$21,1,0)</f>
        <v>PD0014</v>
      </c>
      <c r="E2674" s="36">
        <v>67</v>
      </c>
      <c r="F2674" s="38">
        <v>15742320</v>
      </c>
      <c r="G2674" s="39" t="s">
        <v>5048</v>
      </c>
      <c r="H2674" s="12"/>
      <c r="L2674" s="12"/>
    </row>
    <row r="2675" spans="1:12" ht="15.75" customHeight="1" x14ac:dyDescent="0.3">
      <c r="A2675" s="17" t="s">
        <v>1185</v>
      </c>
      <c r="B2675" s="50" t="str">
        <f>VLOOKUP(A2675,'Sales Order'!A$2:B$1029,1,0)</f>
        <v>SO0947</v>
      </c>
      <c r="C2675" s="29" t="s">
        <v>40</v>
      </c>
      <c r="D2675" s="50" t="str">
        <f>VLOOKUP(C2675,Product!A$2:B$21,1,0)</f>
        <v>PD0006</v>
      </c>
      <c r="E2675" s="36">
        <v>143</v>
      </c>
      <c r="F2675" s="38">
        <v>23610730</v>
      </c>
      <c r="G2675" s="39" t="s">
        <v>5049</v>
      </c>
      <c r="H2675" s="12"/>
      <c r="L2675" s="12"/>
    </row>
    <row r="2676" spans="1:12" ht="15.75" customHeight="1" x14ac:dyDescent="0.3">
      <c r="A2676" s="29" t="s">
        <v>1186</v>
      </c>
      <c r="B2676" s="50" t="str">
        <f>VLOOKUP(A2676,'Sales Order'!A$2:B$1029,1,0)</f>
        <v>SO0948</v>
      </c>
      <c r="C2676" s="29" t="s">
        <v>61</v>
      </c>
      <c r="D2676" s="50" t="str">
        <f>VLOOKUP(C2676,Product!A$2:B$21,1,0)</f>
        <v>PD0013</v>
      </c>
      <c r="E2676" s="36">
        <v>140</v>
      </c>
      <c r="F2676" s="38">
        <v>63707000</v>
      </c>
      <c r="G2676" s="39" t="s">
        <v>5050</v>
      </c>
      <c r="H2676" s="12"/>
      <c r="L2676" s="12"/>
    </row>
    <row r="2677" spans="1:12" ht="15.75" customHeight="1" x14ac:dyDescent="0.3">
      <c r="A2677" s="29" t="s">
        <v>1186</v>
      </c>
      <c r="B2677" s="50" t="str">
        <f>VLOOKUP(A2677,'Sales Order'!A$2:B$1029,1,0)</f>
        <v>SO0948</v>
      </c>
      <c r="C2677" s="29" t="s">
        <v>52</v>
      </c>
      <c r="D2677" s="50" t="str">
        <f>VLOOKUP(C2677,Product!A$2:B$21,1,0)</f>
        <v>PD0010</v>
      </c>
      <c r="E2677" s="36">
        <v>69</v>
      </c>
      <c r="F2677" s="38">
        <v>19285500</v>
      </c>
      <c r="G2677" s="39" t="s">
        <v>5051</v>
      </c>
      <c r="H2677" s="12"/>
      <c r="L2677" s="12"/>
    </row>
    <row r="2678" spans="1:12" ht="15.75" customHeight="1" x14ac:dyDescent="0.3">
      <c r="A2678" s="29" t="s">
        <v>1186</v>
      </c>
      <c r="B2678" s="50" t="str">
        <f>VLOOKUP(A2678,'Sales Order'!A$2:B$1029,1,0)</f>
        <v>SO0948</v>
      </c>
      <c r="C2678" s="29" t="s">
        <v>43</v>
      </c>
      <c r="D2678" s="50" t="str">
        <f>VLOOKUP(C2678,Product!A$2:B$21,1,0)</f>
        <v>PD0007</v>
      </c>
      <c r="E2678" s="36">
        <v>140</v>
      </c>
      <c r="F2678" s="38">
        <v>367360000</v>
      </c>
      <c r="G2678" s="39" t="s">
        <v>5052</v>
      </c>
      <c r="H2678" s="12"/>
      <c r="L2678" s="12"/>
    </row>
    <row r="2679" spans="1:12" ht="15.75" customHeight="1" x14ac:dyDescent="0.3">
      <c r="A2679" s="29" t="s">
        <v>1186</v>
      </c>
      <c r="B2679" s="50" t="str">
        <f>VLOOKUP(A2679,'Sales Order'!A$2:B$1029,1,0)</f>
        <v>SO0948</v>
      </c>
      <c r="C2679" s="29" t="s">
        <v>69</v>
      </c>
      <c r="D2679" s="50" t="str">
        <f>VLOOKUP(C2679,Product!A$2:B$21,1,0)</f>
        <v>PD0015</v>
      </c>
      <c r="E2679" s="36">
        <v>77</v>
      </c>
      <c r="F2679" s="38">
        <v>9836442</v>
      </c>
      <c r="G2679" s="39" t="s">
        <v>5053</v>
      </c>
      <c r="H2679" s="12"/>
      <c r="L2679" s="12"/>
    </row>
    <row r="2680" spans="1:12" ht="15.75" customHeight="1" x14ac:dyDescent="0.3">
      <c r="A2680" s="17" t="s">
        <v>1187</v>
      </c>
      <c r="B2680" s="50" t="str">
        <f>VLOOKUP(A2680,'Sales Order'!A$2:B$1029,1,0)</f>
        <v>SO0949</v>
      </c>
      <c r="C2680" s="29" t="s">
        <v>55</v>
      </c>
      <c r="D2680" s="50" t="str">
        <f>VLOOKUP(C2680,Product!A$2:B$21,1,0)</f>
        <v>PD0011</v>
      </c>
      <c r="E2680" s="36">
        <v>104</v>
      </c>
      <c r="F2680" s="38">
        <v>230615840</v>
      </c>
      <c r="G2680" s="39" t="s">
        <v>5054</v>
      </c>
      <c r="H2680" s="12"/>
      <c r="L2680" s="12"/>
    </row>
    <row r="2681" spans="1:12" ht="15.75" customHeight="1" x14ac:dyDescent="0.3">
      <c r="A2681" s="17" t="s">
        <v>1188</v>
      </c>
      <c r="B2681" s="50" t="str">
        <f>VLOOKUP(A2681,'Sales Order'!A$2:B$1029,1,0)</f>
        <v>SO0950</v>
      </c>
      <c r="C2681" s="29" t="s">
        <v>58</v>
      </c>
      <c r="D2681" s="50" t="str">
        <f>VLOOKUP(C2681,Product!A$2:B$21,1,0)</f>
        <v>PD0012</v>
      </c>
      <c r="E2681" s="36">
        <v>52</v>
      </c>
      <c r="F2681" s="38">
        <v>243379240</v>
      </c>
      <c r="G2681" s="39" t="s">
        <v>5055</v>
      </c>
      <c r="H2681" s="12"/>
      <c r="L2681" s="12"/>
    </row>
    <row r="2682" spans="1:12" ht="15.75" customHeight="1" x14ac:dyDescent="0.3">
      <c r="A2682" s="29" t="s">
        <v>1188</v>
      </c>
      <c r="B2682" s="50" t="str">
        <f>VLOOKUP(A2682,'Sales Order'!A$2:B$1029,1,0)</f>
        <v>SO0950</v>
      </c>
      <c r="C2682" s="29" t="s">
        <v>28</v>
      </c>
      <c r="D2682" s="50" t="str">
        <f>VLOOKUP(C2682,Product!A$2:B$21,1,0)</f>
        <v>PD0003</v>
      </c>
      <c r="E2682" s="36">
        <v>147</v>
      </c>
      <c r="F2682" s="38">
        <v>120434160</v>
      </c>
      <c r="G2682" s="39" t="s">
        <v>5056</v>
      </c>
      <c r="H2682" s="12"/>
      <c r="L2682" s="12"/>
    </row>
    <row r="2683" spans="1:12" ht="15.75" customHeight="1" x14ac:dyDescent="0.3">
      <c r="A2683" s="17" t="s">
        <v>1189</v>
      </c>
      <c r="B2683" s="50" t="str">
        <f>VLOOKUP(A2683,'Sales Order'!A$2:B$1029,1,0)</f>
        <v>SO0951</v>
      </c>
      <c r="C2683" s="29" t="s">
        <v>58</v>
      </c>
      <c r="D2683" s="50" t="str">
        <f>VLOOKUP(C2683,Product!A$2:B$21,1,0)</f>
        <v>PD0012</v>
      </c>
      <c r="E2683" s="36">
        <v>86</v>
      </c>
      <c r="F2683" s="38">
        <v>397662280.00000006</v>
      </c>
      <c r="G2683" s="39" t="s">
        <v>5057</v>
      </c>
      <c r="H2683" s="12"/>
      <c r="L2683" s="12"/>
    </row>
    <row r="2684" spans="1:12" ht="15.75" customHeight="1" x14ac:dyDescent="0.3">
      <c r="A2684" s="29" t="s">
        <v>1189</v>
      </c>
      <c r="B2684" s="50" t="str">
        <f>VLOOKUP(A2684,'Sales Order'!A$2:B$1029,1,0)</f>
        <v>SO0951</v>
      </c>
      <c r="C2684" s="29" t="s">
        <v>75</v>
      </c>
      <c r="D2684" s="50" t="str">
        <f>VLOOKUP(C2684,Product!A$2:B$21,1,0)</f>
        <v>PD0017</v>
      </c>
      <c r="E2684" s="36">
        <v>149</v>
      </c>
      <c r="F2684" s="38">
        <v>363262000</v>
      </c>
      <c r="G2684" s="39" t="s">
        <v>5058</v>
      </c>
      <c r="H2684" s="12"/>
      <c r="L2684" s="12"/>
    </row>
    <row r="2685" spans="1:12" ht="15.75" customHeight="1" x14ac:dyDescent="0.3">
      <c r="A2685" s="29" t="s">
        <v>1189</v>
      </c>
      <c r="B2685" s="50" t="str">
        <f>VLOOKUP(A2685,'Sales Order'!A$2:B$1029,1,0)</f>
        <v>SO0951</v>
      </c>
      <c r="C2685" s="29" t="s">
        <v>52</v>
      </c>
      <c r="D2685" s="50" t="str">
        <f>VLOOKUP(C2685,Product!A$2:B$21,1,0)</f>
        <v>PD0010</v>
      </c>
      <c r="E2685" s="36">
        <v>109</v>
      </c>
      <c r="F2685" s="38">
        <v>33653750</v>
      </c>
      <c r="G2685" s="39" t="s">
        <v>5059</v>
      </c>
      <c r="H2685" s="12"/>
      <c r="L2685" s="12"/>
    </row>
    <row r="2686" spans="1:12" ht="15.75" customHeight="1" x14ac:dyDescent="0.3">
      <c r="A2686" s="29" t="s">
        <v>1189</v>
      </c>
      <c r="B2686" s="50" t="str">
        <f>VLOOKUP(A2686,'Sales Order'!A$2:B$1029,1,0)</f>
        <v>SO0951</v>
      </c>
      <c r="C2686" s="29" t="s">
        <v>25</v>
      </c>
      <c r="D2686" s="50" t="str">
        <f>VLOOKUP(C2686,Product!A$2:B$21,1,0)</f>
        <v>PD0002</v>
      </c>
      <c r="E2686" s="36">
        <v>135</v>
      </c>
      <c r="F2686" s="38">
        <v>2079000</v>
      </c>
      <c r="G2686" s="39" t="s">
        <v>5060</v>
      </c>
      <c r="H2686" s="12"/>
      <c r="L2686" s="12"/>
    </row>
    <row r="2687" spans="1:12" ht="15.75" customHeight="1" x14ac:dyDescent="0.3">
      <c r="A2687" s="29" t="s">
        <v>1189</v>
      </c>
      <c r="B2687" s="50" t="str">
        <f>VLOOKUP(A2687,'Sales Order'!A$2:B$1029,1,0)</f>
        <v>SO0951</v>
      </c>
      <c r="C2687" s="29" t="s">
        <v>40</v>
      </c>
      <c r="D2687" s="50" t="str">
        <f>VLOOKUP(C2687,Product!A$2:B$21,1,0)</f>
        <v>PD0006</v>
      </c>
      <c r="E2687" s="36">
        <v>123</v>
      </c>
      <c r="F2687" s="38">
        <v>22365090</v>
      </c>
      <c r="G2687" s="39" t="s">
        <v>5061</v>
      </c>
      <c r="H2687" s="12"/>
      <c r="L2687" s="12"/>
    </row>
    <row r="2688" spans="1:12" ht="15.75" customHeight="1" x14ac:dyDescent="0.3">
      <c r="A2688" s="29" t="s">
        <v>1189</v>
      </c>
      <c r="B2688" s="50" t="str">
        <f>VLOOKUP(A2688,'Sales Order'!A$2:B$1029,1,0)</f>
        <v>SO0951</v>
      </c>
      <c r="C2688" s="29" t="s">
        <v>28</v>
      </c>
      <c r="D2688" s="50" t="str">
        <f>VLOOKUP(C2688,Product!A$2:B$21,1,0)</f>
        <v>PD0003</v>
      </c>
      <c r="E2688" s="36">
        <v>148</v>
      </c>
      <c r="F2688" s="38">
        <v>115741920</v>
      </c>
      <c r="G2688" s="39" t="s">
        <v>5062</v>
      </c>
      <c r="H2688" s="12"/>
      <c r="L2688" s="12"/>
    </row>
    <row r="2689" spans="1:12" ht="15.75" customHeight="1" x14ac:dyDescent="0.3">
      <c r="A2689" s="29" t="s">
        <v>1190</v>
      </c>
      <c r="B2689" s="50" t="str">
        <f>VLOOKUP(A2689,'Sales Order'!A$2:B$1029,1,0)</f>
        <v>SO0952</v>
      </c>
      <c r="C2689" s="29" t="s">
        <v>78</v>
      </c>
      <c r="D2689" s="50" t="str">
        <f>VLOOKUP(C2689,Product!A$2:B$21,1,0)</f>
        <v>PD0018</v>
      </c>
      <c r="E2689" s="36">
        <v>106</v>
      </c>
      <c r="F2689" s="38">
        <v>52444560</v>
      </c>
      <c r="G2689" s="39" t="s">
        <v>5063</v>
      </c>
      <c r="H2689" s="12"/>
      <c r="L2689" s="12"/>
    </row>
    <row r="2690" spans="1:12" ht="15.75" customHeight="1" x14ac:dyDescent="0.3">
      <c r="A2690" s="17" t="s">
        <v>1191</v>
      </c>
      <c r="B2690" s="50" t="str">
        <f>VLOOKUP(A2690,'Sales Order'!A$2:B$1029,1,0)</f>
        <v>SO0953</v>
      </c>
      <c r="C2690" s="29" t="s">
        <v>33</v>
      </c>
      <c r="D2690" s="50" t="str">
        <f>VLOOKUP(C2690,Product!A$2:B$21,1,0)</f>
        <v>PD0004</v>
      </c>
      <c r="E2690" s="36">
        <v>57</v>
      </c>
      <c r="F2690" s="38">
        <v>10909800</v>
      </c>
      <c r="G2690" s="39" t="s">
        <v>5064</v>
      </c>
      <c r="H2690" s="12"/>
      <c r="L2690" s="12"/>
    </row>
    <row r="2691" spans="1:12" ht="15.75" customHeight="1" x14ac:dyDescent="0.3">
      <c r="A2691" s="29" t="s">
        <v>1191</v>
      </c>
      <c r="B2691" s="50" t="str">
        <f>VLOOKUP(A2691,'Sales Order'!A$2:B$1029,1,0)</f>
        <v>SO0953</v>
      </c>
      <c r="C2691" s="29" t="s">
        <v>19</v>
      </c>
      <c r="D2691" s="50" t="str">
        <f>VLOOKUP(C2691,Product!A$2:B$21,1,0)</f>
        <v>PD0001</v>
      </c>
      <c r="E2691" s="36">
        <v>75</v>
      </c>
      <c r="F2691" s="38">
        <v>14193000</v>
      </c>
      <c r="G2691" s="39" t="s">
        <v>5065</v>
      </c>
      <c r="H2691" s="12"/>
      <c r="L2691" s="12"/>
    </row>
    <row r="2692" spans="1:12" ht="15.75" customHeight="1" x14ac:dyDescent="0.3">
      <c r="A2692" s="29" t="s">
        <v>1191</v>
      </c>
      <c r="B2692" s="50" t="str">
        <f>VLOOKUP(A2692,'Sales Order'!A$2:B$1029,1,0)</f>
        <v>SO0953</v>
      </c>
      <c r="C2692" s="29" t="s">
        <v>35</v>
      </c>
      <c r="D2692" s="50" t="str">
        <f>VLOOKUP(C2692,Product!A$2:B$21,1,0)</f>
        <v>PD0005</v>
      </c>
      <c r="E2692" s="36">
        <v>146</v>
      </c>
      <c r="F2692" s="38">
        <v>275604200</v>
      </c>
      <c r="G2692" s="39" t="s">
        <v>5066</v>
      </c>
      <c r="H2692" s="12"/>
      <c r="L2692" s="12"/>
    </row>
    <row r="2693" spans="1:12" ht="15.75" customHeight="1" x14ac:dyDescent="0.3">
      <c r="A2693" s="17" t="s">
        <v>1192</v>
      </c>
      <c r="B2693" s="50" t="str">
        <f>VLOOKUP(A2693,'Sales Order'!A$2:B$1029,1,0)</f>
        <v>SO0954</v>
      </c>
      <c r="C2693" s="29" t="s">
        <v>45</v>
      </c>
      <c r="D2693" s="50" t="str">
        <f>VLOOKUP(C2693,Product!A$2:B$21,1,0)</f>
        <v>PD0008</v>
      </c>
      <c r="E2693" s="36">
        <v>71</v>
      </c>
      <c r="F2693" s="38">
        <v>9415310</v>
      </c>
      <c r="G2693" s="39" t="s">
        <v>5067</v>
      </c>
      <c r="H2693" s="12"/>
      <c r="L2693" s="12"/>
    </row>
    <row r="2694" spans="1:12" ht="15.75" customHeight="1" x14ac:dyDescent="0.3">
      <c r="A2694" s="17" t="s">
        <v>1193</v>
      </c>
      <c r="B2694" s="50" t="str">
        <f>VLOOKUP(A2694,'Sales Order'!A$2:B$1029,1,0)</f>
        <v>SO0955</v>
      </c>
      <c r="C2694" s="29" t="s">
        <v>33</v>
      </c>
      <c r="D2694" s="50" t="str">
        <f>VLOOKUP(C2694,Product!A$2:B$21,1,0)</f>
        <v>PD0004</v>
      </c>
      <c r="E2694" s="36">
        <v>150</v>
      </c>
      <c r="F2694" s="38">
        <v>29700000</v>
      </c>
      <c r="G2694" s="39" t="s">
        <v>5068</v>
      </c>
      <c r="H2694" s="12"/>
      <c r="L2694" s="12"/>
    </row>
    <row r="2695" spans="1:12" ht="15.75" customHeight="1" x14ac:dyDescent="0.3">
      <c r="A2695" s="29" t="s">
        <v>1193</v>
      </c>
      <c r="B2695" s="50" t="str">
        <f>VLOOKUP(A2695,'Sales Order'!A$2:B$1029,1,0)</f>
        <v>SO0955</v>
      </c>
      <c r="C2695" s="29" t="s">
        <v>75</v>
      </c>
      <c r="D2695" s="50" t="str">
        <f>VLOOKUP(C2695,Product!A$2:B$21,1,0)</f>
        <v>PD0017</v>
      </c>
      <c r="E2695" s="36">
        <v>99</v>
      </c>
      <c r="F2695" s="38">
        <v>199386000</v>
      </c>
      <c r="G2695" s="39" t="s">
        <v>5069</v>
      </c>
      <c r="H2695" s="12"/>
      <c r="L2695" s="12"/>
    </row>
    <row r="2696" spans="1:12" ht="15.75" customHeight="1" x14ac:dyDescent="0.3">
      <c r="A2696" s="29" t="s">
        <v>1193</v>
      </c>
      <c r="B2696" s="50" t="str">
        <f>VLOOKUP(A2696,'Sales Order'!A$2:B$1029,1,0)</f>
        <v>SO0955</v>
      </c>
      <c r="C2696" s="29" t="s">
        <v>69</v>
      </c>
      <c r="D2696" s="50" t="str">
        <f>VLOOKUP(C2696,Product!A$2:B$21,1,0)</f>
        <v>PD0015</v>
      </c>
      <c r="E2696" s="36">
        <v>117</v>
      </c>
      <c r="F2696" s="38">
        <v>13515255</v>
      </c>
      <c r="G2696" s="39" t="s">
        <v>5070</v>
      </c>
      <c r="H2696" s="12"/>
      <c r="L2696" s="12"/>
    </row>
    <row r="2697" spans="1:12" ht="15.75" customHeight="1" x14ac:dyDescent="0.3">
      <c r="A2697" s="17" t="s">
        <v>1194</v>
      </c>
      <c r="B2697" s="50" t="str">
        <f>VLOOKUP(A2697,'Sales Order'!A$2:B$1029,1,0)</f>
        <v>SO0956</v>
      </c>
      <c r="C2697" s="29" t="s">
        <v>55</v>
      </c>
      <c r="D2697" s="50" t="str">
        <f>VLOOKUP(C2697,Product!A$2:B$21,1,0)</f>
        <v>PD0011</v>
      </c>
      <c r="E2697" s="36">
        <v>77</v>
      </c>
      <c r="F2697" s="38">
        <v>170744420</v>
      </c>
      <c r="G2697" s="39" t="s">
        <v>5071</v>
      </c>
      <c r="H2697" s="12"/>
      <c r="L2697" s="12"/>
    </row>
    <row r="2698" spans="1:12" ht="15.75" customHeight="1" x14ac:dyDescent="0.3">
      <c r="A2698" s="29" t="s">
        <v>1194</v>
      </c>
      <c r="B2698" s="50" t="str">
        <f>VLOOKUP(A2698,'Sales Order'!A$2:B$1029,1,0)</f>
        <v>SO0956</v>
      </c>
      <c r="C2698" s="29" t="s">
        <v>19</v>
      </c>
      <c r="D2698" s="50" t="str">
        <f>VLOOKUP(C2698,Product!A$2:B$21,1,0)</f>
        <v>PD0001</v>
      </c>
      <c r="E2698" s="36">
        <v>85</v>
      </c>
      <c r="F2698" s="38">
        <v>17355300</v>
      </c>
      <c r="G2698" s="39" t="s">
        <v>5072</v>
      </c>
      <c r="H2698" s="12"/>
      <c r="L2698" s="12"/>
    </row>
    <row r="2699" spans="1:12" ht="15.75" customHeight="1" x14ac:dyDescent="0.3">
      <c r="A2699" s="29" t="s">
        <v>1194</v>
      </c>
      <c r="B2699" s="50" t="str">
        <f>VLOOKUP(A2699,'Sales Order'!A$2:B$1029,1,0)</f>
        <v>SO0956</v>
      </c>
      <c r="C2699" s="29" t="s">
        <v>81</v>
      </c>
      <c r="D2699" s="50" t="str">
        <f>VLOOKUP(C2699,Product!A$2:B$21,1,0)</f>
        <v>PD0019</v>
      </c>
      <c r="E2699" s="36">
        <v>59</v>
      </c>
      <c r="F2699" s="38">
        <v>117304980</v>
      </c>
      <c r="G2699" s="39" t="s">
        <v>5073</v>
      </c>
      <c r="H2699" s="12"/>
      <c r="L2699" s="12"/>
    </row>
    <row r="2700" spans="1:12" ht="15.75" customHeight="1" x14ac:dyDescent="0.3">
      <c r="A2700" s="29" t="s">
        <v>1194</v>
      </c>
      <c r="B2700" s="50" t="str">
        <f>VLOOKUP(A2700,'Sales Order'!A$2:B$1029,1,0)</f>
        <v>SO0956</v>
      </c>
      <c r="C2700" s="29" t="s">
        <v>45</v>
      </c>
      <c r="D2700" s="50" t="str">
        <f>VLOOKUP(C2700,Product!A$2:B$21,1,0)</f>
        <v>PD0008</v>
      </c>
      <c r="E2700" s="36">
        <v>42</v>
      </c>
      <c r="F2700" s="38">
        <v>4881240</v>
      </c>
      <c r="G2700" s="39" t="s">
        <v>5074</v>
      </c>
      <c r="H2700" s="12"/>
      <c r="L2700" s="12"/>
    </row>
    <row r="2701" spans="1:12" ht="15.75" customHeight="1" x14ac:dyDescent="0.3">
      <c r="A2701" s="17" t="s">
        <v>1195</v>
      </c>
      <c r="B2701" s="50" t="str">
        <f>VLOOKUP(A2701,'Sales Order'!A$2:B$1029,1,0)</f>
        <v>SO0957</v>
      </c>
      <c r="C2701" s="29" t="s">
        <v>35</v>
      </c>
      <c r="D2701" s="50" t="str">
        <f>VLOOKUP(C2701,Product!A$2:B$21,1,0)</f>
        <v>PD0005</v>
      </c>
      <c r="E2701" s="36">
        <v>52</v>
      </c>
      <c r="F2701" s="38">
        <v>102726000</v>
      </c>
      <c r="G2701" s="39" t="s">
        <v>5075</v>
      </c>
      <c r="H2701" s="12"/>
      <c r="L2701" s="12"/>
    </row>
    <row r="2702" spans="1:12" ht="15.75" customHeight="1" x14ac:dyDescent="0.3">
      <c r="A2702" s="29" t="s">
        <v>1195</v>
      </c>
      <c r="B2702" s="50" t="str">
        <f>VLOOKUP(A2702,'Sales Order'!A$2:B$1029,1,0)</f>
        <v>SO0957</v>
      </c>
      <c r="C2702" s="29" t="s">
        <v>75</v>
      </c>
      <c r="D2702" s="50" t="str">
        <f>VLOOKUP(C2702,Product!A$2:B$21,1,0)</f>
        <v>PD0017</v>
      </c>
      <c r="E2702" s="36">
        <v>113</v>
      </c>
      <c r="F2702" s="38">
        <v>224587500</v>
      </c>
      <c r="G2702" s="39" t="s">
        <v>5076</v>
      </c>
      <c r="H2702" s="12"/>
      <c r="L2702" s="12"/>
    </row>
    <row r="2703" spans="1:12" ht="15.75" customHeight="1" x14ac:dyDescent="0.3">
      <c r="A2703" s="17" t="s">
        <v>1196</v>
      </c>
      <c r="B2703" s="50" t="str">
        <f>VLOOKUP(A2703,'Sales Order'!A$2:B$1029,1,0)</f>
        <v>SO0958</v>
      </c>
      <c r="C2703" s="29" t="s">
        <v>61</v>
      </c>
      <c r="D2703" s="50" t="str">
        <f>VLOOKUP(C2703,Product!A$2:B$21,1,0)</f>
        <v>PD0013</v>
      </c>
      <c r="E2703" s="36">
        <v>37</v>
      </c>
      <c r="F2703" s="38">
        <v>15419010</v>
      </c>
      <c r="G2703" s="39" t="s">
        <v>5077</v>
      </c>
      <c r="H2703" s="12"/>
      <c r="L2703" s="12"/>
    </row>
    <row r="2704" spans="1:12" ht="15.75" customHeight="1" x14ac:dyDescent="0.3">
      <c r="A2704" s="29" t="s">
        <v>1196</v>
      </c>
      <c r="B2704" s="50" t="str">
        <f>VLOOKUP(A2704,'Sales Order'!A$2:B$1029,1,0)</f>
        <v>SO0958</v>
      </c>
      <c r="C2704" s="29" t="s">
        <v>75</v>
      </c>
      <c r="D2704" s="50" t="str">
        <f>VLOOKUP(C2704,Product!A$2:B$21,1,0)</f>
        <v>PD0017</v>
      </c>
      <c r="E2704" s="36">
        <v>103</v>
      </c>
      <c r="F2704" s="38">
        <v>212901000</v>
      </c>
      <c r="G2704" s="39" t="s">
        <v>5078</v>
      </c>
      <c r="H2704" s="12"/>
      <c r="L2704" s="12"/>
    </row>
    <row r="2705" spans="1:12" ht="15.75" customHeight="1" x14ac:dyDescent="0.3">
      <c r="A2705" s="29" t="s">
        <v>1196</v>
      </c>
      <c r="B2705" s="50" t="str">
        <f>VLOOKUP(A2705,'Sales Order'!A$2:B$1029,1,0)</f>
        <v>SO0958</v>
      </c>
      <c r="C2705" s="29" t="s">
        <v>65</v>
      </c>
      <c r="D2705" s="50" t="str">
        <f>VLOOKUP(C2705,Product!A$2:B$21,1,0)</f>
        <v>PD0014</v>
      </c>
      <c r="E2705" s="36">
        <v>121</v>
      </c>
      <c r="F2705" s="38">
        <v>30368580</v>
      </c>
      <c r="G2705" s="39" t="s">
        <v>5079</v>
      </c>
      <c r="H2705" s="12"/>
      <c r="L2705" s="12"/>
    </row>
    <row r="2706" spans="1:12" ht="15.75" customHeight="1" x14ac:dyDescent="0.3">
      <c r="A2706" s="17" t="s">
        <v>1197</v>
      </c>
      <c r="B2706" s="50" t="str">
        <f>VLOOKUP(A2706,'Sales Order'!A$2:B$1029,1,0)</f>
        <v>SO0959</v>
      </c>
      <c r="C2706" s="29" t="s">
        <v>35</v>
      </c>
      <c r="D2706" s="50" t="str">
        <f>VLOOKUP(C2706,Product!A$2:B$21,1,0)</f>
        <v>PD0005</v>
      </c>
      <c r="E2706" s="36">
        <v>80</v>
      </c>
      <c r="F2706" s="38">
        <v>159796000</v>
      </c>
      <c r="G2706" s="39" t="s">
        <v>5080</v>
      </c>
      <c r="H2706" s="12"/>
      <c r="L2706" s="12"/>
    </row>
    <row r="2707" spans="1:12" ht="15.75" customHeight="1" x14ac:dyDescent="0.3">
      <c r="A2707" s="29" t="s">
        <v>1197</v>
      </c>
      <c r="B2707" s="50" t="str">
        <f>VLOOKUP(A2707,'Sales Order'!A$2:B$1029,1,0)</f>
        <v>SO0959</v>
      </c>
      <c r="C2707" s="29" t="s">
        <v>25</v>
      </c>
      <c r="D2707" s="50" t="str">
        <f>VLOOKUP(C2707,Product!A$2:B$21,1,0)</f>
        <v>PD0002</v>
      </c>
      <c r="E2707" s="36">
        <v>25</v>
      </c>
      <c r="F2707" s="38">
        <v>405000</v>
      </c>
      <c r="G2707" s="39" t="s">
        <v>5081</v>
      </c>
      <c r="H2707" s="12"/>
      <c r="L2707" s="12"/>
    </row>
    <row r="2708" spans="1:12" ht="15.75" customHeight="1" x14ac:dyDescent="0.3">
      <c r="A2708" s="29" t="s">
        <v>1197</v>
      </c>
      <c r="B2708" s="50" t="str">
        <f>VLOOKUP(A2708,'Sales Order'!A$2:B$1029,1,0)</f>
        <v>SO0959</v>
      </c>
      <c r="C2708" s="29" t="s">
        <v>69</v>
      </c>
      <c r="D2708" s="50" t="str">
        <f>VLOOKUP(C2708,Product!A$2:B$21,1,0)</f>
        <v>PD0015</v>
      </c>
      <c r="E2708" s="36">
        <v>42</v>
      </c>
      <c r="F2708" s="38">
        <v>4965786</v>
      </c>
      <c r="G2708" s="39" t="s">
        <v>5082</v>
      </c>
      <c r="H2708" s="12"/>
      <c r="L2708" s="12"/>
    </row>
    <row r="2709" spans="1:12" ht="15.75" customHeight="1" x14ac:dyDescent="0.3">
      <c r="A2709" s="17" t="s">
        <v>1198</v>
      </c>
      <c r="B2709" s="50" t="str">
        <f>VLOOKUP(A2709,'Sales Order'!A$2:B$1029,1,0)</f>
        <v>SO0960</v>
      </c>
      <c r="C2709" s="29" t="s">
        <v>65</v>
      </c>
      <c r="D2709" s="50" t="str">
        <f>VLOOKUP(C2709,Product!A$2:B$21,1,0)</f>
        <v>PD0014</v>
      </c>
      <c r="E2709" s="36">
        <v>70</v>
      </c>
      <c r="F2709" s="38">
        <v>17007900</v>
      </c>
      <c r="G2709" s="39" t="s">
        <v>5083</v>
      </c>
      <c r="H2709" s="12"/>
      <c r="L2709" s="12"/>
    </row>
    <row r="2710" spans="1:12" ht="15.75" customHeight="1" x14ac:dyDescent="0.3">
      <c r="A2710" s="29" t="s">
        <v>1198</v>
      </c>
      <c r="B2710" s="50" t="str">
        <f>VLOOKUP(A2710,'Sales Order'!A$2:B$1029,1,0)</f>
        <v>SO0960</v>
      </c>
      <c r="C2710" s="29" t="s">
        <v>33</v>
      </c>
      <c r="D2710" s="50" t="str">
        <f>VLOOKUP(C2710,Product!A$2:B$21,1,0)</f>
        <v>PD0004</v>
      </c>
      <c r="E2710" s="36">
        <v>104</v>
      </c>
      <c r="F2710" s="38">
        <v>20363200</v>
      </c>
      <c r="G2710" s="39" t="s">
        <v>5084</v>
      </c>
      <c r="H2710" s="12"/>
      <c r="L2710" s="12"/>
    </row>
    <row r="2711" spans="1:12" ht="15.75" customHeight="1" x14ac:dyDescent="0.3">
      <c r="A2711" s="29" t="s">
        <v>1198</v>
      </c>
      <c r="B2711" s="50" t="str">
        <f>VLOOKUP(A2711,'Sales Order'!A$2:B$1029,1,0)</f>
        <v>SO0960</v>
      </c>
      <c r="C2711" s="29" t="s">
        <v>75</v>
      </c>
      <c r="D2711" s="50" t="str">
        <f>VLOOKUP(C2711,Product!A$2:B$21,1,0)</f>
        <v>PD0017</v>
      </c>
      <c r="E2711" s="36">
        <v>149</v>
      </c>
      <c r="F2711" s="38">
        <v>359313500</v>
      </c>
      <c r="G2711" s="39" t="s">
        <v>5085</v>
      </c>
      <c r="H2711" s="12"/>
      <c r="L2711" s="12"/>
    </row>
    <row r="2712" spans="1:12" ht="15.75" customHeight="1" x14ac:dyDescent="0.3">
      <c r="A2712" s="17" t="s">
        <v>1199</v>
      </c>
      <c r="B2712" s="50" t="str">
        <f>VLOOKUP(A2712,'Sales Order'!A$2:B$1029,1,0)</f>
        <v>SO0961</v>
      </c>
      <c r="C2712" s="29" t="s">
        <v>25</v>
      </c>
      <c r="D2712" s="50" t="str">
        <f>VLOOKUP(C2712,Product!A$2:B$21,1,0)</f>
        <v>PD0002</v>
      </c>
      <c r="E2712" s="36">
        <v>130</v>
      </c>
      <c r="F2712" s="38">
        <v>1976000</v>
      </c>
      <c r="G2712" s="39" t="s">
        <v>5086</v>
      </c>
      <c r="H2712" s="12"/>
      <c r="L2712" s="12"/>
    </row>
    <row r="2713" spans="1:12" ht="15.75" customHeight="1" x14ac:dyDescent="0.3">
      <c r="A2713" s="29" t="s">
        <v>1199</v>
      </c>
      <c r="B2713" s="50" t="str">
        <f>VLOOKUP(A2713,'Sales Order'!A$2:B$1029,1,0)</f>
        <v>SO0961</v>
      </c>
      <c r="C2713" s="29" t="s">
        <v>19</v>
      </c>
      <c r="D2713" s="50" t="str">
        <f>VLOOKUP(C2713,Product!A$2:B$21,1,0)</f>
        <v>PD0001</v>
      </c>
      <c r="E2713" s="36">
        <v>75</v>
      </c>
      <c r="F2713" s="38">
        <v>15313500.000000002</v>
      </c>
      <c r="G2713" s="39" t="s">
        <v>5087</v>
      </c>
      <c r="H2713" s="12"/>
      <c r="L2713" s="12"/>
    </row>
    <row r="2714" spans="1:12" ht="15.75" customHeight="1" x14ac:dyDescent="0.3">
      <c r="A2714" s="29" t="s">
        <v>1199</v>
      </c>
      <c r="B2714" s="50" t="str">
        <f>VLOOKUP(A2714,'Sales Order'!A$2:B$1029,1,0)</f>
        <v>SO0961</v>
      </c>
      <c r="C2714" s="29" t="s">
        <v>72</v>
      </c>
      <c r="D2714" s="50" t="str">
        <f>VLOOKUP(C2714,Product!A$2:B$21,1,0)</f>
        <v>PD0016</v>
      </c>
      <c r="E2714" s="36">
        <v>34</v>
      </c>
      <c r="F2714" s="38">
        <v>8624100</v>
      </c>
      <c r="G2714" s="39" t="s">
        <v>5088</v>
      </c>
      <c r="H2714" s="12"/>
      <c r="L2714" s="12"/>
    </row>
    <row r="2715" spans="1:12" ht="15.75" customHeight="1" x14ac:dyDescent="0.3">
      <c r="A2715" s="29" t="s">
        <v>1199</v>
      </c>
      <c r="B2715" s="50" t="str">
        <f>VLOOKUP(A2715,'Sales Order'!A$2:B$1029,1,0)</f>
        <v>SO0961</v>
      </c>
      <c r="C2715" s="29" t="s">
        <v>58</v>
      </c>
      <c r="D2715" s="50" t="str">
        <f>VLOOKUP(C2715,Product!A$2:B$21,1,0)</f>
        <v>PD0012</v>
      </c>
      <c r="E2715" s="36">
        <v>85</v>
      </c>
      <c r="F2715" s="38">
        <v>402624600</v>
      </c>
      <c r="G2715" s="39" t="s">
        <v>5089</v>
      </c>
      <c r="H2715" s="12"/>
      <c r="L2715" s="12"/>
    </row>
    <row r="2716" spans="1:12" ht="15.75" customHeight="1" x14ac:dyDescent="0.3">
      <c r="A2716" s="17" t="s">
        <v>1200</v>
      </c>
      <c r="B2716" s="50" t="str">
        <f>VLOOKUP(A2716,'Sales Order'!A$2:B$1029,1,0)</f>
        <v>SO0962</v>
      </c>
      <c r="C2716" s="29" t="s">
        <v>35</v>
      </c>
      <c r="D2716" s="50" t="str">
        <f>VLOOKUP(C2716,Product!A$2:B$21,1,0)</f>
        <v>PD0005</v>
      </c>
      <c r="E2716" s="36">
        <v>76</v>
      </c>
      <c r="F2716" s="38">
        <v>128451400</v>
      </c>
      <c r="G2716" s="39" t="s">
        <v>5090</v>
      </c>
      <c r="H2716" s="12"/>
      <c r="L2716" s="12"/>
    </row>
    <row r="2717" spans="1:12" ht="15.75" customHeight="1" x14ac:dyDescent="0.3">
      <c r="A2717" s="29" t="s">
        <v>1200</v>
      </c>
      <c r="B2717" s="50" t="str">
        <f>VLOOKUP(A2717,'Sales Order'!A$2:B$1029,1,0)</f>
        <v>SO0962</v>
      </c>
      <c r="C2717" s="29" t="s">
        <v>83</v>
      </c>
      <c r="D2717" s="50" t="str">
        <f>VLOOKUP(C2717,Product!A$2:B$21,1,0)</f>
        <v>PD0020</v>
      </c>
      <c r="E2717" s="36">
        <v>96</v>
      </c>
      <c r="F2717" s="38">
        <v>24960960</v>
      </c>
      <c r="G2717" s="39" t="s">
        <v>5091</v>
      </c>
      <c r="H2717" s="12"/>
      <c r="L2717" s="12"/>
    </row>
    <row r="2718" spans="1:12" ht="15.75" customHeight="1" x14ac:dyDescent="0.3">
      <c r="A2718" s="29" t="s">
        <v>1200</v>
      </c>
      <c r="B2718" s="50" t="str">
        <f>VLOOKUP(A2718,'Sales Order'!A$2:B$1029,1,0)</f>
        <v>SO0962</v>
      </c>
      <c r="C2718" s="29" t="s">
        <v>48</v>
      </c>
      <c r="D2718" s="50" t="str">
        <f>VLOOKUP(C2718,Product!A$2:B$21,1,0)</f>
        <v>PD0009</v>
      </c>
      <c r="E2718" s="36">
        <v>45</v>
      </c>
      <c r="F2718" s="38">
        <v>4702050</v>
      </c>
      <c r="G2718" s="39" t="s">
        <v>5092</v>
      </c>
      <c r="H2718" s="12"/>
      <c r="L2718" s="12"/>
    </row>
    <row r="2719" spans="1:12" ht="15.75" customHeight="1" x14ac:dyDescent="0.3">
      <c r="A2719" s="17" t="s">
        <v>1201</v>
      </c>
      <c r="B2719" s="50" t="str">
        <f>VLOOKUP(A2719,'Sales Order'!A$2:B$1029,1,0)</f>
        <v>SO0963</v>
      </c>
      <c r="C2719" s="29" t="s">
        <v>25</v>
      </c>
      <c r="D2719" s="50" t="str">
        <f>VLOOKUP(C2719,Product!A$2:B$21,1,0)</f>
        <v>PD0002</v>
      </c>
      <c r="E2719" s="36">
        <v>25</v>
      </c>
      <c r="F2719" s="38">
        <v>405000</v>
      </c>
      <c r="G2719" s="39" t="s">
        <v>5093</v>
      </c>
      <c r="H2719" s="12"/>
      <c r="L2719" s="12"/>
    </row>
    <row r="2720" spans="1:12" ht="15.75" customHeight="1" x14ac:dyDescent="0.3">
      <c r="A2720" s="29" t="s">
        <v>1201</v>
      </c>
      <c r="B2720" s="50" t="str">
        <f>VLOOKUP(A2720,'Sales Order'!A$2:B$1029,1,0)</f>
        <v>SO0963</v>
      </c>
      <c r="C2720" s="29" t="s">
        <v>75</v>
      </c>
      <c r="D2720" s="50" t="str">
        <f>VLOOKUP(C2720,Product!A$2:B$21,1,0)</f>
        <v>PD0017</v>
      </c>
      <c r="E2720" s="36">
        <v>140</v>
      </c>
      <c r="F2720" s="38">
        <v>311640000</v>
      </c>
      <c r="G2720" s="39" t="s">
        <v>5094</v>
      </c>
      <c r="H2720" s="12"/>
      <c r="L2720" s="12"/>
    </row>
    <row r="2721" spans="1:12" ht="15.75" customHeight="1" x14ac:dyDescent="0.3">
      <c r="A2721" s="29" t="s">
        <v>1201</v>
      </c>
      <c r="B2721" s="50" t="str">
        <f>VLOOKUP(A2721,'Sales Order'!A$2:B$1029,1,0)</f>
        <v>SO0963</v>
      </c>
      <c r="C2721" s="29" t="s">
        <v>78</v>
      </c>
      <c r="D2721" s="50" t="str">
        <f>VLOOKUP(C2721,Product!A$2:B$21,1,0)</f>
        <v>PD0018</v>
      </c>
      <c r="E2721" s="36">
        <v>132</v>
      </c>
      <c r="F2721" s="38">
        <v>55476960</v>
      </c>
      <c r="G2721" s="39" t="s">
        <v>5095</v>
      </c>
      <c r="H2721" s="12"/>
      <c r="L2721" s="12"/>
    </row>
    <row r="2722" spans="1:12" ht="15.75" customHeight="1" x14ac:dyDescent="0.3">
      <c r="A2722" s="17" t="s">
        <v>1202</v>
      </c>
      <c r="B2722" s="50" t="str">
        <f>VLOOKUP(A2722,'Sales Order'!A$2:B$1029,1,0)</f>
        <v>SO0964</v>
      </c>
      <c r="C2722" s="29" t="s">
        <v>45</v>
      </c>
      <c r="D2722" s="50" t="str">
        <f>VLOOKUP(C2722,Product!A$2:B$21,1,0)</f>
        <v>PD0008</v>
      </c>
      <c r="E2722" s="36">
        <v>131</v>
      </c>
      <c r="F2722" s="38">
        <v>14834440</v>
      </c>
      <c r="G2722" s="39" t="s">
        <v>5096</v>
      </c>
      <c r="H2722" s="12"/>
      <c r="L2722" s="12"/>
    </row>
    <row r="2723" spans="1:12" ht="15.75" customHeight="1" x14ac:dyDescent="0.3">
      <c r="A2723" s="29" t="s">
        <v>1202</v>
      </c>
      <c r="B2723" s="50" t="str">
        <f>VLOOKUP(A2723,'Sales Order'!A$2:B$1029,1,0)</f>
        <v>SO0964</v>
      </c>
      <c r="C2723" s="29" t="s">
        <v>75</v>
      </c>
      <c r="D2723" s="50" t="str">
        <f>VLOOKUP(C2723,Product!A$2:B$21,1,0)</f>
        <v>PD0017</v>
      </c>
      <c r="E2723" s="36">
        <v>135</v>
      </c>
      <c r="F2723" s="38">
        <v>332707500</v>
      </c>
      <c r="G2723" s="39" t="s">
        <v>5097</v>
      </c>
      <c r="H2723" s="12"/>
      <c r="L2723" s="12"/>
    </row>
    <row r="2724" spans="1:12" ht="15.75" customHeight="1" x14ac:dyDescent="0.3">
      <c r="A2724" s="29" t="s">
        <v>1202</v>
      </c>
      <c r="B2724" s="50" t="str">
        <f>VLOOKUP(A2724,'Sales Order'!A$2:B$1029,1,0)</f>
        <v>SO0964</v>
      </c>
      <c r="C2724" s="29" t="s">
        <v>48</v>
      </c>
      <c r="D2724" s="50" t="str">
        <f>VLOOKUP(C2724,Product!A$2:B$21,1,0)</f>
        <v>PD0009</v>
      </c>
      <c r="E2724" s="36">
        <v>140</v>
      </c>
      <c r="F2724" s="38">
        <v>16795800</v>
      </c>
      <c r="G2724" s="39" t="s">
        <v>5098</v>
      </c>
      <c r="H2724" s="12"/>
      <c r="L2724" s="12"/>
    </row>
    <row r="2725" spans="1:12" ht="15.75" customHeight="1" x14ac:dyDescent="0.3">
      <c r="A2725" s="29" t="s">
        <v>1202</v>
      </c>
      <c r="B2725" s="50" t="str">
        <f>VLOOKUP(A2725,'Sales Order'!A$2:B$1029,1,0)</f>
        <v>SO0964</v>
      </c>
      <c r="C2725" s="29" t="s">
        <v>25</v>
      </c>
      <c r="D2725" s="50" t="str">
        <f>VLOOKUP(C2725,Product!A$2:B$21,1,0)</f>
        <v>PD0002</v>
      </c>
      <c r="E2725" s="36">
        <v>98</v>
      </c>
      <c r="F2725" s="38">
        <v>1666000</v>
      </c>
      <c r="G2725" s="39" t="s">
        <v>5099</v>
      </c>
      <c r="H2725" s="12"/>
      <c r="L2725" s="12"/>
    </row>
    <row r="2726" spans="1:12" ht="15.75" customHeight="1" x14ac:dyDescent="0.3">
      <c r="A2726" s="29" t="s">
        <v>1203</v>
      </c>
      <c r="B2726" s="50" t="str">
        <f>VLOOKUP(A2726,'Sales Order'!A$2:B$1029,1,0)</f>
        <v>SO0965</v>
      </c>
      <c r="C2726" s="29" t="s">
        <v>78</v>
      </c>
      <c r="D2726" s="50" t="str">
        <f>VLOOKUP(C2726,Product!A$2:B$21,1,0)</f>
        <v>PD0018</v>
      </c>
      <c r="E2726" s="36">
        <v>110</v>
      </c>
      <c r="F2726" s="38">
        <v>43890000</v>
      </c>
      <c r="G2726" s="39" t="s">
        <v>5100</v>
      </c>
      <c r="H2726" s="12"/>
      <c r="L2726" s="12"/>
    </row>
    <row r="2727" spans="1:12" ht="15.75" customHeight="1" x14ac:dyDescent="0.3">
      <c r="A2727" s="29" t="s">
        <v>1203</v>
      </c>
      <c r="B2727" s="50" t="str">
        <f>VLOOKUP(A2727,'Sales Order'!A$2:B$1029,1,0)</f>
        <v>SO0965</v>
      </c>
      <c r="C2727" s="29" t="s">
        <v>81</v>
      </c>
      <c r="D2727" s="50" t="str">
        <f>VLOOKUP(C2727,Product!A$2:B$21,1,0)</f>
        <v>PD0019</v>
      </c>
      <c r="E2727" s="36">
        <v>38</v>
      </c>
      <c r="F2727" s="38">
        <v>79426840</v>
      </c>
      <c r="G2727" s="39" t="s">
        <v>5101</v>
      </c>
      <c r="H2727" s="12"/>
      <c r="L2727" s="12"/>
    </row>
    <row r="2728" spans="1:12" ht="15.75" customHeight="1" x14ac:dyDescent="0.3">
      <c r="A2728" s="17" t="s">
        <v>1204</v>
      </c>
      <c r="B2728" s="50" t="str">
        <f>VLOOKUP(A2728,'Sales Order'!A$2:B$1029,1,0)</f>
        <v>SO0966</v>
      </c>
      <c r="C2728" s="29" t="s">
        <v>19</v>
      </c>
      <c r="D2728" s="50" t="str">
        <f>VLOOKUP(C2728,Product!A$2:B$21,1,0)</f>
        <v>PD0001</v>
      </c>
      <c r="E2728" s="36">
        <v>117</v>
      </c>
      <c r="F2728" s="38">
        <v>21849750</v>
      </c>
      <c r="G2728" s="39" t="s">
        <v>5102</v>
      </c>
      <c r="H2728" s="12"/>
      <c r="L2728" s="12"/>
    </row>
    <row r="2729" spans="1:12" ht="15.75" customHeight="1" x14ac:dyDescent="0.3">
      <c r="A2729" s="17" t="s">
        <v>1205</v>
      </c>
      <c r="B2729" s="50" t="str">
        <f>VLOOKUP(A2729,'Sales Order'!A$2:B$1029,1,0)</f>
        <v>SO0967</v>
      </c>
      <c r="C2729" s="29" t="s">
        <v>65</v>
      </c>
      <c r="D2729" s="50" t="str">
        <f>VLOOKUP(C2729,Product!A$2:B$21,1,0)</f>
        <v>PD0014</v>
      </c>
      <c r="E2729" s="36">
        <v>37</v>
      </c>
      <c r="F2729" s="38">
        <v>7903200</v>
      </c>
      <c r="G2729" s="39" t="s">
        <v>5103</v>
      </c>
      <c r="H2729" s="12"/>
      <c r="L2729" s="12"/>
    </row>
    <row r="2730" spans="1:12" ht="15.75" customHeight="1" x14ac:dyDescent="0.3">
      <c r="A2730" s="29" t="s">
        <v>1205</v>
      </c>
      <c r="B2730" s="50" t="str">
        <f>VLOOKUP(A2730,'Sales Order'!A$2:B$1029,1,0)</f>
        <v>SO0967</v>
      </c>
      <c r="C2730" s="29" t="s">
        <v>81</v>
      </c>
      <c r="D2730" s="50" t="str">
        <f>VLOOKUP(C2730,Product!A$2:B$21,1,0)</f>
        <v>PD0019</v>
      </c>
      <c r="E2730" s="36">
        <v>48</v>
      </c>
      <c r="F2730" s="38">
        <v>91764000</v>
      </c>
      <c r="G2730" s="39" t="s">
        <v>5104</v>
      </c>
      <c r="H2730" s="12"/>
      <c r="L2730" s="12"/>
    </row>
    <row r="2731" spans="1:12" ht="15.75" customHeight="1" x14ac:dyDescent="0.3">
      <c r="A2731" s="29" t="s">
        <v>1205</v>
      </c>
      <c r="B2731" s="50" t="str">
        <f>VLOOKUP(A2731,'Sales Order'!A$2:B$1029,1,0)</f>
        <v>SO0967</v>
      </c>
      <c r="C2731" s="29" t="s">
        <v>78</v>
      </c>
      <c r="D2731" s="50" t="str">
        <f>VLOOKUP(C2731,Product!A$2:B$21,1,0)</f>
        <v>PD0018</v>
      </c>
      <c r="E2731" s="36">
        <v>49</v>
      </c>
      <c r="F2731" s="38">
        <v>22679160</v>
      </c>
      <c r="G2731" s="39" t="s">
        <v>5105</v>
      </c>
      <c r="H2731" s="12"/>
      <c r="L2731" s="12"/>
    </row>
    <row r="2732" spans="1:12" ht="15.75" customHeight="1" x14ac:dyDescent="0.3">
      <c r="A2732" s="29" t="s">
        <v>1205</v>
      </c>
      <c r="B2732" s="50" t="str">
        <f>VLOOKUP(A2732,'Sales Order'!A$2:B$1029,1,0)</f>
        <v>SO0967</v>
      </c>
      <c r="C2732" s="29" t="s">
        <v>45</v>
      </c>
      <c r="D2732" s="50" t="str">
        <f>VLOOKUP(C2732,Product!A$2:B$21,1,0)</f>
        <v>PD0008</v>
      </c>
      <c r="E2732" s="36">
        <v>78</v>
      </c>
      <c r="F2732" s="38">
        <v>10692240</v>
      </c>
      <c r="G2732" s="39" t="s">
        <v>5106</v>
      </c>
      <c r="H2732" s="12"/>
      <c r="L2732" s="12"/>
    </row>
    <row r="2733" spans="1:12" ht="15.75" customHeight="1" x14ac:dyDescent="0.3">
      <c r="A2733" s="17" t="s">
        <v>1206</v>
      </c>
      <c r="B2733" s="50" t="str">
        <f>VLOOKUP(A2733,'Sales Order'!A$2:B$1029,1,0)</f>
        <v>SO0968</v>
      </c>
      <c r="C2733" s="29" t="s">
        <v>83</v>
      </c>
      <c r="D2733" s="50" t="str">
        <f>VLOOKUP(C2733,Product!A$2:B$21,1,0)</f>
        <v>PD0020</v>
      </c>
      <c r="E2733" s="36">
        <v>116</v>
      </c>
      <c r="F2733" s="38">
        <v>29788800</v>
      </c>
      <c r="G2733" s="39" t="s">
        <v>5107</v>
      </c>
      <c r="H2733" s="12"/>
      <c r="L2733" s="12"/>
    </row>
    <row r="2734" spans="1:12" ht="15.75" customHeight="1" x14ac:dyDescent="0.3">
      <c r="A2734" s="29" t="s">
        <v>1206</v>
      </c>
      <c r="B2734" s="50" t="str">
        <f>VLOOKUP(A2734,'Sales Order'!A$2:B$1029,1,0)</f>
        <v>SO0968</v>
      </c>
      <c r="C2734" s="29" t="s">
        <v>65</v>
      </c>
      <c r="D2734" s="50" t="str">
        <f>VLOOKUP(C2734,Product!A$2:B$21,1,0)</f>
        <v>PD0014</v>
      </c>
      <c r="E2734" s="36">
        <v>137</v>
      </c>
      <c r="F2734" s="38">
        <v>28897410</v>
      </c>
      <c r="G2734" s="39" t="s">
        <v>5108</v>
      </c>
      <c r="H2734" s="12"/>
      <c r="L2734" s="12"/>
    </row>
    <row r="2735" spans="1:12" ht="15.75" customHeight="1" x14ac:dyDescent="0.3">
      <c r="A2735" s="29" t="s">
        <v>1206</v>
      </c>
      <c r="B2735" s="50" t="str">
        <f>VLOOKUP(A2735,'Sales Order'!A$2:B$1029,1,0)</f>
        <v>SO0968</v>
      </c>
      <c r="C2735" s="29" t="s">
        <v>75</v>
      </c>
      <c r="D2735" s="50" t="str">
        <f>VLOOKUP(C2735,Product!A$2:B$21,1,0)</f>
        <v>PD0017</v>
      </c>
      <c r="E2735" s="36">
        <v>55</v>
      </c>
      <c r="F2735" s="38">
        <v>109312500</v>
      </c>
      <c r="G2735" s="39" t="s">
        <v>5109</v>
      </c>
      <c r="H2735" s="12"/>
      <c r="L2735" s="12"/>
    </row>
    <row r="2736" spans="1:12" ht="15.75" customHeight="1" x14ac:dyDescent="0.3">
      <c r="A2736" s="29" t="s">
        <v>1206</v>
      </c>
      <c r="B2736" s="50" t="str">
        <f>VLOOKUP(A2736,'Sales Order'!A$2:B$1029,1,0)</f>
        <v>SO0968</v>
      </c>
      <c r="C2736" s="29" t="s">
        <v>19</v>
      </c>
      <c r="D2736" s="50" t="str">
        <f>VLOOKUP(C2736,Product!A$2:B$21,1,0)</f>
        <v>PD0001</v>
      </c>
      <c r="E2736" s="36">
        <v>101</v>
      </c>
      <c r="F2736" s="38">
        <v>19616220</v>
      </c>
      <c r="G2736" s="39" t="s">
        <v>5110</v>
      </c>
      <c r="H2736" s="12"/>
      <c r="L2736" s="12"/>
    </row>
    <row r="2737" spans="1:12" ht="15.75" customHeight="1" x14ac:dyDescent="0.3">
      <c r="A2737" s="29" t="s">
        <v>1206</v>
      </c>
      <c r="B2737" s="50" t="str">
        <f>VLOOKUP(A2737,'Sales Order'!A$2:B$1029,1,0)</f>
        <v>SO0968</v>
      </c>
      <c r="C2737" s="29" t="s">
        <v>72</v>
      </c>
      <c r="D2737" s="50" t="str">
        <f>VLOOKUP(C2737,Product!A$2:B$21,1,0)</f>
        <v>PD0016</v>
      </c>
      <c r="E2737" s="36">
        <v>26</v>
      </c>
      <c r="F2737" s="38">
        <v>6108960</v>
      </c>
      <c r="G2737" s="39" t="s">
        <v>5111</v>
      </c>
      <c r="H2737" s="12"/>
      <c r="L2737" s="12"/>
    </row>
    <row r="2738" spans="1:12" ht="15.75" customHeight="1" x14ac:dyDescent="0.3">
      <c r="A2738" s="29" t="s">
        <v>1206</v>
      </c>
      <c r="B2738" s="50" t="str">
        <f>VLOOKUP(A2738,'Sales Order'!A$2:B$1029,1,0)</f>
        <v>SO0968</v>
      </c>
      <c r="C2738" s="29" t="s">
        <v>58</v>
      </c>
      <c r="D2738" s="50" t="str">
        <f>VLOOKUP(C2738,Product!A$2:B$21,1,0)</f>
        <v>PD0012</v>
      </c>
      <c r="E2738" s="36">
        <v>110</v>
      </c>
      <c r="F2738" s="38">
        <v>570666800</v>
      </c>
      <c r="G2738" s="39" t="s">
        <v>5112</v>
      </c>
      <c r="H2738" s="12"/>
      <c r="L2738" s="12"/>
    </row>
    <row r="2739" spans="1:12" ht="15.75" customHeight="1" x14ac:dyDescent="0.3">
      <c r="A2739" s="17" t="s">
        <v>1207</v>
      </c>
      <c r="B2739" s="50" t="str">
        <f>VLOOKUP(A2739,'Sales Order'!A$2:B$1029,1,0)</f>
        <v>SO0969</v>
      </c>
      <c r="C2739" s="29" t="s">
        <v>35</v>
      </c>
      <c r="D2739" s="50" t="str">
        <f>VLOOKUP(C2739,Product!A$2:B$21,1,0)</f>
        <v>PD0005</v>
      </c>
      <c r="E2739" s="36">
        <v>50</v>
      </c>
      <c r="F2739" s="38">
        <v>88897500</v>
      </c>
      <c r="G2739" s="39" t="s">
        <v>5113</v>
      </c>
      <c r="H2739" s="12"/>
      <c r="L2739" s="12"/>
    </row>
    <row r="2740" spans="1:12" ht="15.75" customHeight="1" x14ac:dyDescent="0.3">
      <c r="A2740" s="29" t="s">
        <v>1207</v>
      </c>
      <c r="B2740" s="50" t="str">
        <f>VLOOKUP(A2740,'Sales Order'!A$2:B$1029,1,0)</f>
        <v>SO0969</v>
      </c>
      <c r="C2740" s="29" t="s">
        <v>61</v>
      </c>
      <c r="D2740" s="50" t="str">
        <f>VLOOKUP(C2740,Product!A$2:B$21,1,0)</f>
        <v>PD0013</v>
      </c>
      <c r="E2740" s="36">
        <v>112</v>
      </c>
      <c r="F2740" s="38">
        <v>46673760</v>
      </c>
      <c r="G2740" s="39" t="s">
        <v>5114</v>
      </c>
      <c r="H2740" s="12"/>
      <c r="L2740" s="12"/>
    </row>
    <row r="2741" spans="1:12" ht="15.75" customHeight="1" x14ac:dyDescent="0.3">
      <c r="A2741" s="17" t="s">
        <v>1208</v>
      </c>
      <c r="B2741" s="50" t="str">
        <f>VLOOKUP(A2741,'Sales Order'!A$2:B$1029,1,0)</f>
        <v>SO0970</v>
      </c>
      <c r="C2741" s="29" t="s">
        <v>55</v>
      </c>
      <c r="D2741" s="50" t="str">
        <f>VLOOKUP(C2741,Product!A$2:B$21,1,0)</f>
        <v>PD0011</v>
      </c>
      <c r="E2741" s="36">
        <v>139</v>
      </c>
      <c r="F2741" s="38">
        <v>259041790</v>
      </c>
      <c r="G2741" s="39" t="s">
        <v>5115</v>
      </c>
      <c r="H2741" s="12"/>
      <c r="L2741" s="12"/>
    </row>
    <row r="2742" spans="1:12" ht="15.75" customHeight="1" x14ac:dyDescent="0.3">
      <c r="A2742" s="29" t="s">
        <v>1208</v>
      </c>
      <c r="B2742" s="50" t="str">
        <f>VLOOKUP(A2742,'Sales Order'!A$2:B$1029,1,0)</f>
        <v>SO0970</v>
      </c>
      <c r="C2742" s="29" t="s">
        <v>65</v>
      </c>
      <c r="D2742" s="50" t="str">
        <f>VLOOKUP(C2742,Product!A$2:B$21,1,0)</f>
        <v>PD0014</v>
      </c>
      <c r="E2742" s="36">
        <v>135</v>
      </c>
      <c r="F2742" s="38">
        <v>27394200</v>
      </c>
      <c r="G2742" s="39" t="s">
        <v>5116</v>
      </c>
      <c r="H2742" s="12"/>
      <c r="L2742" s="12"/>
    </row>
    <row r="2743" spans="1:12" ht="15.75" customHeight="1" x14ac:dyDescent="0.3">
      <c r="A2743" s="29" t="s">
        <v>1208</v>
      </c>
      <c r="B2743" s="50" t="str">
        <f>VLOOKUP(A2743,'Sales Order'!A$2:B$1029,1,0)</f>
        <v>SO0970</v>
      </c>
      <c r="C2743" s="29" t="s">
        <v>61</v>
      </c>
      <c r="D2743" s="50" t="str">
        <f>VLOOKUP(C2743,Product!A$2:B$21,1,0)</f>
        <v>PD0013</v>
      </c>
      <c r="E2743" s="36">
        <v>72</v>
      </c>
      <c r="F2743" s="38">
        <v>30349440</v>
      </c>
      <c r="G2743" s="39" t="s">
        <v>5117</v>
      </c>
      <c r="H2743" s="12"/>
      <c r="L2743" s="12"/>
    </row>
    <row r="2744" spans="1:12" ht="15.75" customHeight="1" x14ac:dyDescent="0.3">
      <c r="A2744" s="17" t="s">
        <v>1209</v>
      </c>
      <c r="B2744" s="50" t="str">
        <f>VLOOKUP(A2744,'Sales Order'!A$2:B$1029,1,0)</f>
        <v>SO0971</v>
      </c>
      <c r="C2744" s="29" t="s">
        <v>55</v>
      </c>
      <c r="D2744" s="50" t="str">
        <f>VLOOKUP(C2744,Product!A$2:B$21,1,0)</f>
        <v>PD0011</v>
      </c>
      <c r="E2744" s="36">
        <v>27</v>
      </c>
      <c r="F2744" s="38">
        <v>56049840</v>
      </c>
      <c r="G2744" s="39" t="s">
        <v>5118</v>
      </c>
      <c r="H2744" s="12"/>
      <c r="L2744" s="12"/>
    </row>
    <row r="2745" spans="1:12" ht="15.75" customHeight="1" x14ac:dyDescent="0.3">
      <c r="A2745" s="29" t="s">
        <v>1209</v>
      </c>
      <c r="B2745" s="50" t="str">
        <f>VLOOKUP(A2745,'Sales Order'!A$2:B$1029,1,0)</f>
        <v>SO0971</v>
      </c>
      <c r="C2745" s="29" t="s">
        <v>58</v>
      </c>
      <c r="D2745" s="50" t="str">
        <f>VLOOKUP(C2745,Product!A$2:B$21,1,0)</f>
        <v>PD0012</v>
      </c>
      <c r="E2745" s="36">
        <v>30</v>
      </c>
      <c r="F2745" s="38">
        <v>130260900</v>
      </c>
      <c r="G2745" s="39" t="s">
        <v>5119</v>
      </c>
      <c r="H2745" s="12"/>
      <c r="L2745" s="12"/>
    </row>
    <row r="2746" spans="1:12" ht="15.75" customHeight="1" x14ac:dyDescent="0.3">
      <c r="A2746" s="29" t="s">
        <v>1209</v>
      </c>
      <c r="B2746" s="50" t="str">
        <f>VLOOKUP(A2746,'Sales Order'!A$2:B$1029,1,0)</f>
        <v>SO0971</v>
      </c>
      <c r="C2746" s="29" t="s">
        <v>83</v>
      </c>
      <c r="D2746" s="50" t="str">
        <f>VLOOKUP(C2746,Product!A$2:B$21,1,0)</f>
        <v>PD0020</v>
      </c>
      <c r="E2746" s="36">
        <v>33</v>
      </c>
      <c r="F2746" s="38">
        <v>8156610</v>
      </c>
      <c r="G2746" s="39" t="s">
        <v>5120</v>
      </c>
      <c r="H2746" s="12"/>
      <c r="L2746" s="12"/>
    </row>
    <row r="2747" spans="1:12" ht="15.75" customHeight="1" x14ac:dyDescent="0.3">
      <c r="A2747" s="17" t="s">
        <v>1210</v>
      </c>
      <c r="B2747" s="50" t="str">
        <f>VLOOKUP(A2747,'Sales Order'!A$2:B$1029,1,0)</f>
        <v>SO0972</v>
      </c>
      <c r="C2747" s="29" t="s">
        <v>58</v>
      </c>
      <c r="D2747" s="50" t="str">
        <f>VLOOKUP(C2747,Product!A$2:B$21,1,0)</f>
        <v>PD0012</v>
      </c>
      <c r="E2747" s="36">
        <v>72</v>
      </c>
      <c r="F2747" s="38">
        <v>312626160</v>
      </c>
      <c r="G2747" s="39" t="s">
        <v>5121</v>
      </c>
      <c r="H2747" s="12"/>
      <c r="L2747" s="12"/>
    </row>
    <row r="2748" spans="1:12" ht="15.75" customHeight="1" x14ac:dyDescent="0.3">
      <c r="A2748" s="29" t="s">
        <v>1210</v>
      </c>
      <c r="B2748" s="50" t="str">
        <f>VLOOKUP(A2748,'Sales Order'!A$2:B$1029,1,0)</f>
        <v>SO0972</v>
      </c>
      <c r="C2748" s="29" t="s">
        <v>25</v>
      </c>
      <c r="D2748" s="50" t="str">
        <f>VLOOKUP(C2748,Product!A$2:B$21,1,0)</f>
        <v>PD0002</v>
      </c>
      <c r="E2748" s="36">
        <v>87</v>
      </c>
      <c r="F2748" s="38">
        <v>1409400</v>
      </c>
      <c r="G2748" s="39" t="s">
        <v>5122</v>
      </c>
      <c r="H2748" s="12"/>
      <c r="L2748" s="12"/>
    </row>
    <row r="2749" spans="1:12" ht="15.75" customHeight="1" x14ac:dyDescent="0.3">
      <c r="A2749" s="17" t="s">
        <v>1211</v>
      </c>
      <c r="B2749" s="50" t="str">
        <f>VLOOKUP(A2749,'Sales Order'!A$2:B$1029,1,0)</f>
        <v>SO0973</v>
      </c>
      <c r="C2749" s="29" t="s">
        <v>55</v>
      </c>
      <c r="D2749" s="50" t="str">
        <f>VLOOKUP(C2749,Product!A$2:B$21,1,0)</f>
        <v>PD0011</v>
      </c>
      <c r="E2749" s="36">
        <v>66</v>
      </c>
      <c r="F2749" s="38">
        <v>129226020</v>
      </c>
      <c r="G2749" s="39" t="s">
        <v>5123</v>
      </c>
      <c r="H2749" s="12"/>
      <c r="L2749" s="12"/>
    </row>
    <row r="2750" spans="1:12" ht="15.75" customHeight="1" x14ac:dyDescent="0.3">
      <c r="A2750" s="29" t="s">
        <v>1211</v>
      </c>
      <c r="B2750" s="50" t="str">
        <f>VLOOKUP(A2750,'Sales Order'!A$2:B$1029,1,0)</f>
        <v>SO0973</v>
      </c>
      <c r="C2750" s="29" t="s">
        <v>61</v>
      </c>
      <c r="D2750" s="50" t="str">
        <f>VLOOKUP(C2750,Product!A$2:B$21,1,0)</f>
        <v>PD0013</v>
      </c>
      <c r="E2750" s="36">
        <v>58</v>
      </c>
      <c r="F2750" s="38">
        <v>23336880</v>
      </c>
      <c r="G2750" s="39" t="s">
        <v>5124</v>
      </c>
      <c r="H2750" s="12"/>
      <c r="L2750" s="12"/>
    </row>
    <row r="2751" spans="1:12" ht="15.75" customHeight="1" x14ac:dyDescent="0.3">
      <c r="A2751" s="17" t="s">
        <v>1212</v>
      </c>
      <c r="B2751" s="50" t="str">
        <f>VLOOKUP(A2751,'Sales Order'!A$2:B$1029,1,0)</f>
        <v>SO0974</v>
      </c>
      <c r="C2751" s="29" t="s">
        <v>55</v>
      </c>
      <c r="D2751" s="50" t="str">
        <f>VLOOKUP(C2751,Product!A$2:B$21,1,0)</f>
        <v>PD0011</v>
      </c>
      <c r="E2751" s="36">
        <v>90</v>
      </c>
      <c r="F2751" s="38">
        <v>191079000</v>
      </c>
      <c r="G2751" s="39" t="s">
        <v>5125</v>
      </c>
      <c r="H2751" s="12"/>
      <c r="L2751" s="12"/>
    </row>
    <row r="2752" spans="1:12" ht="15.75" customHeight="1" x14ac:dyDescent="0.3">
      <c r="A2752" s="17" t="s">
        <v>1213</v>
      </c>
      <c r="B2752" s="50" t="str">
        <f>VLOOKUP(A2752,'Sales Order'!A$2:B$1029,1,0)</f>
        <v>SO0975</v>
      </c>
      <c r="C2752" s="29" t="s">
        <v>75</v>
      </c>
      <c r="D2752" s="50" t="str">
        <f>VLOOKUP(C2752,Product!A$2:B$21,1,0)</f>
        <v>PD0017</v>
      </c>
      <c r="E2752" s="36">
        <v>29</v>
      </c>
      <c r="F2752" s="38">
        <v>69933500</v>
      </c>
      <c r="G2752" s="39" t="s">
        <v>5126</v>
      </c>
      <c r="H2752" s="12"/>
      <c r="L2752" s="12"/>
    </row>
    <row r="2753" spans="1:12" ht="15.75" customHeight="1" x14ac:dyDescent="0.3">
      <c r="A2753" s="17" t="s">
        <v>1214</v>
      </c>
      <c r="B2753" s="50" t="str">
        <f>VLOOKUP(A2753,'Sales Order'!A$2:B$1029,1,0)</f>
        <v>SO0976</v>
      </c>
      <c r="C2753" s="29" t="s">
        <v>55</v>
      </c>
      <c r="D2753" s="50" t="str">
        <f>VLOOKUP(C2753,Product!A$2:B$21,1,0)</f>
        <v>PD0011</v>
      </c>
      <c r="E2753" s="36">
        <v>54</v>
      </c>
      <c r="F2753" s="38">
        <v>121016700</v>
      </c>
      <c r="G2753" s="39" t="s">
        <v>5127</v>
      </c>
      <c r="H2753" s="12"/>
      <c r="L2753" s="12"/>
    </row>
    <row r="2754" spans="1:12" ht="15.75" customHeight="1" x14ac:dyDescent="0.3">
      <c r="A2754" s="29" t="s">
        <v>1214</v>
      </c>
      <c r="B2754" s="50" t="str">
        <f>VLOOKUP(A2754,'Sales Order'!A$2:B$1029,1,0)</f>
        <v>SO0976</v>
      </c>
      <c r="C2754" s="29" t="s">
        <v>35</v>
      </c>
      <c r="D2754" s="50" t="str">
        <f>VLOOKUP(C2754,Product!A$2:B$21,1,0)</f>
        <v>PD0005</v>
      </c>
      <c r="E2754" s="36">
        <v>27</v>
      </c>
      <c r="F2754" s="38">
        <v>53338500</v>
      </c>
      <c r="G2754" s="39" t="s">
        <v>5128</v>
      </c>
      <c r="H2754" s="12"/>
      <c r="L2754" s="12"/>
    </row>
    <row r="2755" spans="1:12" ht="15.75" customHeight="1" x14ac:dyDescent="0.3">
      <c r="A2755" s="29" t="s">
        <v>1214</v>
      </c>
      <c r="B2755" s="50" t="str">
        <f>VLOOKUP(A2755,'Sales Order'!A$2:B$1029,1,0)</f>
        <v>SO0976</v>
      </c>
      <c r="C2755" s="29" t="s">
        <v>61</v>
      </c>
      <c r="D2755" s="50" t="str">
        <f>VLOOKUP(C2755,Product!A$2:B$21,1,0)</f>
        <v>PD0013</v>
      </c>
      <c r="E2755" s="36">
        <v>143</v>
      </c>
      <c r="F2755" s="38">
        <v>55482570</v>
      </c>
      <c r="G2755" s="39" t="s">
        <v>5129</v>
      </c>
      <c r="H2755" s="12"/>
      <c r="L2755" s="12"/>
    </row>
    <row r="2756" spans="1:12" ht="15.75" customHeight="1" x14ac:dyDescent="0.3">
      <c r="A2756" s="17" t="s">
        <v>1215</v>
      </c>
      <c r="B2756" s="50" t="str">
        <f>VLOOKUP(A2756,'Sales Order'!A$2:B$1029,1,0)</f>
        <v>SO0977</v>
      </c>
      <c r="C2756" s="29" t="s">
        <v>75</v>
      </c>
      <c r="D2756" s="50" t="str">
        <f>VLOOKUP(C2756,Product!A$2:B$21,1,0)</f>
        <v>PD0017</v>
      </c>
      <c r="E2756" s="36">
        <v>60</v>
      </c>
      <c r="F2756" s="38">
        <v>125610000</v>
      </c>
      <c r="G2756" s="39" t="s">
        <v>5130</v>
      </c>
      <c r="H2756" s="12"/>
      <c r="L2756" s="12"/>
    </row>
    <row r="2757" spans="1:12" ht="15.75" customHeight="1" x14ac:dyDescent="0.3">
      <c r="A2757" s="29" t="s">
        <v>1215</v>
      </c>
      <c r="B2757" s="50" t="str">
        <f>VLOOKUP(A2757,'Sales Order'!A$2:B$1029,1,0)</f>
        <v>SO0977</v>
      </c>
      <c r="C2757" s="29" t="s">
        <v>35</v>
      </c>
      <c r="D2757" s="50" t="str">
        <f>VLOOKUP(C2757,Product!A$2:B$21,1,0)</f>
        <v>PD0005</v>
      </c>
      <c r="E2757" s="36">
        <v>114</v>
      </c>
      <c r="F2757" s="38">
        <v>220202400</v>
      </c>
      <c r="G2757" s="39" t="s">
        <v>5131</v>
      </c>
      <c r="H2757" s="12"/>
      <c r="L2757" s="12"/>
    </row>
    <row r="2758" spans="1:12" ht="15.75" customHeight="1" x14ac:dyDescent="0.3">
      <c r="A2758" s="29" t="s">
        <v>1215</v>
      </c>
      <c r="B2758" s="50" t="str">
        <f>VLOOKUP(A2758,'Sales Order'!A$2:B$1029,1,0)</f>
        <v>SO0977</v>
      </c>
      <c r="C2758" s="29" t="s">
        <v>28</v>
      </c>
      <c r="D2758" s="50" t="str">
        <f>VLOOKUP(C2758,Product!A$2:B$21,1,0)</f>
        <v>PD0003</v>
      </c>
      <c r="E2758" s="36">
        <v>111</v>
      </c>
      <c r="F2758" s="38">
        <v>95073720</v>
      </c>
      <c r="G2758" s="39" t="s">
        <v>5132</v>
      </c>
      <c r="H2758" s="12"/>
      <c r="L2758" s="12"/>
    </row>
    <row r="2759" spans="1:12" ht="15.75" customHeight="1" x14ac:dyDescent="0.3">
      <c r="A2759" s="29" t="s">
        <v>1215</v>
      </c>
      <c r="B2759" s="50" t="str">
        <f>VLOOKUP(A2759,'Sales Order'!A$2:B$1029,1,0)</f>
        <v>SO0977</v>
      </c>
      <c r="C2759" s="29" t="s">
        <v>58</v>
      </c>
      <c r="D2759" s="50" t="str">
        <f>VLOOKUP(C2759,Product!A$2:B$21,1,0)</f>
        <v>PD0012</v>
      </c>
      <c r="E2759" s="36">
        <v>134</v>
      </c>
      <c r="F2759" s="38">
        <v>649838360</v>
      </c>
      <c r="G2759" s="39" t="s">
        <v>5133</v>
      </c>
      <c r="H2759" s="12"/>
      <c r="L2759" s="12"/>
    </row>
    <row r="2760" spans="1:12" ht="15.75" customHeight="1" x14ac:dyDescent="0.3">
      <c r="A2760" s="29" t="s">
        <v>1215</v>
      </c>
      <c r="B2760" s="50" t="str">
        <f>VLOOKUP(A2760,'Sales Order'!A$2:B$1029,1,0)</f>
        <v>SO0977</v>
      </c>
      <c r="C2760" s="29" t="s">
        <v>83</v>
      </c>
      <c r="D2760" s="50" t="str">
        <f>VLOOKUP(C2760,Product!A$2:B$21,1,0)</f>
        <v>PD0020</v>
      </c>
      <c r="E2760" s="36">
        <v>149</v>
      </c>
      <c r="F2760" s="38">
        <v>40654650</v>
      </c>
      <c r="G2760" s="39" t="s">
        <v>5134</v>
      </c>
      <c r="H2760" s="12"/>
      <c r="L2760" s="12"/>
    </row>
    <row r="2761" spans="1:12" ht="15.75" customHeight="1" x14ac:dyDescent="0.3">
      <c r="A2761" s="29" t="s">
        <v>1215</v>
      </c>
      <c r="B2761" s="50" t="str">
        <f>VLOOKUP(A2761,'Sales Order'!A$2:B$1029,1,0)</f>
        <v>SO0977</v>
      </c>
      <c r="C2761" s="29" t="s">
        <v>78</v>
      </c>
      <c r="D2761" s="50" t="str">
        <f>VLOOKUP(C2761,Product!A$2:B$21,1,0)</f>
        <v>PD0018</v>
      </c>
      <c r="E2761" s="36">
        <v>69</v>
      </c>
      <c r="F2761" s="38">
        <v>30834720</v>
      </c>
      <c r="G2761" s="39" t="s">
        <v>5135</v>
      </c>
      <c r="H2761" s="12"/>
      <c r="L2761" s="12"/>
    </row>
    <row r="2762" spans="1:12" ht="15.75" customHeight="1" x14ac:dyDescent="0.3">
      <c r="A2762" s="29" t="s">
        <v>1216</v>
      </c>
      <c r="B2762" s="50" t="str">
        <f>VLOOKUP(A2762,'Sales Order'!A$2:B$1029,1,0)</f>
        <v>SO0978</v>
      </c>
      <c r="C2762" s="29" t="s">
        <v>43</v>
      </c>
      <c r="D2762" s="50" t="str">
        <f>VLOOKUP(C2762,Product!A$2:B$21,1,0)</f>
        <v>PD0007</v>
      </c>
      <c r="E2762" s="36">
        <v>60</v>
      </c>
      <c r="F2762" s="38">
        <v>167040000</v>
      </c>
      <c r="G2762" s="39" t="s">
        <v>5136</v>
      </c>
      <c r="H2762" s="12"/>
      <c r="L2762" s="12"/>
    </row>
    <row r="2763" spans="1:12" ht="15.75" customHeight="1" x14ac:dyDescent="0.3">
      <c r="A2763" s="29" t="s">
        <v>1216</v>
      </c>
      <c r="B2763" s="50" t="str">
        <f>VLOOKUP(A2763,'Sales Order'!A$2:B$1029,1,0)</f>
        <v>SO0978</v>
      </c>
      <c r="C2763" s="29" t="s">
        <v>65</v>
      </c>
      <c r="D2763" s="50" t="str">
        <f>VLOOKUP(C2763,Product!A$2:B$21,1,0)</f>
        <v>PD0014</v>
      </c>
      <c r="E2763" s="36">
        <v>126</v>
      </c>
      <c r="F2763" s="38">
        <v>28932120</v>
      </c>
      <c r="G2763" s="39" t="s">
        <v>5137</v>
      </c>
      <c r="H2763" s="12"/>
      <c r="L2763" s="12"/>
    </row>
    <row r="2764" spans="1:12" ht="15.75" customHeight="1" x14ac:dyDescent="0.3">
      <c r="A2764" s="29" t="s">
        <v>1216</v>
      </c>
      <c r="B2764" s="50" t="str">
        <f>VLOOKUP(A2764,'Sales Order'!A$2:B$1029,1,0)</f>
        <v>SO0978</v>
      </c>
      <c r="C2764" s="29" t="s">
        <v>19</v>
      </c>
      <c r="D2764" s="50" t="str">
        <f>VLOOKUP(C2764,Product!A$2:B$21,1,0)</f>
        <v>PD0001</v>
      </c>
      <c r="E2764" s="36">
        <v>37</v>
      </c>
      <c r="F2764" s="38">
        <v>7923180</v>
      </c>
      <c r="G2764" s="39" t="s">
        <v>5138</v>
      </c>
      <c r="H2764" s="12"/>
      <c r="L2764" s="12"/>
    </row>
    <row r="2765" spans="1:12" ht="15.75" customHeight="1" x14ac:dyDescent="0.3">
      <c r="A2765" s="17" t="s">
        <v>1217</v>
      </c>
      <c r="B2765" s="50" t="str">
        <f>VLOOKUP(A2765,'Sales Order'!A$2:B$1029,1,0)</f>
        <v>SO0979</v>
      </c>
      <c r="C2765" s="29" t="s">
        <v>40</v>
      </c>
      <c r="D2765" s="50" t="str">
        <f>VLOOKUP(C2765,Product!A$2:B$21,1,0)</f>
        <v>PD0006</v>
      </c>
      <c r="E2765" s="36">
        <v>72</v>
      </c>
      <c r="F2765" s="38">
        <v>11737440</v>
      </c>
      <c r="G2765" s="39" t="s">
        <v>5139</v>
      </c>
      <c r="H2765" s="12"/>
      <c r="L2765" s="12"/>
    </row>
    <row r="2766" spans="1:12" ht="15.75" customHeight="1" x14ac:dyDescent="0.3">
      <c r="A2766" s="29" t="s">
        <v>1217</v>
      </c>
      <c r="B2766" s="50" t="str">
        <f>VLOOKUP(A2766,'Sales Order'!A$2:B$1029,1,0)</f>
        <v>SO0979</v>
      </c>
      <c r="C2766" s="29" t="s">
        <v>48</v>
      </c>
      <c r="D2766" s="50" t="str">
        <f>VLOOKUP(C2766,Product!A$2:B$21,1,0)</f>
        <v>PD0009</v>
      </c>
      <c r="E2766" s="36">
        <v>103</v>
      </c>
      <c r="F2766" s="38">
        <v>10895340</v>
      </c>
      <c r="G2766" s="39" t="s">
        <v>5140</v>
      </c>
      <c r="H2766" s="12"/>
      <c r="L2766" s="12"/>
    </row>
    <row r="2767" spans="1:12" ht="15.75" customHeight="1" x14ac:dyDescent="0.3">
      <c r="A2767" s="29" t="s">
        <v>1217</v>
      </c>
      <c r="B2767" s="50" t="str">
        <f>VLOOKUP(A2767,'Sales Order'!A$2:B$1029,1,0)</f>
        <v>SO0979</v>
      </c>
      <c r="C2767" s="29" t="s">
        <v>52</v>
      </c>
      <c r="D2767" s="50" t="str">
        <f>VLOOKUP(C2767,Product!A$2:B$21,1,0)</f>
        <v>PD0010</v>
      </c>
      <c r="E2767" s="36">
        <v>27</v>
      </c>
      <c r="F2767" s="38">
        <v>7634250</v>
      </c>
      <c r="G2767" s="39" t="s">
        <v>5141</v>
      </c>
      <c r="H2767" s="12"/>
      <c r="L2767" s="12"/>
    </row>
    <row r="2768" spans="1:12" ht="15.75" customHeight="1" x14ac:dyDescent="0.3">
      <c r="A2768" s="17" t="s">
        <v>1218</v>
      </c>
      <c r="B2768" s="50" t="str">
        <f>VLOOKUP(A2768,'Sales Order'!A$2:B$1029,1,0)</f>
        <v>SO0980</v>
      </c>
      <c r="C2768" s="29" t="s">
        <v>75</v>
      </c>
      <c r="D2768" s="50" t="str">
        <f>VLOOKUP(C2768,Product!A$2:B$21,1,0)</f>
        <v>PD0017</v>
      </c>
      <c r="E2768" s="36">
        <v>87</v>
      </c>
      <c r="F2768" s="38">
        <v>195967500</v>
      </c>
      <c r="G2768" s="39" t="s">
        <v>5142</v>
      </c>
      <c r="H2768" s="12"/>
      <c r="L2768" s="12"/>
    </row>
    <row r="2769" spans="1:12" ht="15.75" customHeight="1" x14ac:dyDescent="0.3">
      <c r="A2769" s="29" t="s">
        <v>1218</v>
      </c>
      <c r="B2769" s="50" t="str">
        <f>VLOOKUP(A2769,'Sales Order'!A$2:B$1029,1,0)</f>
        <v>SO0980</v>
      </c>
      <c r="C2769" s="29" t="s">
        <v>35</v>
      </c>
      <c r="D2769" s="50" t="str">
        <f>VLOOKUP(C2769,Product!A$2:B$21,1,0)</f>
        <v>PD0005</v>
      </c>
      <c r="E2769" s="36">
        <v>68</v>
      </c>
      <c r="F2769" s="38">
        <v>123885800</v>
      </c>
      <c r="G2769" s="39" t="s">
        <v>5143</v>
      </c>
      <c r="H2769" s="12"/>
      <c r="L2769" s="12"/>
    </row>
    <row r="2770" spans="1:12" ht="15.75" customHeight="1" x14ac:dyDescent="0.3">
      <c r="A2770" s="29" t="s">
        <v>1218</v>
      </c>
      <c r="B2770" s="50" t="str">
        <f>VLOOKUP(A2770,'Sales Order'!A$2:B$1029,1,0)</f>
        <v>SO0980</v>
      </c>
      <c r="C2770" s="29" t="s">
        <v>78</v>
      </c>
      <c r="D2770" s="50" t="str">
        <f>VLOOKUP(C2770,Product!A$2:B$21,1,0)</f>
        <v>PD0018</v>
      </c>
      <c r="E2770" s="36">
        <v>74</v>
      </c>
      <c r="F2770" s="38">
        <v>36612240</v>
      </c>
      <c r="G2770" s="39" t="s">
        <v>5144</v>
      </c>
      <c r="H2770" s="12"/>
      <c r="L2770" s="12"/>
    </row>
    <row r="2771" spans="1:12" ht="15.75" customHeight="1" x14ac:dyDescent="0.3">
      <c r="A2771" s="29" t="s">
        <v>1218</v>
      </c>
      <c r="B2771" s="50" t="str">
        <f>VLOOKUP(A2771,'Sales Order'!A$2:B$1029,1,0)</f>
        <v>SO0980</v>
      </c>
      <c r="C2771" s="29" t="s">
        <v>25</v>
      </c>
      <c r="D2771" s="50" t="str">
        <f>VLOOKUP(C2771,Product!A$2:B$21,1,0)</f>
        <v>PD0002</v>
      </c>
      <c r="E2771" s="36">
        <v>61</v>
      </c>
      <c r="F2771" s="38">
        <v>1073600</v>
      </c>
      <c r="G2771" s="39" t="s">
        <v>5145</v>
      </c>
      <c r="H2771" s="12"/>
      <c r="L2771" s="12"/>
    </row>
    <row r="2772" spans="1:12" ht="15.75" customHeight="1" x14ac:dyDescent="0.3">
      <c r="A2772" s="17" t="s">
        <v>1219</v>
      </c>
      <c r="B2772" s="50" t="str">
        <f>VLOOKUP(A2772,'Sales Order'!A$2:B$1029,1,0)</f>
        <v>SO0981</v>
      </c>
      <c r="C2772" s="29" t="s">
        <v>52</v>
      </c>
      <c r="D2772" s="50" t="str">
        <f>VLOOKUP(C2772,Product!A$2:B$21,1,0)</f>
        <v>PD0010</v>
      </c>
      <c r="E2772" s="36">
        <v>87</v>
      </c>
      <c r="F2772" s="38">
        <v>24882000</v>
      </c>
      <c r="G2772" s="39" t="s">
        <v>5146</v>
      </c>
      <c r="H2772" s="12"/>
      <c r="L2772" s="12"/>
    </row>
    <row r="2773" spans="1:12" ht="15.75" customHeight="1" x14ac:dyDescent="0.3">
      <c r="A2773" s="29" t="s">
        <v>1219</v>
      </c>
      <c r="B2773" s="50" t="str">
        <f>VLOOKUP(A2773,'Sales Order'!A$2:B$1029,1,0)</f>
        <v>SO0981</v>
      </c>
      <c r="C2773" s="29" t="s">
        <v>28</v>
      </c>
      <c r="D2773" s="50" t="str">
        <f>VLOOKUP(C2773,Product!A$2:B$21,1,0)</f>
        <v>PD0003</v>
      </c>
      <c r="E2773" s="36">
        <v>105</v>
      </c>
      <c r="F2773" s="38">
        <v>92867250</v>
      </c>
      <c r="G2773" s="39" t="s">
        <v>5147</v>
      </c>
      <c r="H2773" s="12"/>
      <c r="L2773" s="12"/>
    </row>
    <row r="2774" spans="1:12" ht="15.75" customHeight="1" x14ac:dyDescent="0.3">
      <c r="A2774" s="29" t="s">
        <v>1219</v>
      </c>
      <c r="B2774" s="50" t="str">
        <f>VLOOKUP(A2774,'Sales Order'!A$2:B$1029,1,0)</f>
        <v>SO0981</v>
      </c>
      <c r="C2774" s="29" t="s">
        <v>83</v>
      </c>
      <c r="D2774" s="50" t="str">
        <f>VLOOKUP(C2774,Product!A$2:B$21,1,0)</f>
        <v>PD0020</v>
      </c>
      <c r="E2774" s="36">
        <v>148</v>
      </c>
      <c r="F2774" s="38">
        <v>44657520</v>
      </c>
      <c r="G2774" s="39" t="s">
        <v>5148</v>
      </c>
      <c r="H2774" s="12"/>
      <c r="L2774" s="12"/>
    </row>
    <row r="2775" spans="1:12" ht="15.75" customHeight="1" x14ac:dyDescent="0.3">
      <c r="A2775" s="29" t="s">
        <v>1219</v>
      </c>
      <c r="B2775" s="50" t="str">
        <f>VLOOKUP(A2775,'Sales Order'!A$2:B$1029,1,0)</f>
        <v>SO0981</v>
      </c>
      <c r="C2775" s="29" t="s">
        <v>35</v>
      </c>
      <c r="D2775" s="50" t="str">
        <f>VLOOKUP(C2775,Product!A$2:B$21,1,0)</f>
        <v>PD0005</v>
      </c>
      <c r="E2775" s="36">
        <v>92</v>
      </c>
      <c r="F2775" s="38">
        <v>171649000</v>
      </c>
      <c r="G2775" s="39" t="s">
        <v>5149</v>
      </c>
      <c r="H2775" s="12"/>
      <c r="L2775" s="12"/>
    </row>
    <row r="2776" spans="1:12" ht="15.75" customHeight="1" x14ac:dyDescent="0.3">
      <c r="A2776" s="29" t="s">
        <v>1219</v>
      </c>
      <c r="B2776" s="50" t="str">
        <f>VLOOKUP(A2776,'Sales Order'!A$2:B$1029,1,0)</f>
        <v>SO0981</v>
      </c>
      <c r="C2776" s="29" t="s">
        <v>43</v>
      </c>
      <c r="D2776" s="50" t="str">
        <f>VLOOKUP(C2776,Product!A$2:B$21,1,0)</f>
        <v>PD0007</v>
      </c>
      <c r="E2776" s="36">
        <v>145</v>
      </c>
      <c r="F2776" s="38">
        <v>403680000</v>
      </c>
      <c r="G2776" s="39" t="s">
        <v>5150</v>
      </c>
      <c r="H2776" s="12"/>
      <c r="L2776" s="12"/>
    </row>
    <row r="2777" spans="1:12" ht="15.75" customHeight="1" x14ac:dyDescent="0.3">
      <c r="A2777" s="17" t="s">
        <v>1220</v>
      </c>
      <c r="B2777" s="50" t="str">
        <f>VLOOKUP(A2777,'Sales Order'!A$2:B$1029,1,0)</f>
        <v>SO0982</v>
      </c>
      <c r="C2777" s="29" t="s">
        <v>45</v>
      </c>
      <c r="D2777" s="50" t="str">
        <f>VLOOKUP(C2777,Product!A$2:B$21,1,0)</f>
        <v>PD0008</v>
      </c>
      <c r="E2777" s="36">
        <v>84</v>
      </c>
      <c r="F2777" s="38">
        <v>11514720</v>
      </c>
      <c r="G2777" s="39" t="s">
        <v>5151</v>
      </c>
      <c r="H2777" s="12"/>
      <c r="L2777" s="12"/>
    </row>
    <row r="2778" spans="1:12" ht="15.75" customHeight="1" x14ac:dyDescent="0.3">
      <c r="A2778" s="29" t="s">
        <v>1220</v>
      </c>
      <c r="B2778" s="50" t="str">
        <f>VLOOKUP(A2778,'Sales Order'!A$2:B$1029,1,0)</f>
        <v>SO0982</v>
      </c>
      <c r="C2778" s="29" t="s">
        <v>75</v>
      </c>
      <c r="D2778" s="50" t="str">
        <f>VLOOKUP(C2778,Product!A$2:B$21,1,0)</f>
        <v>PD0017</v>
      </c>
      <c r="E2778" s="36">
        <v>72</v>
      </c>
      <c r="F2778" s="38">
        <v>179352000</v>
      </c>
      <c r="G2778" s="39" t="s">
        <v>5152</v>
      </c>
      <c r="H2778" s="12"/>
      <c r="L2778" s="12"/>
    </row>
    <row r="2779" spans="1:12" ht="15.75" customHeight="1" x14ac:dyDescent="0.3">
      <c r="A2779" s="29" t="s">
        <v>1220</v>
      </c>
      <c r="B2779" s="50" t="str">
        <f>VLOOKUP(A2779,'Sales Order'!A$2:B$1029,1,0)</f>
        <v>SO0982</v>
      </c>
      <c r="C2779" s="29" t="s">
        <v>52</v>
      </c>
      <c r="D2779" s="50" t="str">
        <f>VLOOKUP(C2779,Product!A$2:B$21,1,0)</f>
        <v>PD0010</v>
      </c>
      <c r="E2779" s="36">
        <v>81</v>
      </c>
      <c r="F2779" s="38">
        <v>24745500</v>
      </c>
      <c r="G2779" s="39" t="s">
        <v>5153</v>
      </c>
      <c r="H2779" s="12"/>
      <c r="L2779" s="12"/>
    </row>
    <row r="2780" spans="1:12" ht="15.75" customHeight="1" x14ac:dyDescent="0.3">
      <c r="A2780" s="29" t="s">
        <v>1220</v>
      </c>
      <c r="B2780" s="50" t="str">
        <f>VLOOKUP(A2780,'Sales Order'!A$2:B$1029,1,0)</f>
        <v>SO0982</v>
      </c>
      <c r="C2780" s="29" t="s">
        <v>72</v>
      </c>
      <c r="D2780" s="50" t="str">
        <f>VLOOKUP(C2780,Product!A$2:B$21,1,0)</f>
        <v>PD0016</v>
      </c>
      <c r="E2780" s="36">
        <v>130</v>
      </c>
      <c r="F2780" s="38">
        <v>31586100</v>
      </c>
      <c r="G2780" s="39" t="s">
        <v>5154</v>
      </c>
      <c r="H2780" s="12"/>
      <c r="L2780" s="12"/>
    </row>
    <row r="2781" spans="1:12" ht="15.75" customHeight="1" x14ac:dyDescent="0.3">
      <c r="A2781" s="29" t="s">
        <v>1220</v>
      </c>
      <c r="B2781" s="50" t="str">
        <f>VLOOKUP(A2781,'Sales Order'!A$2:B$1029,1,0)</f>
        <v>SO0982</v>
      </c>
      <c r="C2781" s="29" t="s">
        <v>55</v>
      </c>
      <c r="D2781" s="50" t="str">
        <f>VLOOKUP(C2781,Product!A$2:B$21,1,0)</f>
        <v>PD0011</v>
      </c>
      <c r="E2781" s="36">
        <v>92</v>
      </c>
      <c r="F2781" s="38">
        <v>186644080</v>
      </c>
      <c r="G2781" s="39" t="s">
        <v>5155</v>
      </c>
      <c r="H2781" s="12"/>
      <c r="L2781" s="12"/>
    </row>
    <row r="2782" spans="1:12" ht="15.75" customHeight="1" x14ac:dyDescent="0.3">
      <c r="A2782" s="29" t="s">
        <v>1220</v>
      </c>
      <c r="B2782" s="50" t="str">
        <f>VLOOKUP(A2782,'Sales Order'!A$2:B$1029,1,0)</f>
        <v>SO0982</v>
      </c>
      <c r="C2782" s="29" t="s">
        <v>19</v>
      </c>
      <c r="D2782" s="50" t="str">
        <f>VLOOKUP(C2782,Product!A$2:B$21,1,0)</f>
        <v>PD0001</v>
      </c>
      <c r="E2782" s="36">
        <v>117</v>
      </c>
      <c r="F2782" s="38">
        <v>27676350</v>
      </c>
      <c r="G2782" s="39" t="s">
        <v>5156</v>
      </c>
      <c r="H2782" s="12"/>
      <c r="L2782" s="12"/>
    </row>
    <row r="2783" spans="1:12" ht="15.75" customHeight="1" x14ac:dyDescent="0.3">
      <c r="A2783" s="17" t="s">
        <v>1221</v>
      </c>
      <c r="B2783" s="50" t="str">
        <f>VLOOKUP(A2783,'Sales Order'!A$2:B$1029,1,0)</f>
        <v>SO0983</v>
      </c>
      <c r="C2783" s="29" t="s">
        <v>55</v>
      </c>
      <c r="D2783" s="50" t="str">
        <f>VLOOKUP(C2783,Product!A$2:B$21,1,0)</f>
        <v>PD0011</v>
      </c>
      <c r="E2783" s="36">
        <v>90</v>
      </c>
      <c r="F2783" s="38">
        <v>199571400</v>
      </c>
      <c r="G2783" s="39" t="s">
        <v>5157</v>
      </c>
      <c r="H2783" s="12"/>
      <c r="L2783" s="12"/>
    </row>
    <row r="2784" spans="1:12" ht="15.75" customHeight="1" x14ac:dyDescent="0.3">
      <c r="A2784" s="29" t="s">
        <v>1221</v>
      </c>
      <c r="B2784" s="50" t="str">
        <f>VLOOKUP(A2784,'Sales Order'!A$2:B$1029,1,0)</f>
        <v>SO0983</v>
      </c>
      <c r="C2784" s="29" t="s">
        <v>28</v>
      </c>
      <c r="D2784" s="50" t="str">
        <f>VLOOKUP(C2784,Product!A$2:B$21,1,0)</f>
        <v>PD0003</v>
      </c>
      <c r="E2784" s="36">
        <v>83</v>
      </c>
      <c r="F2784" s="38">
        <v>68772970</v>
      </c>
      <c r="G2784" s="39" t="s">
        <v>5158</v>
      </c>
      <c r="H2784" s="12"/>
      <c r="L2784" s="12"/>
    </row>
    <row r="2785" spans="1:12" ht="15.75" customHeight="1" x14ac:dyDescent="0.3">
      <c r="A2785" s="29" t="s">
        <v>1221</v>
      </c>
      <c r="B2785" s="50" t="str">
        <f>VLOOKUP(A2785,'Sales Order'!A$2:B$1029,1,0)</f>
        <v>SO0983</v>
      </c>
      <c r="C2785" s="29" t="s">
        <v>43</v>
      </c>
      <c r="D2785" s="50" t="str">
        <f>VLOOKUP(C2785,Product!A$2:B$21,1,0)</f>
        <v>PD0007</v>
      </c>
      <c r="E2785" s="36">
        <v>46</v>
      </c>
      <c r="F2785" s="38">
        <v>122176000</v>
      </c>
      <c r="G2785" s="39" t="s">
        <v>5159</v>
      </c>
      <c r="H2785" s="12"/>
      <c r="L2785" s="12"/>
    </row>
    <row r="2786" spans="1:12" ht="15.75" customHeight="1" x14ac:dyDescent="0.3">
      <c r="A2786" s="17" t="s">
        <v>1222</v>
      </c>
      <c r="B2786" s="50" t="str">
        <f>VLOOKUP(A2786,'Sales Order'!A$2:B$1029,1,0)</f>
        <v>SO0984</v>
      </c>
      <c r="C2786" s="29" t="s">
        <v>52</v>
      </c>
      <c r="D2786" s="50" t="str">
        <f>VLOOKUP(C2786,Product!A$2:B$21,1,0)</f>
        <v>PD0010</v>
      </c>
      <c r="E2786" s="36">
        <v>84</v>
      </c>
      <c r="F2786" s="38">
        <v>21567000</v>
      </c>
      <c r="G2786" s="39" t="s">
        <v>5160</v>
      </c>
      <c r="H2786" s="12"/>
      <c r="L2786" s="12"/>
    </row>
    <row r="2787" spans="1:12" ht="15.75" customHeight="1" x14ac:dyDescent="0.3">
      <c r="A2787" s="29" t="s">
        <v>1222</v>
      </c>
      <c r="B2787" s="50" t="str">
        <f>VLOOKUP(A2787,'Sales Order'!A$2:B$1029,1,0)</f>
        <v>SO0984</v>
      </c>
      <c r="C2787" s="29" t="s">
        <v>28</v>
      </c>
      <c r="D2787" s="50" t="str">
        <f>VLOOKUP(C2787,Product!A$2:B$21,1,0)</f>
        <v>PD0003</v>
      </c>
      <c r="E2787" s="36">
        <v>110</v>
      </c>
      <c r="F2787" s="38">
        <v>85000300</v>
      </c>
      <c r="G2787" s="39" t="s">
        <v>5161</v>
      </c>
      <c r="H2787" s="12"/>
      <c r="L2787" s="12"/>
    </row>
    <row r="2788" spans="1:12" ht="15.75" customHeight="1" x14ac:dyDescent="0.3">
      <c r="A2788" s="29" t="s">
        <v>1222</v>
      </c>
      <c r="B2788" s="50" t="str">
        <f>VLOOKUP(A2788,'Sales Order'!A$2:B$1029,1,0)</f>
        <v>SO0984</v>
      </c>
      <c r="C2788" s="29" t="s">
        <v>58</v>
      </c>
      <c r="D2788" s="50" t="str">
        <f>VLOOKUP(C2788,Product!A$2:B$21,1,0)</f>
        <v>PD0012</v>
      </c>
      <c r="E2788" s="36">
        <v>28</v>
      </c>
      <c r="F2788" s="38">
        <v>145260640</v>
      </c>
      <c r="G2788" s="39" t="s">
        <v>5162</v>
      </c>
      <c r="H2788" s="12"/>
      <c r="L2788" s="12"/>
    </row>
    <row r="2789" spans="1:12" ht="15.75" customHeight="1" x14ac:dyDescent="0.3">
      <c r="A2789" s="29" t="s">
        <v>1222</v>
      </c>
      <c r="B2789" s="50" t="str">
        <f>VLOOKUP(A2789,'Sales Order'!A$2:B$1029,1,0)</f>
        <v>SO0984</v>
      </c>
      <c r="C2789" s="29" t="s">
        <v>19</v>
      </c>
      <c r="D2789" s="50" t="str">
        <f>VLOOKUP(C2789,Product!A$2:B$21,1,0)</f>
        <v>PD0001</v>
      </c>
      <c r="E2789" s="36">
        <v>42</v>
      </c>
      <c r="F2789" s="38">
        <v>9516780</v>
      </c>
      <c r="G2789" s="39" t="s">
        <v>5163</v>
      </c>
      <c r="H2789" s="12"/>
      <c r="L2789" s="12"/>
    </row>
    <row r="2790" spans="1:12" ht="15.75" customHeight="1" x14ac:dyDescent="0.3">
      <c r="A2790" s="17" t="s">
        <v>1223</v>
      </c>
      <c r="B2790" s="50" t="str">
        <f>VLOOKUP(A2790,'Sales Order'!A$2:B$1029,1,0)</f>
        <v>SO0985</v>
      </c>
      <c r="C2790" s="29" t="s">
        <v>25</v>
      </c>
      <c r="D2790" s="50" t="str">
        <f>VLOOKUP(C2790,Product!A$2:B$21,1,0)</f>
        <v>PD0002</v>
      </c>
      <c r="E2790" s="36">
        <v>148</v>
      </c>
      <c r="F2790" s="38">
        <v>2575200</v>
      </c>
      <c r="G2790" s="39" t="s">
        <v>5164</v>
      </c>
      <c r="H2790" s="12"/>
      <c r="L2790" s="12"/>
    </row>
    <row r="2791" spans="1:12" ht="15.75" customHeight="1" x14ac:dyDescent="0.3">
      <c r="A2791" s="29" t="s">
        <v>1223</v>
      </c>
      <c r="B2791" s="50" t="str">
        <f>VLOOKUP(A2791,'Sales Order'!A$2:B$1029,1,0)</f>
        <v>SO0985</v>
      </c>
      <c r="C2791" s="29" t="s">
        <v>40</v>
      </c>
      <c r="D2791" s="50" t="str">
        <f>VLOOKUP(C2791,Product!A$2:B$21,1,0)</f>
        <v>PD0006</v>
      </c>
      <c r="E2791" s="36">
        <v>81</v>
      </c>
      <c r="F2791" s="38">
        <v>14558940</v>
      </c>
      <c r="G2791" s="39" t="s">
        <v>5165</v>
      </c>
      <c r="H2791" s="12"/>
      <c r="L2791" s="12"/>
    </row>
    <row r="2792" spans="1:12" ht="15.75" customHeight="1" x14ac:dyDescent="0.3">
      <c r="A2792" s="17" t="s">
        <v>1224</v>
      </c>
      <c r="B2792" s="50" t="str">
        <f>VLOOKUP(A2792,'Sales Order'!A$2:B$1029,1,0)</f>
        <v>SO0986</v>
      </c>
      <c r="C2792" s="29" t="s">
        <v>81</v>
      </c>
      <c r="D2792" s="50" t="str">
        <f>VLOOKUP(C2792,Product!A$2:B$21,1,0)</f>
        <v>PD0019</v>
      </c>
      <c r="E2792" s="36">
        <v>59</v>
      </c>
      <c r="F2792" s="38">
        <v>115801070</v>
      </c>
      <c r="G2792" s="39" t="s">
        <v>5166</v>
      </c>
      <c r="H2792" s="12"/>
      <c r="L2792" s="12"/>
    </row>
    <row r="2793" spans="1:12" ht="15.75" customHeight="1" x14ac:dyDescent="0.3">
      <c r="A2793" s="29" t="s">
        <v>1224</v>
      </c>
      <c r="B2793" s="50" t="str">
        <f>VLOOKUP(A2793,'Sales Order'!A$2:B$1029,1,0)</f>
        <v>SO0986</v>
      </c>
      <c r="C2793" s="29" t="s">
        <v>83</v>
      </c>
      <c r="D2793" s="50" t="str">
        <f>VLOOKUP(C2793,Product!A$2:B$21,1,0)</f>
        <v>PD0020</v>
      </c>
      <c r="E2793" s="36">
        <v>137</v>
      </c>
      <c r="F2793" s="38">
        <v>37820220</v>
      </c>
      <c r="G2793" s="39" t="s">
        <v>5167</v>
      </c>
      <c r="H2793" s="12"/>
      <c r="L2793" s="12"/>
    </row>
    <row r="2794" spans="1:12" ht="15.75" customHeight="1" x14ac:dyDescent="0.3">
      <c r="A2794" s="17" t="s">
        <v>1225</v>
      </c>
      <c r="B2794" s="50" t="str">
        <f>VLOOKUP(A2794,'Sales Order'!A$2:B$1029,1,0)</f>
        <v>SO0987</v>
      </c>
      <c r="C2794" s="29" t="s">
        <v>69</v>
      </c>
      <c r="D2794" s="50" t="str">
        <f>VLOOKUP(C2794,Product!A$2:B$21,1,0)</f>
        <v>PD0015</v>
      </c>
      <c r="E2794" s="36">
        <v>122</v>
      </c>
      <c r="F2794" s="38">
        <v>14092830</v>
      </c>
      <c r="G2794" s="39" t="s">
        <v>5168</v>
      </c>
      <c r="H2794" s="12"/>
      <c r="L2794" s="12"/>
    </row>
    <row r="2795" spans="1:12" ht="15.75" customHeight="1" x14ac:dyDescent="0.3">
      <c r="A2795" s="29" t="s">
        <v>1225</v>
      </c>
      <c r="B2795" s="50" t="str">
        <f>VLOOKUP(A2795,'Sales Order'!A$2:B$1029,1,0)</f>
        <v>SO0987</v>
      </c>
      <c r="C2795" s="29" t="s">
        <v>55</v>
      </c>
      <c r="D2795" s="50" t="str">
        <f>VLOOKUP(C2795,Product!A$2:B$21,1,0)</f>
        <v>PD0011</v>
      </c>
      <c r="E2795" s="36">
        <v>114</v>
      </c>
      <c r="F2795" s="38">
        <v>231276360</v>
      </c>
      <c r="G2795" s="39" t="s">
        <v>5169</v>
      </c>
      <c r="H2795" s="12"/>
      <c r="L2795" s="12"/>
    </row>
    <row r="2796" spans="1:12" ht="15.75" customHeight="1" x14ac:dyDescent="0.3">
      <c r="A2796" s="17" t="s">
        <v>1226</v>
      </c>
      <c r="B2796" s="50" t="str">
        <f>VLOOKUP(A2796,'Sales Order'!A$2:B$1029,1,0)</f>
        <v>SO0988</v>
      </c>
      <c r="C2796" s="29" t="s">
        <v>19</v>
      </c>
      <c r="D2796" s="50" t="str">
        <f>VLOOKUP(C2796,Product!A$2:B$21,1,0)</f>
        <v>PD0001</v>
      </c>
      <c r="E2796" s="36">
        <v>99</v>
      </c>
      <c r="F2796" s="38">
        <v>20213820</v>
      </c>
      <c r="G2796" s="39" t="s">
        <v>5170</v>
      </c>
      <c r="H2796" s="12"/>
      <c r="L2796" s="12"/>
    </row>
    <row r="2797" spans="1:12" ht="15.75" customHeight="1" x14ac:dyDescent="0.3">
      <c r="A2797" s="29" t="s">
        <v>1226</v>
      </c>
      <c r="B2797" s="50" t="str">
        <f>VLOOKUP(A2797,'Sales Order'!A$2:B$1029,1,0)</f>
        <v>SO0988</v>
      </c>
      <c r="C2797" s="29" t="s">
        <v>78</v>
      </c>
      <c r="D2797" s="50" t="str">
        <f>VLOOKUP(C2797,Product!A$2:B$21,1,0)</f>
        <v>PD0018</v>
      </c>
      <c r="E2797" s="36">
        <v>99</v>
      </c>
      <c r="F2797" s="38">
        <v>45294480</v>
      </c>
      <c r="G2797" s="39" t="s">
        <v>5171</v>
      </c>
      <c r="H2797" s="12"/>
      <c r="L2797" s="12"/>
    </row>
    <row r="2798" spans="1:12" ht="15.75" customHeight="1" x14ac:dyDescent="0.3">
      <c r="A2798" s="29" t="s">
        <v>1226</v>
      </c>
      <c r="B2798" s="50" t="str">
        <f>VLOOKUP(A2798,'Sales Order'!A$2:B$1029,1,0)</f>
        <v>SO0988</v>
      </c>
      <c r="C2798" s="29" t="s">
        <v>61</v>
      </c>
      <c r="D2798" s="50" t="str">
        <f>VLOOKUP(C2798,Product!A$2:B$21,1,0)</f>
        <v>PD0013</v>
      </c>
      <c r="E2798" s="36">
        <v>89</v>
      </c>
      <c r="F2798" s="38">
        <v>40073140</v>
      </c>
      <c r="G2798" s="39" t="s">
        <v>5172</v>
      </c>
      <c r="H2798" s="12"/>
      <c r="L2798" s="12"/>
    </row>
    <row r="2799" spans="1:12" ht="15.75" customHeight="1" x14ac:dyDescent="0.3">
      <c r="A2799" s="17" t="s">
        <v>1227</v>
      </c>
      <c r="B2799" s="50" t="str">
        <f>VLOOKUP(A2799,'Sales Order'!A$2:B$1029,1,0)</f>
        <v>SO0989</v>
      </c>
      <c r="C2799" s="29" t="s">
        <v>33</v>
      </c>
      <c r="D2799" s="50" t="str">
        <f>VLOOKUP(C2799,Product!A$2:B$21,1,0)</f>
        <v>PD0004</v>
      </c>
      <c r="E2799" s="36">
        <v>35</v>
      </c>
      <c r="F2799" s="38">
        <v>5775000</v>
      </c>
      <c r="G2799" s="39" t="s">
        <v>5173</v>
      </c>
      <c r="H2799" s="12"/>
      <c r="L2799" s="12"/>
    </row>
    <row r="2800" spans="1:12" ht="15.75" customHeight="1" x14ac:dyDescent="0.3">
      <c r="A2800" s="17" t="s">
        <v>1228</v>
      </c>
      <c r="B2800" s="50" t="str">
        <f>VLOOKUP(A2800,'Sales Order'!A$2:B$1029,1,0)</f>
        <v>SO0990</v>
      </c>
      <c r="C2800" s="29" t="s">
        <v>52</v>
      </c>
      <c r="D2800" s="50" t="str">
        <f>VLOOKUP(C2800,Product!A$2:B$21,1,0)</f>
        <v>PD0010</v>
      </c>
      <c r="E2800" s="36">
        <v>27</v>
      </c>
      <c r="F2800" s="38">
        <v>7634250</v>
      </c>
      <c r="G2800" s="39" t="s">
        <v>5174</v>
      </c>
      <c r="H2800" s="12"/>
      <c r="L2800" s="12"/>
    </row>
    <row r="2801" spans="1:12" ht="15.75" customHeight="1" x14ac:dyDescent="0.3">
      <c r="A2801" s="17" t="s">
        <v>1229</v>
      </c>
      <c r="B2801" s="50" t="str">
        <f>VLOOKUP(A2801,'Sales Order'!A$2:B$1029,1,0)</f>
        <v>SO0991</v>
      </c>
      <c r="C2801" s="29" t="s">
        <v>52</v>
      </c>
      <c r="D2801" s="50" t="str">
        <f>VLOOKUP(C2801,Product!A$2:B$21,1,0)</f>
        <v>PD0010</v>
      </c>
      <c r="E2801" s="36">
        <v>63</v>
      </c>
      <c r="F2801" s="38">
        <v>18427500</v>
      </c>
      <c r="G2801" s="39" t="s">
        <v>5175</v>
      </c>
      <c r="H2801" s="12"/>
      <c r="L2801" s="12"/>
    </row>
    <row r="2802" spans="1:12" ht="15.75" customHeight="1" x14ac:dyDescent="0.3">
      <c r="A2802" s="17" t="s">
        <v>1230</v>
      </c>
      <c r="B2802" s="50" t="str">
        <f>VLOOKUP(A2802,'Sales Order'!A$2:B$1029,1,0)</f>
        <v>SO0992</v>
      </c>
      <c r="C2802" s="29" t="s">
        <v>28</v>
      </c>
      <c r="D2802" s="50" t="str">
        <f>VLOOKUP(C2802,Product!A$2:B$21,1,0)</f>
        <v>PD0003</v>
      </c>
      <c r="E2802" s="36">
        <v>92</v>
      </c>
      <c r="F2802" s="38">
        <v>79656360</v>
      </c>
      <c r="G2802" s="39" t="s">
        <v>5176</v>
      </c>
      <c r="H2802" s="12"/>
      <c r="L2802" s="12"/>
    </row>
    <row r="2803" spans="1:12" ht="15.75" customHeight="1" x14ac:dyDescent="0.3">
      <c r="A2803" s="29" t="s">
        <v>1230</v>
      </c>
      <c r="B2803" s="50" t="str">
        <f>VLOOKUP(A2803,'Sales Order'!A$2:B$1029,1,0)</f>
        <v>SO0992</v>
      </c>
      <c r="C2803" s="29" t="s">
        <v>55</v>
      </c>
      <c r="D2803" s="50" t="str">
        <f>VLOOKUP(C2803,Product!A$2:B$21,1,0)</f>
        <v>PD0011</v>
      </c>
      <c r="E2803" s="36">
        <v>57</v>
      </c>
      <c r="F2803" s="38">
        <v>103536510</v>
      </c>
      <c r="G2803" s="39" t="s">
        <v>5177</v>
      </c>
      <c r="H2803" s="12"/>
      <c r="L2803" s="12"/>
    </row>
    <row r="2804" spans="1:12" ht="15.75" customHeight="1" x14ac:dyDescent="0.3">
      <c r="A2804" s="29" t="s">
        <v>1230</v>
      </c>
      <c r="B2804" s="50" t="str">
        <f>VLOOKUP(A2804,'Sales Order'!A$2:B$1029,1,0)</f>
        <v>SO0992</v>
      </c>
      <c r="C2804" s="29" t="s">
        <v>65</v>
      </c>
      <c r="D2804" s="50" t="str">
        <f>VLOOKUP(C2804,Product!A$2:B$21,1,0)</f>
        <v>PD0014</v>
      </c>
      <c r="E2804" s="36">
        <v>68</v>
      </c>
      <c r="F2804" s="38">
        <v>16158840</v>
      </c>
      <c r="G2804" s="39" t="s">
        <v>5178</v>
      </c>
      <c r="H2804" s="12"/>
      <c r="L2804" s="12"/>
    </row>
    <row r="2805" spans="1:12" ht="15.75" customHeight="1" x14ac:dyDescent="0.3">
      <c r="A2805" s="17" t="s">
        <v>1231</v>
      </c>
      <c r="B2805" s="50" t="str">
        <f>VLOOKUP(A2805,'Sales Order'!A$2:B$1029,1,0)</f>
        <v>SO0993</v>
      </c>
      <c r="C2805" s="29" t="s">
        <v>83</v>
      </c>
      <c r="D2805" s="50" t="str">
        <f>VLOOKUP(C2805,Product!A$2:B$21,1,0)</f>
        <v>PD0020</v>
      </c>
      <c r="E2805" s="36">
        <v>108</v>
      </c>
      <c r="F2805" s="38">
        <v>26347680</v>
      </c>
      <c r="G2805" s="39" t="s">
        <v>5179</v>
      </c>
      <c r="H2805" s="12"/>
      <c r="L2805" s="12"/>
    </row>
    <row r="2806" spans="1:12" ht="15.75" customHeight="1" x14ac:dyDescent="0.3">
      <c r="A2806" s="29" t="s">
        <v>1231</v>
      </c>
      <c r="B2806" s="50" t="str">
        <f>VLOOKUP(A2806,'Sales Order'!A$2:B$1029,1,0)</f>
        <v>SO0993</v>
      </c>
      <c r="C2806" s="29" t="s">
        <v>52</v>
      </c>
      <c r="D2806" s="50" t="str">
        <f>VLOOKUP(C2806,Product!A$2:B$21,1,0)</f>
        <v>PD0010</v>
      </c>
      <c r="E2806" s="36">
        <v>90</v>
      </c>
      <c r="F2806" s="38">
        <v>27202500</v>
      </c>
      <c r="G2806" s="39" t="s">
        <v>5180</v>
      </c>
      <c r="H2806" s="12"/>
      <c r="L2806" s="12"/>
    </row>
    <row r="2807" spans="1:12" ht="15.75" customHeight="1" x14ac:dyDescent="0.3">
      <c r="A2807" s="29" t="s">
        <v>1231</v>
      </c>
      <c r="B2807" s="50" t="str">
        <f>VLOOKUP(A2807,'Sales Order'!A$2:B$1029,1,0)</f>
        <v>SO0993</v>
      </c>
      <c r="C2807" s="29" t="s">
        <v>58</v>
      </c>
      <c r="D2807" s="50" t="str">
        <f>VLOOKUP(C2807,Product!A$2:B$21,1,0)</f>
        <v>PD0012</v>
      </c>
      <c r="E2807" s="36">
        <v>73</v>
      </c>
      <c r="F2807" s="38">
        <v>386948180</v>
      </c>
      <c r="G2807" s="39" t="s">
        <v>5181</v>
      </c>
      <c r="H2807" s="12"/>
      <c r="L2807" s="12"/>
    </row>
    <row r="2808" spans="1:12" ht="15.75" customHeight="1" x14ac:dyDescent="0.3">
      <c r="A2808" s="29" t="s">
        <v>1231</v>
      </c>
      <c r="B2808" s="50" t="str">
        <f>VLOOKUP(A2808,'Sales Order'!A$2:B$1029,1,0)</f>
        <v>SO0993</v>
      </c>
      <c r="C2808" s="29" t="s">
        <v>25</v>
      </c>
      <c r="D2808" s="50" t="str">
        <f>VLOOKUP(C2808,Product!A$2:B$21,1,0)</f>
        <v>PD0002</v>
      </c>
      <c r="E2808" s="36">
        <v>53</v>
      </c>
      <c r="F2808" s="38">
        <v>795000</v>
      </c>
      <c r="G2808" s="39" t="s">
        <v>5182</v>
      </c>
      <c r="H2808" s="12"/>
      <c r="L2808" s="12"/>
    </row>
    <row r="2809" spans="1:12" ht="15.75" customHeight="1" x14ac:dyDescent="0.3">
      <c r="A2809" s="17" t="s">
        <v>1232</v>
      </c>
      <c r="B2809" s="50" t="str">
        <f>VLOOKUP(A2809,'Sales Order'!A$2:B$1029,1,0)</f>
        <v>SO0994</v>
      </c>
      <c r="C2809" s="29" t="s">
        <v>65</v>
      </c>
      <c r="D2809" s="50" t="str">
        <f>VLOOKUP(C2809,Product!A$2:B$21,1,0)</f>
        <v>PD0014</v>
      </c>
      <c r="E2809" s="36">
        <v>96</v>
      </c>
      <c r="F2809" s="38">
        <v>24094080</v>
      </c>
      <c r="G2809" s="39" t="s">
        <v>5183</v>
      </c>
      <c r="H2809" s="12"/>
      <c r="L2809" s="12"/>
    </row>
    <row r="2810" spans="1:12" ht="15.75" customHeight="1" x14ac:dyDescent="0.3">
      <c r="A2810" s="29" t="s">
        <v>1232</v>
      </c>
      <c r="B2810" s="50" t="str">
        <f>VLOOKUP(A2810,'Sales Order'!A$2:B$1029,1,0)</f>
        <v>SO0994</v>
      </c>
      <c r="C2810" s="29" t="s">
        <v>61</v>
      </c>
      <c r="D2810" s="50" t="str">
        <f>VLOOKUP(C2810,Product!A$2:B$21,1,0)</f>
        <v>PD0013</v>
      </c>
      <c r="E2810" s="36">
        <v>142</v>
      </c>
      <c r="F2810" s="38">
        <v>54414400</v>
      </c>
      <c r="G2810" s="39" t="s">
        <v>5184</v>
      </c>
      <c r="H2810" s="12"/>
      <c r="L2810" s="12"/>
    </row>
    <row r="2811" spans="1:12" ht="15.75" customHeight="1" x14ac:dyDescent="0.3">
      <c r="A2811" s="29" t="s">
        <v>1232</v>
      </c>
      <c r="B2811" s="50" t="str">
        <f>VLOOKUP(A2811,'Sales Order'!A$2:B$1029,1,0)</f>
        <v>SO0994</v>
      </c>
      <c r="C2811" s="29" t="s">
        <v>81</v>
      </c>
      <c r="D2811" s="50" t="str">
        <f>VLOOKUP(C2811,Product!A$2:B$21,1,0)</f>
        <v>PD0019</v>
      </c>
      <c r="E2811" s="36">
        <v>50</v>
      </c>
      <c r="F2811" s="38">
        <v>98136500</v>
      </c>
      <c r="G2811" s="39" t="s">
        <v>5185</v>
      </c>
      <c r="H2811" s="12"/>
      <c r="L2811" s="12"/>
    </row>
    <row r="2812" spans="1:12" ht="15.75" customHeight="1" x14ac:dyDescent="0.3">
      <c r="A2812" s="17" t="s">
        <v>1233</v>
      </c>
      <c r="B2812" s="50" t="str">
        <f>VLOOKUP(A2812,'Sales Order'!A$2:B$1029,1,0)</f>
        <v>SO0995</v>
      </c>
      <c r="C2812" s="29" t="s">
        <v>69</v>
      </c>
      <c r="D2812" s="50" t="str">
        <f>VLOOKUP(C2812,Product!A$2:B$21,1,0)</f>
        <v>PD0015</v>
      </c>
      <c r="E2812" s="36">
        <v>66</v>
      </c>
      <c r="F2812" s="38">
        <v>7444602</v>
      </c>
      <c r="G2812" s="39" t="s">
        <v>5186</v>
      </c>
      <c r="H2812" s="12"/>
      <c r="L2812" s="12"/>
    </row>
    <row r="2813" spans="1:12" ht="15.75" customHeight="1" x14ac:dyDescent="0.3">
      <c r="A2813" s="29" t="s">
        <v>1233</v>
      </c>
      <c r="B2813" s="50" t="str">
        <f>VLOOKUP(A2813,'Sales Order'!A$2:B$1029,1,0)</f>
        <v>SO0995</v>
      </c>
      <c r="C2813" s="29" t="s">
        <v>40</v>
      </c>
      <c r="D2813" s="50" t="str">
        <f>VLOOKUP(C2813,Product!A$2:B$21,1,0)</f>
        <v>PD0006</v>
      </c>
      <c r="E2813" s="36">
        <v>61</v>
      </c>
      <c r="F2813" s="38">
        <v>10836650</v>
      </c>
      <c r="G2813" s="39" t="s">
        <v>5187</v>
      </c>
      <c r="H2813" s="12"/>
      <c r="L2813" s="12"/>
    </row>
    <row r="2814" spans="1:12" ht="15.75" customHeight="1" x14ac:dyDescent="0.3">
      <c r="A2814" s="17" t="s">
        <v>1234</v>
      </c>
      <c r="B2814" s="50" t="str">
        <f>VLOOKUP(A2814,'Sales Order'!A$2:B$1029,1,0)</f>
        <v>SO0996</v>
      </c>
      <c r="C2814" s="29" t="s">
        <v>40</v>
      </c>
      <c r="D2814" s="50" t="str">
        <f>VLOOKUP(C2814,Product!A$2:B$21,1,0)</f>
        <v>PD0006</v>
      </c>
      <c r="E2814" s="36">
        <v>50</v>
      </c>
      <c r="F2814" s="38">
        <v>8255500</v>
      </c>
      <c r="G2814" s="39" t="s">
        <v>5188</v>
      </c>
      <c r="H2814" s="12"/>
      <c r="L2814" s="12"/>
    </row>
    <row r="2815" spans="1:12" ht="15.75" customHeight="1" x14ac:dyDescent="0.3">
      <c r="A2815" s="29" t="s">
        <v>1234</v>
      </c>
      <c r="B2815" s="50" t="str">
        <f>VLOOKUP(A2815,'Sales Order'!A$2:B$1029,1,0)</f>
        <v>SO0996</v>
      </c>
      <c r="C2815" s="29" t="s">
        <v>43</v>
      </c>
      <c r="D2815" s="50" t="str">
        <f>VLOOKUP(C2815,Product!A$2:B$21,1,0)</f>
        <v>PD0007</v>
      </c>
      <c r="E2815" s="36">
        <v>148</v>
      </c>
      <c r="F2815" s="38">
        <v>388352000</v>
      </c>
      <c r="G2815" s="39" t="s">
        <v>5189</v>
      </c>
      <c r="H2815" s="12"/>
      <c r="L2815" s="12"/>
    </row>
    <row r="2816" spans="1:12" ht="15.75" customHeight="1" x14ac:dyDescent="0.3">
      <c r="A2816" s="17" t="s">
        <v>1235</v>
      </c>
      <c r="B2816" s="50" t="str">
        <f>VLOOKUP(A2816,'Sales Order'!A$2:B$1029,1,0)</f>
        <v>SO0997</v>
      </c>
      <c r="C2816" s="29" t="s">
        <v>65</v>
      </c>
      <c r="D2816" s="50" t="str">
        <f>VLOOKUP(C2816,Product!A$2:B$21,1,0)</f>
        <v>PD0014</v>
      </c>
      <c r="E2816" s="36">
        <v>107</v>
      </c>
      <c r="F2816" s="38">
        <v>21998130</v>
      </c>
      <c r="G2816" s="39" t="s">
        <v>5190</v>
      </c>
      <c r="H2816" s="12"/>
      <c r="L2816" s="12"/>
    </row>
    <row r="2817" spans="1:12" ht="15.75" customHeight="1" x14ac:dyDescent="0.3">
      <c r="A2817" s="29" t="s">
        <v>1235</v>
      </c>
      <c r="B2817" s="50" t="str">
        <f>VLOOKUP(A2817,'Sales Order'!A$2:B$1029,1,0)</f>
        <v>SO0997</v>
      </c>
      <c r="C2817" s="29" t="s">
        <v>75</v>
      </c>
      <c r="D2817" s="50" t="str">
        <f>VLOOKUP(C2817,Product!A$2:B$21,1,0)</f>
        <v>PD0017</v>
      </c>
      <c r="E2817" s="36">
        <v>101</v>
      </c>
      <c r="F2817" s="38">
        <v>206090500</v>
      </c>
      <c r="G2817" s="39" t="s">
        <v>5191</v>
      </c>
      <c r="H2817" s="12"/>
      <c r="L2817" s="12"/>
    </row>
    <row r="2818" spans="1:12" ht="15.75" customHeight="1" x14ac:dyDescent="0.3">
      <c r="A2818" s="17" t="s">
        <v>1236</v>
      </c>
      <c r="B2818" s="50" t="str">
        <f>VLOOKUP(A2818,'Sales Order'!A$2:B$1029,1,0)</f>
        <v>SO0998</v>
      </c>
      <c r="C2818" s="29" t="s">
        <v>75</v>
      </c>
      <c r="D2818" s="50" t="str">
        <f>VLOOKUP(C2818,Product!A$2:B$21,1,0)</f>
        <v>PD0017</v>
      </c>
      <c r="E2818" s="36">
        <v>102</v>
      </c>
      <c r="F2818" s="38">
        <v>245973000</v>
      </c>
      <c r="G2818" s="39" t="s">
        <v>5192</v>
      </c>
      <c r="H2818" s="12"/>
      <c r="L2818" s="12"/>
    </row>
    <row r="2819" spans="1:12" ht="15.75" customHeight="1" x14ac:dyDescent="0.3">
      <c r="A2819" s="29" t="s">
        <v>1236</v>
      </c>
      <c r="B2819" s="50" t="str">
        <f>VLOOKUP(A2819,'Sales Order'!A$2:B$1029,1,0)</f>
        <v>SO0998</v>
      </c>
      <c r="C2819" s="29" t="s">
        <v>40</v>
      </c>
      <c r="D2819" s="50" t="str">
        <f>VLOOKUP(C2819,Product!A$2:B$21,1,0)</f>
        <v>PD0006</v>
      </c>
      <c r="E2819" s="36">
        <v>147</v>
      </c>
      <c r="F2819" s="38">
        <v>27343470</v>
      </c>
      <c r="G2819" s="39" t="s">
        <v>5193</v>
      </c>
      <c r="H2819" s="12"/>
      <c r="L2819" s="12"/>
    </row>
    <row r="2820" spans="1:12" ht="15.75" customHeight="1" x14ac:dyDescent="0.3">
      <c r="A2820" s="29" t="s">
        <v>1236</v>
      </c>
      <c r="B2820" s="50" t="str">
        <f>VLOOKUP(A2820,'Sales Order'!A$2:B$1029,1,0)</f>
        <v>SO0998</v>
      </c>
      <c r="C2820" s="29" t="s">
        <v>55</v>
      </c>
      <c r="D2820" s="50" t="str">
        <f>VLOOKUP(C2820,Product!A$2:B$21,1,0)</f>
        <v>PD0011</v>
      </c>
      <c r="E2820" s="36">
        <v>143</v>
      </c>
      <c r="F2820" s="38">
        <v>253002750</v>
      </c>
      <c r="G2820" s="39" t="s">
        <v>5194</v>
      </c>
      <c r="H2820" s="12"/>
      <c r="L2820" s="12"/>
    </row>
    <row r="2821" spans="1:12" ht="15.75" customHeight="1" x14ac:dyDescent="0.3">
      <c r="A2821" s="29" t="s">
        <v>1236</v>
      </c>
      <c r="B2821" s="50" t="str">
        <f>VLOOKUP(A2821,'Sales Order'!A$2:B$1029,1,0)</f>
        <v>SO0998</v>
      </c>
      <c r="C2821" s="29" t="s">
        <v>69</v>
      </c>
      <c r="D2821" s="50" t="str">
        <f>VLOOKUP(C2821,Product!A$2:B$21,1,0)</f>
        <v>PD0015</v>
      </c>
      <c r="E2821" s="36">
        <v>147</v>
      </c>
      <c r="F2821" s="38">
        <v>17380251</v>
      </c>
      <c r="G2821" s="39" t="s">
        <v>5195</v>
      </c>
      <c r="H2821" s="12"/>
      <c r="L2821" s="12"/>
    </row>
    <row r="2822" spans="1:12" ht="15.75" customHeight="1" x14ac:dyDescent="0.3">
      <c r="A2822" s="17" t="s">
        <v>1237</v>
      </c>
      <c r="B2822" s="50" t="str">
        <f>VLOOKUP(A2822,'Sales Order'!A$2:B$1029,1,0)</f>
        <v>SO0999</v>
      </c>
      <c r="C2822" s="29" t="s">
        <v>75</v>
      </c>
      <c r="D2822" s="50" t="str">
        <f>VLOOKUP(C2822,Product!A$2:B$21,1,0)</f>
        <v>PD0017</v>
      </c>
      <c r="E2822" s="36">
        <v>114</v>
      </c>
      <c r="F2822" s="38">
        <v>235638000</v>
      </c>
      <c r="G2822" s="39" t="s">
        <v>5196</v>
      </c>
      <c r="H2822" s="12"/>
      <c r="L2822" s="12"/>
    </row>
    <row r="2823" spans="1:12" ht="15.75" customHeight="1" x14ac:dyDescent="0.3">
      <c r="A2823" s="29" t="s">
        <v>1237</v>
      </c>
      <c r="B2823" s="50" t="str">
        <f>VLOOKUP(A2823,'Sales Order'!A$2:B$1029,1,0)</f>
        <v>SO0999</v>
      </c>
      <c r="C2823" s="29" t="s">
        <v>58</v>
      </c>
      <c r="D2823" s="50" t="str">
        <f>VLOOKUP(C2823,Product!A$2:B$21,1,0)</f>
        <v>PD0012</v>
      </c>
      <c r="E2823" s="36">
        <v>106</v>
      </c>
      <c r="F2823" s="38">
        <v>466232520</v>
      </c>
      <c r="G2823" s="39" t="s">
        <v>5197</v>
      </c>
      <c r="H2823" s="12"/>
      <c r="L2823" s="12"/>
    </row>
    <row r="2824" spans="1:12" ht="15.75" customHeight="1" x14ac:dyDescent="0.3">
      <c r="A2824" s="29" t="s">
        <v>1237</v>
      </c>
      <c r="B2824" s="50" t="str">
        <f>VLOOKUP(A2824,'Sales Order'!A$2:B$1029,1,0)</f>
        <v>SO0999</v>
      </c>
      <c r="C2824" s="29" t="s">
        <v>43</v>
      </c>
      <c r="D2824" s="50" t="str">
        <f>VLOOKUP(C2824,Product!A$2:B$21,1,0)</f>
        <v>PD0007</v>
      </c>
      <c r="E2824" s="36">
        <v>59</v>
      </c>
      <c r="F2824" s="38">
        <v>145376000</v>
      </c>
      <c r="G2824" s="39" t="s">
        <v>5198</v>
      </c>
      <c r="H2824" s="12"/>
      <c r="L2824" s="12"/>
    </row>
    <row r="2825" spans="1:12" ht="15.75" customHeight="1" x14ac:dyDescent="0.3">
      <c r="A2825" s="29" t="s">
        <v>1237</v>
      </c>
      <c r="B2825" s="50" t="str">
        <f>VLOOKUP(A2825,'Sales Order'!A$2:B$1029,1,0)</f>
        <v>SO0999</v>
      </c>
      <c r="C2825" s="29" t="s">
        <v>25</v>
      </c>
      <c r="D2825" s="50" t="str">
        <f>VLOOKUP(C2825,Product!A$2:B$21,1,0)</f>
        <v>PD0002</v>
      </c>
      <c r="E2825" s="36">
        <v>99</v>
      </c>
      <c r="F2825" s="38">
        <v>1544400</v>
      </c>
      <c r="G2825" s="39" t="s">
        <v>5199</v>
      </c>
      <c r="H2825" s="12"/>
      <c r="L2825" s="12"/>
    </row>
    <row r="2826" spans="1:12" ht="15.75" customHeight="1" x14ac:dyDescent="0.3">
      <c r="A2826" s="17" t="s">
        <v>1238</v>
      </c>
      <c r="B2826" s="50" t="str">
        <f>VLOOKUP(A2826,'Sales Order'!A$2:B$1029,1,0)</f>
        <v>SO1000</v>
      </c>
      <c r="C2826" s="29" t="s">
        <v>72</v>
      </c>
      <c r="D2826" s="50" t="str">
        <f>VLOOKUP(C2826,Product!A$2:B$21,1,0)</f>
        <v>PD0016</v>
      </c>
      <c r="E2826" s="36">
        <v>127</v>
      </c>
      <c r="F2826" s="38">
        <v>25770840</v>
      </c>
      <c r="G2826" s="39" t="s">
        <v>5200</v>
      </c>
      <c r="H2826" s="12"/>
      <c r="L2826" s="12"/>
    </row>
    <row r="2827" spans="1:12" ht="15.75" customHeight="1" x14ac:dyDescent="0.3">
      <c r="A2827" s="17" t="s">
        <v>1239</v>
      </c>
      <c r="B2827" s="50" t="str">
        <f>VLOOKUP(A2827,'Sales Order'!A$2:B$1029,1,0)</f>
        <v>SO1001</v>
      </c>
      <c r="C2827" s="29" t="s">
        <v>78</v>
      </c>
      <c r="D2827" s="50" t="str">
        <f>VLOOKUP(C2827,Product!A$2:B$21,1,0)</f>
        <v>PD0018</v>
      </c>
      <c r="E2827" s="36">
        <v>122</v>
      </c>
      <c r="F2827" s="38">
        <v>57115520</v>
      </c>
      <c r="G2827" s="39" t="s">
        <v>5201</v>
      </c>
      <c r="H2827" s="12"/>
      <c r="L2827" s="12"/>
    </row>
    <row r="2828" spans="1:12" ht="15.75" customHeight="1" x14ac:dyDescent="0.3">
      <c r="A2828" s="17" t="s">
        <v>1240</v>
      </c>
      <c r="B2828" s="50" t="str">
        <f>VLOOKUP(A2828,'Sales Order'!A$2:B$1029,1,0)</f>
        <v>SO1002</v>
      </c>
      <c r="C2828" s="29" t="s">
        <v>72</v>
      </c>
      <c r="D2828" s="50" t="str">
        <f>VLOOKUP(C2828,Product!A$2:B$21,1,0)</f>
        <v>PD0016</v>
      </c>
      <c r="E2828" s="36">
        <v>32</v>
      </c>
      <c r="F2828" s="38">
        <v>7518720</v>
      </c>
      <c r="G2828" s="39" t="s">
        <v>5202</v>
      </c>
      <c r="H2828" s="12"/>
      <c r="L2828" s="12"/>
    </row>
    <row r="2829" spans="1:12" ht="15.75" customHeight="1" x14ac:dyDescent="0.3">
      <c r="A2829" s="17" t="s">
        <v>1241</v>
      </c>
      <c r="B2829" s="50" t="str">
        <f>VLOOKUP(A2829,'Sales Order'!A$2:B$1029,1,0)</f>
        <v>SO1003</v>
      </c>
      <c r="C2829" s="29" t="s">
        <v>78</v>
      </c>
      <c r="D2829" s="50" t="str">
        <f>VLOOKUP(C2829,Product!A$2:B$21,1,0)</f>
        <v>PD0018</v>
      </c>
      <c r="E2829" s="36">
        <v>147</v>
      </c>
      <c r="F2829" s="38">
        <v>60217080</v>
      </c>
      <c r="G2829" s="39" t="s">
        <v>5203</v>
      </c>
      <c r="H2829" s="12"/>
      <c r="L2829" s="12"/>
    </row>
    <row r="2830" spans="1:12" ht="15.75" customHeight="1" x14ac:dyDescent="0.3">
      <c r="A2830" s="29" t="s">
        <v>1241</v>
      </c>
      <c r="B2830" s="50" t="str">
        <f>VLOOKUP(A2830,'Sales Order'!A$2:B$1029,1,0)</f>
        <v>SO1003</v>
      </c>
      <c r="C2830" s="29" t="s">
        <v>69</v>
      </c>
      <c r="D2830" s="50" t="str">
        <f>VLOOKUP(C2830,Product!A$2:B$21,1,0)</f>
        <v>PD0015</v>
      </c>
      <c r="E2830" s="36">
        <v>81</v>
      </c>
      <c r="F2830" s="38">
        <v>9797031</v>
      </c>
      <c r="G2830" s="39" t="s">
        <v>5204</v>
      </c>
      <c r="H2830" s="12"/>
      <c r="L2830" s="12"/>
    </row>
    <row r="2831" spans="1:12" ht="15.75" customHeight="1" x14ac:dyDescent="0.3">
      <c r="A2831" s="29" t="s">
        <v>1241</v>
      </c>
      <c r="B2831" s="50" t="str">
        <f>VLOOKUP(A2831,'Sales Order'!A$2:B$1029,1,0)</f>
        <v>SO1003</v>
      </c>
      <c r="C2831" s="29" t="s">
        <v>25</v>
      </c>
      <c r="D2831" s="50" t="str">
        <f>VLOOKUP(C2831,Product!A$2:B$21,1,0)</f>
        <v>PD0002</v>
      </c>
      <c r="E2831" s="36">
        <v>150</v>
      </c>
      <c r="F2831" s="38">
        <v>2310000</v>
      </c>
      <c r="G2831" s="39" t="s">
        <v>5205</v>
      </c>
      <c r="H2831" s="12"/>
      <c r="L2831" s="12"/>
    </row>
    <row r="2832" spans="1:12" ht="15.75" customHeight="1" x14ac:dyDescent="0.3">
      <c r="A2832" s="17" t="s">
        <v>1242</v>
      </c>
      <c r="B2832" s="50" t="str">
        <f>VLOOKUP(A2832,'Sales Order'!A$2:B$1029,1,0)</f>
        <v>SO1004</v>
      </c>
      <c r="C2832" s="29" t="s">
        <v>61</v>
      </c>
      <c r="D2832" s="50" t="str">
        <f>VLOOKUP(C2832,Product!A$2:B$21,1,0)</f>
        <v>PD0013</v>
      </c>
      <c r="E2832" s="36">
        <v>106</v>
      </c>
      <c r="F2832" s="38">
        <v>45188860</v>
      </c>
      <c r="G2832" s="39" t="s">
        <v>5206</v>
      </c>
      <c r="H2832" s="12"/>
      <c r="L2832" s="12"/>
    </row>
    <row r="2833" spans="1:12" ht="15.75" customHeight="1" x14ac:dyDescent="0.3">
      <c r="A2833" s="29" t="s">
        <v>1242</v>
      </c>
      <c r="B2833" s="50" t="str">
        <f>VLOOKUP(A2833,'Sales Order'!A$2:B$1029,1,0)</f>
        <v>SO1004</v>
      </c>
      <c r="C2833" s="29" t="s">
        <v>81</v>
      </c>
      <c r="D2833" s="50" t="str">
        <f>VLOOKUP(C2833,Product!A$2:B$21,1,0)</f>
        <v>PD0019</v>
      </c>
      <c r="E2833" s="36">
        <v>73</v>
      </c>
      <c r="F2833" s="38">
        <v>174912380</v>
      </c>
      <c r="G2833" s="39" t="s">
        <v>5207</v>
      </c>
      <c r="H2833" s="12"/>
      <c r="L2833" s="12"/>
    </row>
    <row r="2834" spans="1:12" ht="15.75" customHeight="1" x14ac:dyDescent="0.3">
      <c r="A2834" s="29" t="s">
        <v>1242</v>
      </c>
      <c r="B2834" s="50" t="str">
        <f>VLOOKUP(A2834,'Sales Order'!A$2:B$1029,1,0)</f>
        <v>SO1004</v>
      </c>
      <c r="C2834" s="29" t="s">
        <v>52</v>
      </c>
      <c r="D2834" s="50" t="str">
        <f>VLOOKUP(C2834,Product!A$2:B$21,1,0)</f>
        <v>PD0010</v>
      </c>
      <c r="E2834" s="36">
        <v>126</v>
      </c>
      <c r="F2834" s="38">
        <v>30712500</v>
      </c>
      <c r="G2834" s="39" t="s">
        <v>5208</v>
      </c>
      <c r="H2834" s="12"/>
      <c r="L2834" s="12"/>
    </row>
    <row r="2835" spans="1:12" ht="15.75" customHeight="1" x14ac:dyDescent="0.3">
      <c r="A2835" s="29" t="s">
        <v>1242</v>
      </c>
      <c r="B2835" s="50" t="str">
        <f>VLOOKUP(A2835,'Sales Order'!A$2:B$1029,1,0)</f>
        <v>SO1004</v>
      </c>
      <c r="C2835" s="29" t="s">
        <v>58</v>
      </c>
      <c r="D2835" s="50" t="str">
        <f>VLOOKUP(C2835,Product!A$2:B$21,1,0)</f>
        <v>PD0012</v>
      </c>
      <c r="E2835" s="36">
        <v>61</v>
      </c>
      <c r="F2835" s="38">
        <v>257984250</v>
      </c>
      <c r="G2835" s="39" t="s">
        <v>5209</v>
      </c>
      <c r="H2835" s="12"/>
      <c r="L2835" s="12"/>
    </row>
    <row r="2836" spans="1:12" ht="15.75" customHeight="1" x14ac:dyDescent="0.3">
      <c r="A2836" s="29" t="s">
        <v>1242</v>
      </c>
      <c r="B2836" s="50" t="str">
        <f>VLOOKUP(A2836,'Sales Order'!A$2:B$1029,1,0)</f>
        <v>SO1004</v>
      </c>
      <c r="C2836" s="29" t="s">
        <v>35</v>
      </c>
      <c r="D2836" s="50" t="str">
        <f>VLOOKUP(C2836,Product!A$2:B$21,1,0)</f>
        <v>PD0005</v>
      </c>
      <c r="E2836" s="36">
        <v>123</v>
      </c>
      <c r="F2836" s="38">
        <v>205188600</v>
      </c>
      <c r="G2836" s="39" t="s">
        <v>5210</v>
      </c>
      <c r="H2836" s="12"/>
      <c r="L2836" s="12"/>
    </row>
    <row r="2837" spans="1:12" ht="15.75" customHeight="1" x14ac:dyDescent="0.3">
      <c r="A2837" s="17" t="s">
        <v>1243</v>
      </c>
      <c r="B2837" s="50" t="str">
        <f>VLOOKUP(A2837,'Sales Order'!A$2:B$1029,1,0)</f>
        <v>SO1005</v>
      </c>
      <c r="C2837" s="29" t="s">
        <v>33</v>
      </c>
      <c r="D2837" s="50" t="str">
        <f>VLOOKUP(C2837,Product!A$2:B$21,1,0)</f>
        <v>PD0004</v>
      </c>
      <c r="E2837" s="36">
        <v>133</v>
      </c>
      <c r="F2837" s="38">
        <v>27211800</v>
      </c>
      <c r="G2837" s="39" t="s">
        <v>5211</v>
      </c>
      <c r="H2837" s="12"/>
      <c r="L2837" s="12"/>
    </row>
    <row r="2838" spans="1:12" ht="15.75" customHeight="1" x14ac:dyDescent="0.3">
      <c r="A2838" s="29" t="s">
        <v>1243</v>
      </c>
      <c r="B2838" s="50" t="str">
        <f>VLOOKUP(A2838,'Sales Order'!A$2:B$1029,1,0)</f>
        <v>SO1005</v>
      </c>
      <c r="C2838" s="29" t="s">
        <v>78</v>
      </c>
      <c r="D2838" s="50" t="str">
        <f>VLOOKUP(C2838,Product!A$2:B$21,1,0)</f>
        <v>PD0018</v>
      </c>
      <c r="E2838" s="36">
        <v>105</v>
      </c>
      <c r="F2838" s="38">
        <v>49156800</v>
      </c>
      <c r="G2838" s="39" t="s">
        <v>5212</v>
      </c>
      <c r="H2838" s="12"/>
      <c r="L2838" s="12"/>
    </row>
    <row r="2839" spans="1:12" ht="15.75" customHeight="1" x14ac:dyDescent="0.3">
      <c r="A2839" s="17" t="s">
        <v>1244</v>
      </c>
      <c r="B2839" s="50" t="str">
        <f>VLOOKUP(A2839,'Sales Order'!A$2:B$1029,1,0)</f>
        <v>SO1006</v>
      </c>
      <c r="C2839" s="29" t="s">
        <v>83</v>
      </c>
      <c r="D2839" s="50" t="str">
        <f>VLOOKUP(C2839,Product!A$2:B$21,1,0)</f>
        <v>PD0020</v>
      </c>
      <c r="E2839" s="36">
        <v>53</v>
      </c>
      <c r="F2839" s="38">
        <v>16162350</v>
      </c>
      <c r="G2839" s="39" t="s">
        <v>5213</v>
      </c>
      <c r="H2839" s="12"/>
      <c r="L2839" s="12"/>
    </row>
    <row r="2840" spans="1:12" ht="15.75" customHeight="1" x14ac:dyDescent="0.3">
      <c r="A2840" s="29" t="s">
        <v>1244</v>
      </c>
      <c r="B2840" s="50" t="str">
        <f>VLOOKUP(A2840,'Sales Order'!A$2:B$1029,1,0)</f>
        <v>SO1006</v>
      </c>
      <c r="C2840" s="29" t="s">
        <v>52</v>
      </c>
      <c r="D2840" s="50" t="str">
        <f>VLOOKUP(C2840,Product!A$2:B$21,1,0)</f>
        <v>PD0010</v>
      </c>
      <c r="E2840" s="36">
        <v>30</v>
      </c>
      <c r="F2840" s="38">
        <v>8190000</v>
      </c>
      <c r="G2840" s="39" t="s">
        <v>5214</v>
      </c>
      <c r="H2840" s="12"/>
      <c r="L2840" s="12"/>
    </row>
    <row r="2841" spans="1:12" ht="15.75" customHeight="1" x14ac:dyDescent="0.3">
      <c r="A2841" s="17" t="s">
        <v>1245</v>
      </c>
      <c r="B2841" s="50" t="str">
        <f>VLOOKUP(A2841,'Sales Order'!A$2:B$1029,1,0)</f>
        <v>SO1007</v>
      </c>
      <c r="C2841" s="29" t="s">
        <v>35</v>
      </c>
      <c r="D2841" s="50" t="str">
        <f>VLOOKUP(C2841,Product!A$2:B$21,1,0)</f>
        <v>PD0005</v>
      </c>
      <c r="E2841" s="36">
        <v>143</v>
      </c>
      <c r="F2841" s="38">
        <v>247969150</v>
      </c>
      <c r="G2841" s="39" t="s">
        <v>5215</v>
      </c>
      <c r="H2841" s="12"/>
      <c r="L2841" s="12"/>
    </row>
    <row r="2842" spans="1:12" ht="15.75" customHeight="1" x14ac:dyDescent="0.3">
      <c r="A2842" s="29" t="s">
        <v>1245</v>
      </c>
      <c r="B2842" s="50" t="str">
        <f>VLOOKUP(A2842,'Sales Order'!A$2:B$1029,1,0)</f>
        <v>SO1007</v>
      </c>
      <c r="C2842" s="29" t="s">
        <v>69</v>
      </c>
      <c r="D2842" s="50" t="str">
        <f>VLOOKUP(C2842,Product!A$2:B$21,1,0)</f>
        <v>PD0015</v>
      </c>
      <c r="E2842" s="36">
        <v>76</v>
      </c>
      <c r="F2842" s="38">
        <v>8779140</v>
      </c>
      <c r="G2842" s="39" t="s">
        <v>5216</v>
      </c>
      <c r="H2842" s="12"/>
      <c r="L2842" s="12"/>
    </row>
    <row r="2843" spans="1:12" ht="15.75" customHeight="1" x14ac:dyDescent="0.3">
      <c r="A2843" s="17" t="s">
        <v>1246</v>
      </c>
      <c r="B2843" s="50" t="str">
        <f>VLOOKUP(A2843,'Sales Order'!A$2:B$1029,1,0)</f>
        <v>SO1008</v>
      </c>
      <c r="C2843" s="29" t="s">
        <v>43</v>
      </c>
      <c r="D2843" s="50" t="str">
        <f>VLOOKUP(C2843,Product!A$2:B$21,1,0)</f>
        <v>PD0007</v>
      </c>
      <c r="E2843" s="36">
        <v>125</v>
      </c>
      <c r="F2843" s="38">
        <v>336000000</v>
      </c>
      <c r="G2843" s="39" t="s">
        <v>5217</v>
      </c>
      <c r="H2843" s="12"/>
      <c r="L2843" s="12"/>
    </row>
    <row r="2844" spans="1:12" ht="15.75" customHeight="1" x14ac:dyDescent="0.3">
      <c r="A2844" s="29" t="s">
        <v>1246</v>
      </c>
      <c r="B2844" s="50" t="str">
        <f>VLOOKUP(A2844,'Sales Order'!A$2:B$1029,1,0)</f>
        <v>SO1008</v>
      </c>
      <c r="C2844" s="29" t="s">
        <v>19</v>
      </c>
      <c r="D2844" s="50" t="str">
        <f>VLOOKUP(C2844,Product!A$2:B$21,1,0)</f>
        <v>PD0001</v>
      </c>
      <c r="E2844" s="36">
        <v>32</v>
      </c>
      <c r="F2844" s="38">
        <v>7250880</v>
      </c>
      <c r="G2844" s="39" t="s">
        <v>5218</v>
      </c>
      <c r="H2844" s="12"/>
      <c r="L2844" s="12"/>
    </row>
    <row r="2845" spans="1:12" ht="15.75" customHeight="1" x14ac:dyDescent="0.3">
      <c r="A2845" s="29" t="s">
        <v>1246</v>
      </c>
      <c r="B2845" s="50" t="str">
        <f>VLOOKUP(A2845,'Sales Order'!A$2:B$1029,1,0)</f>
        <v>SO1008</v>
      </c>
      <c r="C2845" s="29" t="s">
        <v>78</v>
      </c>
      <c r="D2845" s="50" t="str">
        <f>VLOOKUP(C2845,Product!A$2:B$21,1,0)</f>
        <v>PD0018</v>
      </c>
      <c r="E2845" s="36">
        <v>119</v>
      </c>
      <c r="F2845" s="38">
        <v>54444880</v>
      </c>
      <c r="G2845" s="39" t="s">
        <v>5219</v>
      </c>
      <c r="H2845" s="12"/>
      <c r="L2845" s="12"/>
    </row>
    <row r="2846" spans="1:12" ht="15.75" customHeight="1" x14ac:dyDescent="0.3">
      <c r="A2846" s="29" t="s">
        <v>1246</v>
      </c>
      <c r="B2846" s="50" t="str">
        <f>VLOOKUP(A2846,'Sales Order'!A$2:B$1029,1,0)</f>
        <v>SO1008</v>
      </c>
      <c r="C2846" s="29" t="s">
        <v>25</v>
      </c>
      <c r="D2846" s="50" t="str">
        <f>VLOOKUP(C2846,Product!A$2:B$21,1,0)</f>
        <v>PD0002</v>
      </c>
      <c r="E2846" s="36">
        <v>56</v>
      </c>
      <c r="F2846" s="38">
        <v>1030400</v>
      </c>
      <c r="G2846" s="39" t="s">
        <v>5220</v>
      </c>
      <c r="H2846" s="12"/>
      <c r="L2846" s="12"/>
    </row>
    <row r="2847" spans="1:12" ht="15.75" customHeight="1" x14ac:dyDescent="0.3">
      <c r="A2847" s="29" t="s">
        <v>1246</v>
      </c>
      <c r="B2847" s="50" t="str">
        <f>VLOOKUP(A2847,'Sales Order'!A$2:B$1029,1,0)</f>
        <v>SO1008</v>
      </c>
      <c r="C2847" s="29" t="s">
        <v>52</v>
      </c>
      <c r="D2847" s="50" t="str">
        <f>VLOOKUP(C2847,Product!A$2:B$21,1,0)</f>
        <v>PD0010</v>
      </c>
      <c r="E2847" s="36">
        <v>49</v>
      </c>
      <c r="F2847" s="38">
        <v>14810249.999999998</v>
      </c>
      <c r="G2847" s="39" t="s">
        <v>5221</v>
      </c>
      <c r="H2847" s="12"/>
      <c r="L2847" s="12"/>
    </row>
    <row r="2848" spans="1:12" ht="15.75" customHeight="1" x14ac:dyDescent="0.3">
      <c r="A2848" s="17" t="s">
        <v>1247</v>
      </c>
      <c r="B2848" s="50" t="str">
        <f>VLOOKUP(A2848,'Sales Order'!A$2:B$1029,1,0)</f>
        <v>SO1009</v>
      </c>
      <c r="C2848" s="29" t="s">
        <v>25</v>
      </c>
      <c r="D2848" s="50" t="str">
        <f>VLOOKUP(C2848,Product!A$2:B$21,1,0)</f>
        <v>PD0002</v>
      </c>
      <c r="E2848" s="36">
        <v>104</v>
      </c>
      <c r="F2848" s="38">
        <v>1643200</v>
      </c>
      <c r="G2848" s="39" t="s">
        <v>5222</v>
      </c>
      <c r="H2848" s="12"/>
      <c r="L2848" s="12"/>
    </row>
    <row r="2849" spans="1:12" ht="15.75" customHeight="1" x14ac:dyDescent="0.3">
      <c r="A2849" s="29" t="s">
        <v>1247</v>
      </c>
      <c r="B2849" s="50" t="str">
        <f>VLOOKUP(A2849,'Sales Order'!A$2:B$1029,1,0)</f>
        <v>SO1009</v>
      </c>
      <c r="C2849" s="29" t="s">
        <v>83</v>
      </c>
      <c r="D2849" s="50" t="str">
        <f>VLOOKUP(C2849,Product!A$2:B$21,1,0)</f>
        <v>PD0020</v>
      </c>
      <c r="E2849" s="36">
        <v>91</v>
      </c>
      <c r="F2849" s="38">
        <v>24537240</v>
      </c>
      <c r="G2849" s="39" t="s">
        <v>5223</v>
      </c>
      <c r="H2849" s="12"/>
      <c r="L2849" s="12"/>
    </row>
    <row r="2850" spans="1:12" ht="15.75" customHeight="1" x14ac:dyDescent="0.3">
      <c r="A2850" s="17" t="s">
        <v>1248</v>
      </c>
      <c r="B2850" s="50" t="str">
        <f>VLOOKUP(A2850,'Sales Order'!A$2:B$1029,1,0)</f>
        <v>SO1010</v>
      </c>
      <c r="C2850" s="29" t="s">
        <v>61</v>
      </c>
      <c r="D2850" s="50" t="str">
        <f>VLOOKUP(C2850,Product!A$2:B$21,1,0)</f>
        <v>PD0013</v>
      </c>
      <c r="E2850" s="36">
        <v>78</v>
      </c>
      <c r="F2850" s="38">
        <v>33999420</v>
      </c>
      <c r="G2850" s="39" t="s">
        <v>5224</v>
      </c>
      <c r="H2850" s="12"/>
      <c r="L2850" s="12"/>
    </row>
    <row r="2851" spans="1:12" ht="15.75" customHeight="1" x14ac:dyDescent="0.3">
      <c r="A2851" s="29" t="s">
        <v>1249</v>
      </c>
      <c r="B2851" s="50" t="str">
        <f>VLOOKUP(A2851,'Sales Order'!A$2:B$1029,1,0)</f>
        <v>SO1011</v>
      </c>
      <c r="C2851" s="29" t="s">
        <v>28</v>
      </c>
      <c r="D2851" s="50" t="str">
        <f>VLOOKUP(C2851,Product!A$2:B$21,1,0)</f>
        <v>PD0003</v>
      </c>
      <c r="E2851" s="36">
        <v>103</v>
      </c>
      <c r="F2851" s="38">
        <v>90139420</v>
      </c>
      <c r="G2851" s="39" t="s">
        <v>5225</v>
      </c>
      <c r="H2851" s="12"/>
      <c r="L2851" s="12"/>
    </row>
    <row r="2852" spans="1:12" ht="15.75" customHeight="1" x14ac:dyDescent="0.3">
      <c r="A2852" s="29" t="s">
        <v>1249</v>
      </c>
      <c r="B2852" s="50" t="str">
        <f>VLOOKUP(A2852,'Sales Order'!A$2:B$1029,1,0)</f>
        <v>SO1011</v>
      </c>
      <c r="C2852" s="29" t="s">
        <v>81</v>
      </c>
      <c r="D2852" s="50" t="str">
        <f>VLOOKUP(C2852,Product!A$2:B$21,1,0)</f>
        <v>PD0019</v>
      </c>
      <c r="E2852" s="36">
        <v>92</v>
      </c>
      <c r="F2852" s="38">
        <v>187606400</v>
      </c>
      <c r="G2852" s="39" t="s">
        <v>5226</v>
      </c>
      <c r="H2852" s="12"/>
      <c r="L2852" s="12"/>
    </row>
    <row r="2853" spans="1:12" ht="15.75" customHeight="1" x14ac:dyDescent="0.3">
      <c r="A2853" s="17" t="s">
        <v>1250</v>
      </c>
      <c r="B2853" s="50" t="str">
        <f>VLOOKUP(A2853,'Sales Order'!A$2:B$1029,1,0)</f>
        <v>SO1012</v>
      </c>
      <c r="C2853" s="29" t="s">
        <v>25</v>
      </c>
      <c r="D2853" s="50" t="str">
        <f>VLOOKUP(C2853,Product!A$2:B$21,1,0)</f>
        <v>PD0002</v>
      </c>
      <c r="E2853" s="36">
        <v>141</v>
      </c>
      <c r="F2853" s="38">
        <v>2256000</v>
      </c>
      <c r="G2853" s="39" t="s">
        <v>5227</v>
      </c>
      <c r="H2853" s="12"/>
      <c r="L2853" s="12"/>
    </row>
    <row r="2854" spans="1:12" ht="15.75" customHeight="1" x14ac:dyDescent="0.3">
      <c r="A2854" s="29" t="s">
        <v>1250</v>
      </c>
      <c r="B2854" s="50" t="str">
        <f>VLOOKUP(A2854,'Sales Order'!A$2:B$1029,1,0)</f>
        <v>SO1012</v>
      </c>
      <c r="C2854" s="29" t="s">
        <v>55</v>
      </c>
      <c r="D2854" s="50" t="str">
        <f>VLOOKUP(C2854,Product!A$2:B$21,1,0)</f>
        <v>PD0011</v>
      </c>
      <c r="E2854" s="36">
        <v>75</v>
      </c>
      <c r="F2854" s="38">
        <v>150386250</v>
      </c>
      <c r="G2854" s="39" t="s">
        <v>5228</v>
      </c>
      <c r="H2854" s="12"/>
      <c r="L2854" s="12"/>
    </row>
    <row r="2855" spans="1:12" ht="15.75" customHeight="1" x14ac:dyDescent="0.3">
      <c r="A2855" s="29" t="s">
        <v>1250</v>
      </c>
      <c r="B2855" s="50" t="str">
        <f>VLOOKUP(A2855,'Sales Order'!A$2:B$1029,1,0)</f>
        <v>SO1012</v>
      </c>
      <c r="C2855" s="29" t="s">
        <v>52</v>
      </c>
      <c r="D2855" s="50" t="str">
        <f>VLOOKUP(C2855,Product!A$2:B$21,1,0)</f>
        <v>PD0010</v>
      </c>
      <c r="E2855" s="36">
        <v>137</v>
      </c>
      <c r="F2855" s="38">
        <v>35620000</v>
      </c>
      <c r="G2855" s="39" t="s">
        <v>5229</v>
      </c>
      <c r="H2855" s="12"/>
      <c r="L2855" s="12"/>
    </row>
    <row r="2856" spans="1:12" ht="15.75" customHeight="1" x14ac:dyDescent="0.3">
      <c r="A2856" s="29" t="s">
        <v>1250</v>
      </c>
      <c r="B2856" s="50" t="str">
        <f>VLOOKUP(A2856,'Sales Order'!A$2:B$1029,1,0)</f>
        <v>SO1012</v>
      </c>
      <c r="C2856" s="29" t="s">
        <v>28</v>
      </c>
      <c r="D2856" s="50" t="str">
        <f>VLOOKUP(C2856,Product!A$2:B$21,1,0)</f>
        <v>PD0003</v>
      </c>
      <c r="E2856" s="36">
        <v>140</v>
      </c>
      <c r="F2856" s="38">
        <v>99058400</v>
      </c>
      <c r="G2856" s="39" t="s">
        <v>5230</v>
      </c>
      <c r="H2856" s="12"/>
      <c r="L2856" s="12"/>
    </row>
    <row r="2857" spans="1:12" ht="15.75" customHeight="1" x14ac:dyDescent="0.3">
      <c r="A2857" s="29" t="s">
        <v>1250</v>
      </c>
      <c r="B2857" s="50" t="str">
        <f>VLOOKUP(A2857,'Sales Order'!A$2:B$1029,1,0)</f>
        <v>SO1012</v>
      </c>
      <c r="C2857" s="29" t="s">
        <v>43</v>
      </c>
      <c r="D2857" s="50" t="str">
        <f>VLOOKUP(C2857,Product!A$2:B$21,1,0)</f>
        <v>PD0007</v>
      </c>
      <c r="E2857" s="36">
        <v>73</v>
      </c>
      <c r="F2857" s="38">
        <v>221920000</v>
      </c>
      <c r="G2857" s="39" t="s">
        <v>5231</v>
      </c>
      <c r="H2857" s="12"/>
      <c r="L2857" s="12"/>
    </row>
    <row r="2858" spans="1:12" ht="15.75" customHeight="1" x14ac:dyDescent="0.3">
      <c r="A2858" s="17" t="s">
        <v>1251</v>
      </c>
      <c r="B2858" s="50" t="str">
        <f>VLOOKUP(A2858,'Sales Order'!A$2:B$1029,1,0)</f>
        <v>SO1013</v>
      </c>
      <c r="C2858" s="29" t="s">
        <v>58</v>
      </c>
      <c r="D2858" s="50" t="str">
        <f>VLOOKUP(C2858,Product!A$2:B$21,1,0)</f>
        <v>PD0012</v>
      </c>
      <c r="E2858" s="36">
        <v>65</v>
      </c>
      <c r="F2858" s="38">
        <v>274901250</v>
      </c>
      <c r="G2858" s="39" t="s">
        <v>5232</v>
      </c>
      <c r="H2858" s="12"/>
      <c r="L2858" s="12"/>
    </row>
    <row r="2859" spans="1:12" ht="15.75" customHeight="1" x14ac:dyDescent="0.3">
      <c r="A2859" s="29" t="s">
        <v>1251</v>
      </c>
      <c r="B2859" s="50" t="str">
        <f>VLOOKUP(A2859,'Sales Order'!A$2:B$1029,1,0)</f>
        <v>SO1013</v>
      </c>
      <c r="C2859" s="29" t="s">
        <v>55</v>
      </c>
      <c r="D2859" s="50" t="str">
        <f>VLOOKUP(C2859,Product!A$2:B$21,1,0)</f>
        <v>PD0011</v>
      </c>
      <c r="E2859" s="36">
        <v>81</v>
      </c>
      <c r="F2859" s="38">
        <v>171971100</v>
      </c>
      <c r="G2859" s="39" t="s">
        <v>5233</v>
      </c>
      <c r="H2859" s="12"/>
      <c r="L2859" s="12"/>
    </row>
    <row r="2860" spans="1:12" ht="15.75" customHeight="1" x14ac:dyDescent="0.3">
      <c r="A2860" s="17" t="s">
        <v>1252</v>
      </c>
      <c r="B2860" s="50" t="str">
        <f>VLOOKUP(A2860,'Sales Order'!A$2:B$1029,1,0)</f>
        <v>SO1014</v>
      </c>
      <c r="C2860" s="29" t="s">
        <v>55</v>
      </c>
      <c r="D2860" s="50" t="str">
        <f>VLOOKUP(C2860,Product!A$2:B$21,1,0)</f>
        <v>PD0011</v>
      </c>
      <c r="E2860" s="36">
        <v>113</v>
      </c>
      <c r="F2860" s="38">
        <v>250572980</v>
      </c>
      <c r="G2860" s="39" t="s">
        <v>5234</v>
      </c>
      <c r="H2860" s="12"/>
      <c r="L2860" s="12"/>
    </row>
    <row r="2861" spans="1:12" ht="15.75" customHeight="1" x14ac:dyDescent="0.3">
      <c r="A2861" s="29" t="s">
        <v>1252</v>
      </c>
      <c r="B2861" s="50" t="str">
        <f>VLOOKUP(A2861,'Sales Order'!A$2:B$1029,1,0)</f>
        <v>SO1014</v>
      </c>
      <c r="C2861" s="29" t="s">
        <v>78</v>
      </c>
      <c r="D2861" s="50" t="str">
        <f>VLOOKUP(C2861,Product!A$2:B$21,1,0)</f>
        <v>PD0018</v>
      </c>
      <c r="E2861" s="36">
        <v>96</v>
      </c>
      <c r="F2861" s="38">
        <v>44943360</v>
      </c>
      <c r="G2861" s="39" t="s">
        <v>5235</v>
      </c>
      <c r="H2861" s="12"/>
      <c r="L2861" s="12"/>
    </row>
    <row r="2862" spans="1:12" ht="15.75" customHeight="1" x14ac:dyDescent="0.3">
      <c r="A2862" s="17" t="s">
        <v>1253</v>
      </c>
      <c r="B2862" s="50" t="str">
        <f>VLOOKUP(A2862,'Sales Order'!A$2:B$1029,1,0)</f>
        <v>SO1015</v>
      </c>
      <c r="C2862" s="29" t="s">
        <v>35</v>
      </c>
      <c r="D2862" s="50" t="str">
        <f>VLOOKUP(C2862,Product!A$2:B$21,1,0)</f>
        <v>PD0005</v>
      </c>
      <c r="E2862" s="36">
        <v>117</v>
      </c>
      <c r="F2862" s="38">
        <v>223429050</v>
      </c>
      <c r="G2862" s="39" t="s">
        <v>5236</v>
      </c>
      <c r="H2862" s="12"/>
      <c r="L2862" s="12"/>
    </row>
    <row r="2863" spans="1:12" ht="15.75" customHeight="1" x14ac:dyDescent="0.3">
      <c r="A2863" s="29" t="s">
        <v>1253</v>
      </c>
      <c r="B2863" s="50" t="str">
        <f>VLOOKUP(A2863,'Sales Order'!A$2:B$1029,1,0)</f>
        <v>SO1015</v>
      </c>
      <c r="C2863" s="29" t="s">
        <v>69</v>
      </c>
      <c r="D2863" s="50" t="str">
        <f>VLOOKUP(C2863,Product!A$2:B$21,1,0)</f>
        <v>PD0015</v>
      </c>
      <c r="E2863" s="36">
        <v>31</v>
      </c>
      <c r="F2863" s="38">
        <v>3201804</v>
      </c>
      <c r="G2863" s="39" t="s">
        <v>5237</v>
      </c>
      <c r="H2863" s="12"/>
      <c r="L2863" s="12"/>
    </row>
    <row r="2864" spans="1:12" ht="15.75" customHeight="1" x14ac:dyDescent="0.3">
      <c r="A2864" s="29" t="s">
        <v>1253</v>
      </c>
      <c r="B2864" s="50" t="str">
        <f>VLOOKUP(A2864,'Sales Order'!A$2:B$1029,1,0)</f>
        <v>SO1015</v>
      </c>
      <c r="C2864" s="29" t="s">
        <v>33</v>
      </c>
      <c r="D2864" s="50" t="str">
        <f>VLOOKUP(C2864,Product!A$2:B$21,1,0)</f>
        <v>PD0004</v>
      </c>
      <c r="E2864" s="36">
        <v>37</v>
      </c>
      <c r="F2864" s="38">
        <v>6267800</v>
      </c>
      <c r="G2864" s="39" t="s">
        <v>5238</v>
      </c>
      <c r="H2864" s="12"/>
      <c r="L2864" s="12"/>
    </row>
    <row r="2865" spans="1:12" ht="15.75" customHeight="1" x14ac:dyDescent="0.3">
      <c r="A2865" s="29" t="s">
        <v>1253</v>
      </c>
      <c r="B2865" s="50" t="str">
        <f>VLOOKUP(A2865,'Sales Order'!A$2:B$1029,1,0)</f>
        <v>SO1015</v>
      </c>
      <c r="C2865" s="29" t="s">
        <v>19</v>
      </c>
      <c r="D2865" s="50" t="str">
        <f>VLOOKUP(C2865,Product!A$2:B$21,1,0)</f>
        <v>PD0001</v>
      </c>
      <c r="E2865" s="36">
        <v>45</v>
      </c>
      <c r="F2865" s="38">
        <v>9748350</v>
      </c>
      <c r="G2865" s="39" t="s">
        <v>5239</v>
      </c>
      <c r="H2865" s="12"/>
      <c r="L2865" s="12"/>
    </row>
    <row r="2866" spans="1:12" ht="15.75" customHeight="1" x14ac:dyDescent="0.3">
      <c r="A2866" s="17" t="s">
        <v>1254</v>
      </c>
      <c r="B2866" s="50" t="str">
        <f>VLOOKUP(A2866,'Sales Order'!A$2:B$1029,1,0)</f>
        <v>SO1016</v>
      </c>
      <c r="C2866" s="29" t="s">
        <v>25</v>
      </c>
      <c r="D2866" s="50" t="str">
        <f>VLOOKUP(C2866,Product!A$2:B$21,1,0)</f>
        <v>PD0002</v>
      </c>
      <c r="E2866" s="36">
        <v>89</v>
      </c>
      <c r="F2866" s="38">
        <v>1335000</v>
      </c>
      <c r="G2866" s="39" t="s">
        <v>5240</v>
      </c>
      <c r="H2866" s="12"/>
      <c r="L2866" s="12"/>
    </row>
    <row r="2867" spans="1:12" ht="15.75" customHeight="1" x14ac:dyDescent="0.3">
      <c r="A2867" s="29" t="s">
        <v>1254</v>
      </c>
      <c r="B2867" s="50" t="str">
        <f>VLOOKUP(A2867,'Sales Order'!A$2:B$1029,1,0)</f>
        <v>SO1016</v>
      </c>
      <c r="C2867" s="29" t="s">
        <v>48</v>
      </c>
      <c r="D2867" s="50" t="str">
        <f>VLOOKUP(C2867,Product!A$2:B$21,1,0)</f>
        <v>PD0009</v>
      </c>
      <c r="E2867" s="36">
        <v>139</v>
      </c>
      <c r="F2867" s="38">
        <v>15779280</v>
      </c>
      <c r="G2867" s="39" t="s">
        <v>5241</v>
      </c>
      <c r="H2867" s="12"/>
      <c r="L2867" s="12"/>
    </row>
    <row r="2868" spans="1:12" ht="15.75" customHeight="1" x14ac:dyDescent="0.3">
      <c r="A2868" s="29" t="s">
        <v>1254</v>
      </c>
      <c r="B2868" s="50" t="str">
        <f>VLOOKUP(A2868,'Sales Order'!A$2:B$1029,1,0)</f>
        <v>SO1016</v>
      </c>
      <c r="C2868" s="29" t="s">
        <v>19</v>
      </c>
      <c r="D2868" s="50" t="str">
        <f>VLOOKUP(C2868,Product!A$2:B$21,1,0)</f>
        <v>PD0001</v>
      </c>
      <c r="E2868" s="36">
        <v>42</v>
      </c>
      <c r="F2868" s="38">
        <v>8784720</v>
      </c>
      <c r="G2868" s="39" t="s">
        <v>5242</v>
      </c>
      <c r="H2868" s="12"/>
      <c r="L2868" s="12"/>
    </row>
    <row r="2869" spans="1:12" ht="15.75" customHeight="1" x14ac:dyDescent="0.3">
      <c r="A2869" s="17" t="s">
        <v>1255</v>
      </c>
      <c r="B2869" s="50" t="str">
        <f>VLOOKUP(A2869,'Sales Order'!A$2:B$1029,1,0)</f>
        <v>SO1017</v>
      </c>
      <c r="C2869" s="29" t="s">
        <v>45</v>
      </c>
      <c r="D2869" s="50" t="str">
        <f>VLOOKUP(C2869,Product!A$2:B$21,1,0)</f>
        <v>PD0008</v>
      </c>
      <c r="E2869" s="36">
        <v>121</v>
      </c>
      <c r="F2869" s="38">
        <v>16947260</v>
      </c>
      <c r="G2869" s="39" t="s">
        <v>5243</v>
      </c>
      <c r="H2869" s="12"/>
      <c r="L2869" s="12"/>
    </row>
    <row r="2870" spans="1:12" ht="15.75" customHeight="1" x14ac:dyDescent="0.3">
      <c r="A2870" s="29" t="s">
        <v>1255</v>
      </c>
      <c r="B2870" s="50" t="str">
        <f>VLOOKUP(A2870,'Sales Order'!A$2:B$1029,1,0)</f>
        <v>SO1017</v>
      </c>
      <c r="C2870" s="29" t="s">
        <v>48</v>
      </c>
      <c r="D2870" s="50" t="str">
        <f>VLOOKUP(C2870,Product!A$2:B$21,1,0)</f>
        <v>PD0009</v>
      </c>
      <c r="E2870" s="36">
        <v>103</v>
      </c>
      <c r="F2870" s="38">
        <v>12091170</v>
      </c>
      <c r="G2870" s="39" t="s">
        <v>5244</v>
      </c>
      <c r="H2870" s="12"/>
      <c r="L2870" s="12"/>
    </row>
    <row r="2871" spans="1:12" ht="15.75" customHeight="1" x14ac:dyDescent="0.3">
      <c r="A2871" s="17" t="s">
        <v>1256</v>
      </c>
      <c r="B2871" s="50" t="str">
        <f>VLOOKUP(A2871,'Sales Order'!A$2:B$1029,1,0)</f>
        <v>SO1018</v>
      </c>
      <c r="C2871" s="29" t="s">
        <v>28</v>
      </c>
      <c r="D2871" s="50" t="str">
        <f>VLOOKUP(C2871,Product!A$2:B$21,1,0)</f>
        <v>PD0003</v>
      </c>
      <c r="E2871" s="36">
        <v>30</v>
      </c>
      <c r="F2871" s="38">
        <v>22902600</v>
      </c>
      <c r="G2871" s="39" t="s">
        <v>5245</v>
      </c>
      <c r="H2871" s="12"/>
      <c r="L2871" s="12"/>
    </row>
    <row r="2872" spans="1:12" ht="15.75" customHeight="1" x14ac:dyDescent="0.3">
      <c r="A2872" s="29" t="s">
        <v>1256</v>
      </c>
      <c r="B2872" s="50" t="str">
        <f>VLOOKUP(A2872,'Sales Order'!A$2:B$1029,1,0)</f>
        <v>SO1018</v>
      </c>
      <c r="C2872" s="29" t="s">
        <v>33</v>
      </c>
      <c r="D2872" s="50" t="str">
        <f>VLOOKUP(C2872,Product!A$2:B$21,1,0)</f>
        <v>PD0004</v>
      </c>
      <c r="E2872" s="36">
        <v>112</v>
      </c>
      <c r="F2872" s="38">
        <v>19712000</v>
      </c>
      <c r="G2872" s="39" t="s">
        <v>5246</v>
      </c>
      <c r="H2872" s="12"/>
      <c r="L2872" s="12"/>
    </row>
    <row r="2873" spans="1:12" ht="15.75" customHeight="1" x14ac:dyDescent="0.3">
      <c r="A2873" s="17" t="s">
        <v>1257</v>
      </c>
      <c r="B2873" s="50" t="str">
        <f>VLOOKUP(A2873,'Sales Order'!A$2:B$1029,1,0)</f>
        <v>SO1019</v>
      </c>
      <c r="C2873" s="29" t="s">
        <v>25</v>
      </c>
      <c r="D2873" s="50" t="str">
        <f>VLOOKUP(C2873,Product!A$2:B$21,1,0)</f>
        <v>PD0002</v>
      </c>
      <c r="E2873" s="36">
        <v>53</v>
      </c>
      <c r="F2873" s="38">
        <v>805600</v>
      </c>
      <c r="G2873" s="39" t="s">
        <v>5247</v>
      </c>
      <c r="H2873" s="12"/>
      <c r="L2873" s="12"/>
    </row>
    <row r="2874" spans="1:12" ht="15.75" customHeight="1" x14ac:dyDescent="0.3">
      <c r="A2874" s="29" t="s">
        <v>1257</v>
      </c>
      <c r="B2874" s="50" t="str">
        <f>VLOOKUP(A2874,'Sales Order'!A$2:B$1029,1,0)</f>
        <v>SO1019</v>
      </c>
      <c r="C2874" s="29" t="s">
        <v>45</v>
      </c>
      <c r="D2874" s="50" t="str">
        <f>VLOOKUP(C2874,Product!A$2:B$21,1,0)</f>
        <v>PD0008</v>
      </c>
      <c r="E2874" s="36">
        <v>143</v>
      </c>
      <c r="F2874" s="38">
        <v>18537090</v>
      </c>
      <c r="G2874" s="39" t="s">
        <v>5248</v>
      </c>
      <c r="H2874" s="12"/>
      <c r="L2874" s="12"/>
    </row>
    <row r="2875" spans="1:12" ht="15.75" customHeight="1" x14ac:dyDescent="0.3">
      <c r="A2875" s="29" t="s">
        <v>1257</v>
      </c>
      <c r="B2875" s="50" t="str">
        <f>VLOOKUP(A2875,'Sales Order'!A$2:B$1029,1,0)</f>
        <v>SO1019</v>
      </c>
      <c r="C2875" s="29" t="s">
        <v>33</v>
      </c>
      <c r="D2875" s="50" t="str">
        <f>VLOOKUP(C2875,Product!A$2:B$21,1,0)</f>
        <v>PD0004</v>
      </c>
      <c r="E2875" s="36">
        <v>26</v>
      </c>
      <c r="F2875" s="38">
        <v>4518800</v>
      </c>
      <c r="G2875" s="39" t="s">
        <v>5249</v>
      </c>
      <c r="H2875" s="12"/>
      <c r="L2875" s="12"/>
    </row>
    <row r="2876" spans="1:12" ht="15.75" customHeight="1" x14ac:dyDescent="0.3">
      <c r="A2876" s="17" t="s">
        <v>1258</v>
      </c>
      <c r="B2876" s="50" t="str">
        <f>VLOOKUP(A2876,'Sales Order'!A$2:B$1029,1,0)</f>
        <v>SO1020</v>
      </c>
      <c r="C2876" s="29" t="s">
        <v>43</v>
      </c>
      <c r="D2876" s="50" t="str">
        <f>VLOOKUP(C2876,Product!A$2:B$21,1,0)</f>
        <v>PD0007</v>
      </c>
      <c r="E2876" s="36">
        <v>106</v>
      </c>
      <c r="F2876" s="38">
        <v>315456000</v>
      </c>
      <c r="G2876" s="39" t="s">
        <v>5250</v>
      </c>
      <c r="H2876" s="12"/>
      <c r="L2876" s="12"/>
    </row>
    <row r="2877" spans="1:12" ht="15.75" customHeight="1" x14ac:dyDescent="0.3">
      <c r="A2877" s="29" t="s">
        <v>1258</v>
      </c>
      <c r="B2877" s="50" t="str">
        <f>VLOOKUP(A2877,'Sales Order'!A$2:B$1029,1,0)</f>
        <v>SO1020</v>
      </c>
      <c r="C2877" s="29" t="s">
        <v>69</v>
      </c>
      <c r="D2877" s="50" t="str">
        <f>VLOOKUP(C2877,Product!A$2:B$21,1,0)</f>
        <v>PD0015</v>
      </c>
      <c r="E2877" s="36">
        <v>116</v>
      </c>
      <c r="F2877" s="38">
        <v>14976180</v>
      </c>
      <c r="G2877" s="39" t="s">
        <v>5251</v>
      </c>
      <c r="H2877" s="12"/>
      <c r="L2877" s="12"/>
    </row>
    <row r="2878" spans="1:12" ht="15.75" customHeight="1" x14ac:dyDescent="0.3">
      <c r="A2878" s="29" t="s">
        <v>1258</v>
      </c>
      <c r="B2878" s="50" t="str">
        <f>VLOOKUP(A2878,'Sales Order'!A$2:B$1029,1,0)</f>
        <v>SO1020</v>
      </c>
      <c r="C2878" s="29" t="s">
        <v>52</v>
      </c>
      <c r="D2878" s="50" t="str">
        <f>VLOOKUP(C2878,Product!A$2:B$21,1,0)</f>
        <v>PD0010</v>
      </c>
      <c r="E2878" s="36">
        <v>96</v>
      </c>
      <c r="F2878" s="38">
        <v>27456000</v>
      </c>
      <c r="G2878" s="39" t="s">
        <v>5252</v>
      </c>
      <c r="H2878" s="12"/>
      <c r="L2878" s="12"/>
    </row>
    <row r="2879" spans="1:12" ht="15.75" customHeight="1" x14ac:dyDescent="0.3">
      <c r="A2879" s="29" t="s">
        <v>1258</v>
      </c>
      <c r="B2879" s="50" t="str">
        <f>VLOOKUP(A2879,'Sales Order'!A$2:B$1029,1,0)</f>
        <v>SO1020</v>
      </c>
      <c r="C2879" s="29" t="s">
        <v>28</v>
      </c>
      <c r="D2879" s="50" t="str">
        <f>VLOOKUP(C2879,Product!A$2:B$21,1,0)</f>
        <v>PD0003</v>
      </c>
      <c r="E2879" s="36">
        <v>97</v>
      </c>
      <c r="F2879" s="38">
        <v>69536390</v>
      </c>
      <c r="G2879" s="39" t="s">
        <v>5253</v>
      </c>
      <c r="H2879" s="12"/>
      <c r="L2879" s="12"/>
    </row>
    <row r="2880" spans="1:12" ht="15.75" customHeight="1" x14ac:dyDescent="0.3">
      <c r="A2880" s="29" t="s">
        <v>1258</v>
      </c>
      <c r="B2880" s="50" t="str">
        <f>VLOOKUP(A2880,'Sales Order'!A$2:B$1029,1,0)</f>
        <v>SO1020</v>
      </c>
      <c r="C2880" s="29" t="s">
        <v>61</v>
      </c>
      <c r="D2880" s="50" t="str">
        <f>VLOOKUP(C2880,Product!A$2:B$21,1,0)</f>
        <v>PD0013</v>
      </c>
      <c r="E2880" s="36">
        <v>120</v>
      </c>
      <c r="F2880" s="38">
        <v>51732000</v>
      </c>
      <c r="G2880" s="39" t="s">
        <v>5254</v>
      </c>
      <c r="H2880" s="12"/>
      <c r="L2880" s="12"/>
    </row>
    <row r="2881" spans="1:12" ht="15.75" customHeight="1" x14ac:dyDescent="0.3">
      <c r="A2881" s="17" t="s">
        <v>1259</v>
      </c>
      <c r="B2881" s="50" t="str">
        <f>VLOOKUP(A2881,'Sales Order'!A$2:B$1029,1,0)</f>
        <v>SO1021</v>
      </c>
      <c r="C2881" s="29" t="s">
        <v>72</v>
      </c>
      <c r="D2881" s="50" t="str">
        <f>VLOOKUP(C2881,Product!A$2:B$21,1,0)</f>
        <v>PD0016</v>
      </c>
      <c r="E2881" s="36">
        <v>93</v>
      </c>
      <c r="F2881" s="38">
        <v>19864800</v>
      </c>
      <c r="G2881" s="39" t="s">
        <v>5255</v>
      </c>
      <c r="H2881" s="12"/>
      <c r="L2881" s="12"/>
    </row>
    <row r="2882" spans="1:12" ht="15.75" customHeight="1" x14ac:dyDescent="0.3">
      <c r="A2882" s="29" t="s">
        <v>1259</v>
      </c>
      <c r="B2882" s="50" t="str">
        <f>VLOOKUP(A2882,'Sales Order'!A$2:B$1029,1,0)</f>
        <v>SO1021</v>
      </c>
      <c r="C2882" s="29" t="s">
        <v>28</v>
      </c>
      <c r="D2882" s="50" t="str">
        <f>VLOOKUP(C2882,Product!A$2:B$21,1,0)</f>
        <v>PD0003</v>
      </c>
      <c r="E2882" s="36">
        <v>97</v>
      </c>
      <c r="F2882" s="38">
        <v>81276300</v>
      </c>
      <c r="G2882" s="39" t="s">
        <v>5256</v>
      </c>
      <c r="H2882" s="12"/>
      <c r="L2882" s="12"/>
    </row>
    <row r="2883" spans="1:12" ht="15.75" customHeight="1" x14ac:dyDescent="0.3">
      <c r="A2883" s="29" t="s">
        <v>1259</v>
      </c>
      <c r="B2883" s="50" t="str">
        <f>VLOOKUP(A2883,'Sales Order'!A$2:B$1029,1,0)</f>
        <v>SO1021</v>
      </c>
      <c r="C2883" s="29" t="s">
        <v>25</v>
      </c>
      <c r="D2883" s="50" t="str">
        <f>VLOOKUP(C2883,Product!A$2:B$21,1,0)</f>
        <v>PD0002</v>
      </c>
      <c r="E2883" s="36">
        <v>106</v>
      </c>
      <c r="F2883" s="38">
        <v>1780800</v>
      </c>
      <c r="G2883" s="39" t="s">
        <v>5257</v>
      </c>
      <c r="H2883" s="12"/>
      <c r="L2883" s="12"/>
    </row>
    <row r="2884" spans="1:12" ht="15.75" customHeight="1" x14ac:dyDescent="0.3">
      <c r="A2884" s="17" t="s">
        <v>1260</v>
      </c>
      <c r="B2884" s="50" t="str">
        <f>VLOOKUP(A2884,'Sales Order'!A$2:B$1029,1,0)</f>
        <v>SO1022</v>
      </c>
      <c r="C2884" s="29" t="s">
        <v>45</v>
      </c>
      <c r="D2884" s="50" t="str">
        <f>VLOOKUP(C2884,Product!A$2:B$21,1,0)</f>
        <v>PD0008</v>
      </c>
      <c r="E2884" s="36">
        <v>111</v>
      </c>
      <c r="F2884" s="38">
        <v>13396590</v>
      </c>
      <c r="G2884" s="39" t="s">
        <v>5258</v>
      </c>
      <c r="H2884" s="12"/>
      <c r="L2884" s="12"/>
    </row>
    <row r="2885" spans="1:12" ht="15.75" customHeight="1" x14ac:dyDescent="0.3">
      <c r="A2885" s="29" t="s">
        <v>1260</v>
      </c>
      <c r="B2885" s="50" t="str">
        <f>VLOOKUP(A2885,'Sales Order'!A$2:B$1029,1,0)</f>
        <v>SO1022</v>
      </c>
      <c r="C2885" s="29" t="s">
        <v>19</v>
      </c>
      <c r="D2885" s="50" t="str">
        <f>VLOOKUP(C2885,Product!A$2:B$21,1,0)</f>
        <v>PD0001</v>
      </c>
      <c r="E2885" s="36">
        <v>37</v>
      </c>
      <c r="F2885" s="38">
        <v>8015310</v>
      </c>
      <c r="G2885" s="39" t="s">
        <v>5259</v>
      </c>
      <c r="H2885" s="12"/>
      <c r="L2885" s="12"/>
    </row>
    <row r="2886" spans="1:12" ht="15.75" customHeight="1" x14ac:dyDescent="0.3">
      <c r="A2886" s="29" t="s">
        <v>1260</v>
      </c>
      <c r="B2886" s="50" t="str">
        <f>VLOOKUP(A2886,'Sales Order'!A$2:B$1029,1,0)</f>
        <v>SO1022</v>
      </c>
      <c r="C2886" s="29" t="s">
        <v>52</v>
      </c>
      <c r="D2886" s="50" t="str">
        <f>VLOOKUP(C2886,Product!A$2:B$21,1,0)</f>
        <v>PD0010</v>
      </c>
      <c r="E2886" s="36">
        <v>125</v>
      </c>
      <c r="F2886" s="38">
        <v>33312500.000000004</v>
      </c>
      <c r="G2886" s="39" t="s">
        <v>5260</v>
      </c>
      <c r="H2886" s="12"/>
      <c r="L2886" s="12"/>
    </row>
    <row r="2887" spans="1:12" ht="15.75" customHeight="1" x14ac:dyDescent="0.3">
      <c r="A2887" s="17" t="s">
        <v>1261</v>
      </c>
      <c r="B2887" s="50" t="str">
        <f>VLOOKUP(A2887,'Sales Order'!A$2:B$1029,1,0)</f>
        <v>SO1023</v>
      </c>
      <c r="C2887" s="29" t="s">
        <v>52</v>
      </c>
      <c r="D2887" s="50" t="str">
        <f>VLOOKUP(C2887,Product!A$2:B$21,1,0)</f>
        <v>PD0010</v>
      </c>
      <c r="E2887" s="36">
        <v>55</v>
      </c>
      <c r="F2887" s="38">
        <v>15372500</v>
      </c>
      <c r="G2887" s="39" t="s">
        <v>5261</v>
      </c>
      <c r="H2887" s="12"/>
      <c r="L2887" s="12"/>
    </row>
    <row r="2888" spans="1:12" ht="15.75" customHeight="1" x14ac:dyDescent="0.3">
      <c r="A2888" s="29" t="s">
        <v>1261</v>
      </c>
      <c r="B2888" s="50" t="str">
        <f>VLOOKUP(A2888,'Sales Order'!A$2:B$1029,1,0)</f>
        <v>SO1023</v>
      </c>
      <c r="C2888" s="29" t="s">
        <v>69</v>
      </c>
      <c r="D2888" s="50" t="str">
        <f>VLOOKUP(C2888,Product!A$2:B$21,1,0)</f>
        <v>PD0015</v>
      </c>
      <c r="E2888" s="36">
        <v>140</v>
      </c>
      <c r="F2888" s="38">
        <v>16742880</v>
      </c>
      <c r="G2888" s="39" t="s">
        <v>5262</v>
      </c>
      <c r="H2888" s="12"/>
      <c r="L2888" s="12"/>
    </row>
    <row r="2889" spans="1:12" ht="15.75" customHeight="1" x14ac:dyDescent="0.3">
      <c r="A2889" s="29" t="s">
        <v>1261</v>
      </c>
      <c r="B2889" s="50" t="str">
        <f>VLOOKUP(A2889,'Sales Order'!A$2:B$1029,1,0)</f>
        <v>SO1023</v>
      </c>
      <c r="C2889" s="29" t="s">
        <v>43</v>
      </c>
      <c r="D2889" s="50" t="str">
        <f>VLOOKUP(C2889,Product!A$2:B$21,1,0)</f>
        <v>PD0007</v>
      </c>
      <c r="E2889" s="36">
        <v>92</v>
      </c>
      <c r="F2889" s="38">
        <v>229632000</v>
      </c>
      <c r="G2889" s="39" t="s">
        <v>5263</v>
      </c>
      <c r="H2889" s="12"/>
      <c r="L2889" s="12"/>
    </row>
    <row r="2890" spans="1:12" ht="15.75" customHeight="1" x14ac:dyDescent="0.3">
      <c r="A2890" s="17" t="s">
        <v>1262</v>
      </c>
      <c r="B2890" s="50" t="str">
        <f>VLOOKUP(A2890,'Sales Order'!A$2:B$1029,1,0)</f>
        <v>SO1024</v>
      </c>
      <c r="C2890" s="29" t="s">
        <v>33</v>
      </c>
      <c r="D2890" s="50" t="str">
        <f>VLOOKUP(C2890,Product!A$2:B$21,1,0)</f>
        <v>PD0004</v>
      </c>
      <c r="E2890" s="36">
        <v>109</v>
      </c>
      <c r="F2890" s="38">
        <v>18704400</v>
      </c>
      <c r="G2890" s="39" t="s">
        <v>5264</v>
      </c>
      <c r="H2890" s="12"/>
      <c r="L2890" s="12"/>
    </row>
    <row r="2891" spans="1:12" ht="15.75" customHeight="1" x14ac:dyDescent="0.3">
      <c r="A2891" s="29" t="s">
        <v>1262</v>
      </c>
      <c r="B2891" s="50" t="str">
        <f>VLOOKUP(A2891,'Sales Order'!A$2:B$1029,1,0)</f>
        <v>SO1024</v>
      </c>
      <c r="C2891" s="29" t="s">
        <v>43</v>
      </c>
      <c r="D2891" s="50" t="str">
        <f>VLOOKUP(C2891,Product!A$2:B$21,1,0)</f>
        <v>PD0007</v>
      </c>
      <c r="E2891" s="36">
        <v>85</v>
      </c>
      <c r="F2891" s="38">
        <v>244800000</v>
      </c>
      <c r="G2891" s="39" t="s">
        <v>5265</v>
      </c>
      <c r="H2891" s="12"/>
      <c r="L2891" s="12"/>
    </row>
    <row r="2892" spans="1:12" ht="15.75" customHeight="1" x14ac:dyDescent="0.3">
      <c r="A2892" s="29" t="s">
        <v>1262</v>
      </c>
      <c r="B2892" s="50" t="str">
        <f>VLOOKUP(A2892,'Sales Order'!A$2:B$1029,1,0)</f>
        <v>SO1024</v>
      </c>
      <c r="C2892" s="29" t="s">
        <v>81</v>
      </c>
      <c r="D2892" s="50" t="str">
        <f>VLOOKUP(C2892,Product!A$2:B$21,1,0)</f>
        <v>PD0019</v>
      </c>
      <c r="E2892" s="36">
        <v>42</v>
      </c>
      <c r="F2892" s="38">
        <v>87787560</v>
      </c>
      <c r="G2892" s="39" t="s">
        <v>5266</v>
      </c>
      <c r="H2892" s="12"/>
      <c r="L2892" s="12"/>
    </row>
    <row r="2893" spans="1:12" ht="15.75" customHeight="1" x14ac:dyDescent="0.3">
      <c r="A2893" s="17" t="s">
        <v>1263</v>
      </c>
      <c r="B2893" s="50" t="str">
        <f>VLOOKUP(A2893,'Sales Order'!A$2:B$1029,1,0)</f>
        <v>SO1025</v>
      </c>
      <c r="C2893" s="29" t="s">
        <v>81</v>
      </c>
      <c r="D2893" s="50" t="str">
        <f>VLOOKUP(C2893,Product!A$2:B$21,1,0)</f>
        <v>PD0019</v>
      </c>
      <c r="E2893" s="36">
        <v>35</v>
      </c>
      <c r="F2893" s="38">
        <v>78509200</v>
      </c>
      <c r="G2893" s="39" t="s">
        <v>5267</v>
      </c>
      <c r="H2893" s="12"/>
      <c r="L2893" s="12"/>
    </row>
    <row r="2894" spans="1:12" ht="15.75" customHeight="1" x14ac:dyDescent="0.3">
      <c r="A2894" s="17" t="s">
        <v>1264</v>
      </c>
      <c r="B2894" s="50" t="str">
        <f>VLOOKUP(A2894,'Sales Order'!A$2:B$1029,1,0)</f>
        <v>SO1026</v>
      </c>
      <c r="C2894" s="29" t="s">
        <v>48</v>
      </c>
      <c r="D2894" s="50" t="str">
        <f>VLOOKUP(C2894,Product!A$2:B$21,1,0)</f>
        <v>PD0009</v>
      </c>
      <c r="E2894" s="36">
        <v>51</v>
      </c>
      <c r="F2894" s="38">
        <v>6184260</v>
      </c>
      <c r="G2894" s="39" t="s">
        <v>5268</v>
      </c>
      <c r="H2894" s="12"/>
      <c r="L2894" s="12"/>
    </row>
    <row r="2895" spans="1:12" ht="15.75" customHeight="1" x14ac:dyDescent="0.3">
      <c r="A2895" s="29" t="s">
        <v>1264</v>
      </c>
      <c r="B2895" s="50" t="str">
        <f>VLOOKUP(A2895,'Sales Order'!A$2:B$1029,1,0)</f>
        <v>SO1026</v>
      </c>
      <c r="C2895" s="29" t="s">
        <v>35</v>
      </c>
      <c r="D2895" s="50" t="str">
        <f>VLOOKUP(C2895,Product!A$2:B$21,1,0)</f>
        <v>PD0005</v>
      </c>
      <c r="E2895" s="36">
        <v>40</v>
      </c>
      <c r="F2895" s="38">
        <v>71118000</v>
      </c>
      <c r="G2895" s="39" t="s">
        <v>5269</v>
      </c>
      <c r="H2895" s="12"/>
      <c r="L2895" s="12"/>
    </row>
    <row r="2896" spans="1:12" ht="15.75" customHeight="1" x14ac:dyDescent="0.3">
      <c r="A2896" s="29" t="s">
        <v>1264</v>
      </c>
      <c r="B2896" s="50" t="str">
        <f>VLOOKUP(A2896,'Sales Order'!A$2:B$1029,1,0)</f>
        <v>SO1026</v>
      </c>
      <c r="C2896" s="29" t="s">
        <v>75</v>
      </c>
      <c r="D2896" s="50" t="str">
        <f>VLOOKUP(C2896,Product!A$2:B$21,1,0)</f>
        <v>PD0017</v>
      </c>
      <c r="E2896" s="36">
        <v>57</v>
      </c>
      <c r="F2896" s="38">
        <v>135945000</v>
      </c>
      <c r="G2896" s="39" t="s">
        <v>5270</v>
      </c>
      <c r="H2896" s="12"/>
      <c r="L2896" s="12"/>
    </row>
    <row r="2897" spans="1:12" ht="15.75" customHeight="1" x14ac:dyDescent="0.3">
      <c r="A2897" s="29" t="s">
        <v>1264</v>
      </c>
      <c r="B2897" s="50" t="str">
        <f>VLOOKUP(A2897,'Sales Order'!A$2:B$1029,1,0)</f>
        <v>SO1026</v>
      </c>
      <c r="C2897" s="29" t="s">
        <v>72</v>
      </c>
      <c r="D2897" s="50" t="str">
        <f>VLOOKUP(C2897,Product!A$2:B$21,1,0)</f>
        <v>PD0016</v>
      </c>
      <c r="E2897" s="36">
        <v>111</v>
      </c>
      <c r="F2897" s="38">
        <v>26080560</v>
      </c>
      <c r="G2897" s="39" t="s">
        <v>5271</v>
      </c>
      <c r="H2897" s="12"/>
      <c r="L2897" s="12"/>
    </row>
    <row r="2898" spans="1:12" ht="15.75" customHeight="1" x14ac:dyDescent="0.3">
      <c r="A2898" s="29" t="s">
        <v>1264</v>
      </c>
      <c r="B2898" s="50" t="str">
        <f>VLOOKUP(A2898,'Sales Order'!A$2:B$1029,1,0)</f>
        <v>SO1026</v>
      </c>
      <c r="C2898" s="29" t="s">
        <v>81</v>
      </c>
      <c r="D2898" s="50" t="str">
        <f>VLOOKUP(C2898,Product!A$2:B$21,1,0)</f>
        <v>PD0019</v>
      </c>
      <c r="E2898" s="36">
        <v>131</v>
      </c>
      <c r="F2898" s="38">
        <v>293848720</v>
      </c>
      <c r="G2898" s="39" t="s">
        <v>5272</v>
      </c>
      <c r="H2898" s="12"/>
      <c r="L2898" s="12"/>
    </row>
    <row r="2899" spans="1:12" ht="15.75" customHeight="1" x14ac:dyDescent="0.3">
      <c r="A2899" s="29" t="s">
        <v>1264</v>
      </c>
      <c r="B2899" s="50" t="str">
        <f>VLOOKUP(A2899,'Sales Order'!A$2:B$1029,1,0)</f>
        <v>SO1026</v>
      </c>
      <c r="C2899" s="29" t="s">
        <v>55</v>
      </c>
      <c r="D2899" s="50" t="str">
        <f>VLOOKUP(C2899,Product!A$2:B$21,1,0)</f>
        <v>PD0011</v>
      </c>
      <c r="E2899" s="36">
        <v>114</v>
      </c>
      <c r="F2899" s="38">
        <v>225897840</v>
      </c>
      <c r="G2899" s="39" t="s">
        <v>5273</v>
      </c>
      <c r="H2899" s="12"/>
      <c r="L2899" s="12"/>
    </row>
    <row r="2900" spans="1:12" ht="15.75" customHeight="1" x14ac:dyDescent="0.3">
      <c r="A2900" s="17" t="s">
        <v>1266</v>
      </c>
      <c r="B2900" s="50" t="str">
        <f>VLOOKUP(A2900,'Sales Order'!A$2:B$1029,1,0)</f>
        <v>SO1028</v>
      </c>
      <c r="C2900" s="29" t="s">
        <v>75</v>
      </c>
      <c r="D2900" s="50" t="str">
        <f>VLOOKUP(C2900,Product!A$2:B$21,1,0)</f>
        <v>PD0017</v>
      </c>
      <c r="E2900" s="36">
        <v>78</v>
      </c>
      <c r="F2900" s="38">
        <v>179829000</v>
      </c>
      <c r="G2900" s="39" t="s">
        <v>5274</v>
      </c>
      <c r="H2900" s="12"/>
      <c r="L2900" s="12"/>
    </row>
    <row r="2901" spans="1:12" ht="15.75" customHeight="1" x14ac:dyDescent="0.3">
      <c r="A2901" s="29" t="s">
        <v>1266</v>
      </c>
      <c r="B2901" s="50" t="str">
        <f>VLOOKUP(A2901,'Sales Order'!A$2:B$1029,1,0)</f>
        <v>SO1028</v>
      </c>
      <c r="C2901" s="29" t="s">
        <v>40</v>
      </c>
      <c r="D2901" s="50" t="str">
        <f>VLOOKUP(C2901,Product!A$2:B$21,1,0)</f>
        <v>PD0006</v>
      </c>
      <c r="E2901" s="36">
        <v>110</v>
      </c>
      <c r="F2901" s="38">
        <v>19081700</v>
      </c>
      <c r="G2901" s="39" t="s">
        <v>5275</v>
      </c>
      <c r="H2901" s="12"/>
      <c r="L2901" s="12"/>
    </row>
    <row r="2902" spans="1:12" ht="15.75" customHeight="1" x14ac:dyDescent="0.3">
      <c r="A2902" s="29" t="s">
        <v>1266</v>
      </c>
      <c r="B2902" s="50" t="str">
        <f>VLOOKUP(A2902,'Sales Order'!A$2:B$1029,1,0)</f>
        <v>SO1028</v>
      </c>
      <c r="C2902" s="29" t="s">
        <v>43</v>
      </c>
      <c r="D2902" s="50" t="str">
        <f>VLOOKUP(C2902,Product!A$2:B$21,1,0)</f>
        <v>PD0007</v>
      </c>
      <c r="E2902" s="36">
        <v>100</v>
      </c>
      <c r="F2902" s="38">
        <v>281600000</v>
      </c>
      <c r="G2902" s="39" t="s">
        <v>5276</v>
      </c>
      <c r="H2902" s="12"/>
      <c r="L2902" s="12"/>
    </row>
    <row r="2903" spans="1:12" ht="15.75" customHeight="1" x14ac:dyDescent="0.3">
      <c r="A2903" s="17" t="s">
        <v>245</v>
      </c>
      <c r="B2903" s="50" t="str">
        <f>VLOOKUP(A2903,'Sales Order'!A$2:B$1029,1,0)</f>
        <v>SO0010</v>
      </c>
      <c r="C2903" s="17" t="s">
        <v>75</v>
      </c>
      <c r="D2903" s="50" t="str">
        <f>VLOOKUP(C2903,Product!A$2:B$21,1,0)</f>
        <v>PD0017</v>
      </c>
      <c r="E2903" s="19">
        <v>67</v>
      </c>
      <c r="F2903" s="37">
        <v>138489000</v>
      </c>
      <c r="G2903" s="39" t="s">
        <v>5277</v>
      </c>
      <c r="H2903" s="12"/>
      <c r="L2903" s="12"/>
    </row>
    <row r="2904" spans="1:12" ht="15.75" customHeight="1" x14ac:dyDescent="0.3">
      <c r="A2904" s="29" t="s">
        <v>245</v>
      </c>
      <c r="B2904" s="50" t="str">
        <f>VLOOKUP(A2904,'Sales Order'!A$2:B$1029,1,0)</f>
        <v>SO0010</v>
      </c>
      <c r="C2904" s="29" t="s">
        <v>81</v>
      </c>
      <c r="D2904" s="50" t="str">
        <f>VLOOKUP(C2904,Product!A$2:B$21,1,0)</f>
        <v>PD0019</v>
      </c>
      <c r="E2904" s="36">
        <v>73</v>
      </c>
      <c r="F2904" s="38">
        <v>150722370</v>
      </c>
      <c r="G2904" s="39" t="s">
        <v>5278</v>
      </c>
      <c r="H2904" s="12"/>
      <c r="L2904" s="12"/>
    </row>
    <row r="2905" spans="1:12" ht="15.75" customHeight="1" x14ac:dyDescent="0.3">
      <c r="A2905" s="29" t="s">
        <v>250</v>
      </c>
      <c r="B2905" s="50" t="str">
        <f>VLOOKUP(A2905,'Sales Order'!A$2:B$1029,1,0)</f>
        <v>SO0014</v>
      </c>
      <c r="C2905" s="29" t="s">
        <v>61</v>
      </c>
      <c r="D2905" s="50" t="str">
        <f>VLOOKUP(C2905,Product!A$2:B$21,1,0)</f>
        <v>PD0013</v>
      </c>
      <c r="E2905" s="36">
        <v>50</v>
      </c>
      <c r="F2905" s="38">
        <v>21315500</v>
      </c>
      <c r="G2905" s="39" t="s">
        <v>5279</v>
      </c>
      <c r="H2905" s="12"/>
      <c r="L2905" s="12"/>
    </row>
    <row r="2906" spans="1:12" ht="15.75" customHeight="1" x14ac:dyDescent="0.3">
      <c r="A2906" s="29" t="s">
        <v>250</v>
      </c>
      <c r="B2906" s="50" t="str">
        <f>VLOOKUP(A2906,'Sales Order'!A$2:B$1029,1,0)</f>
        <v>SO0014</v>
      </c>
      <c r="C2906" s="29" t="s">
        <v>65</v>
      </c>
      <c r="D2906" s="50" t="str">
        <f>VLOOKUP(C2906,Product!A$2:B$21,1,0)</f>
        <v>PD0014</v>
      </c>
      <c r="E2906" s="36">
        <v>108</v>
      </c>
      <c r="F2906" s="38">
        <v>21915360</v>
      </c>
      <c r="G2906" s="39" t="s">
        <v>5280</v>
      </c>
      <c r="H2906" s="12"/>
      <c r="L2906" s="12"/>
    </row>
    <row r="2907" spans="1:12" ht="15.75" customHeight="1" x14ac:dyDescent="0.3">
      <c r="A2907" s="29" t="s">
        <v>254</v>
      </c>
      <c r="B2907" s="50" t="str">
        <f>VLOOKUP(A2907,'Sales Order'!A$2:B$1029,1,0)</f>
        <v>SO0017</v>
      </c>
      <c r="C2907" s="29" t="s">
        <v>19</v>
      </c>
      <c r="D2907" s="50" t="str">
        <f>VLOOKUP(C2907,Product!A$2:B$21,1,0)</f>
        <v>PD0001</v>
      </c>
      <c r="E2907" s="36">
        <v>46</v>
      </c>
      <c r="F2907" s="38">
        <v>9392280</v>
      </c>
      <c r="G2907" s="39" t="s">
        <v>5281</v>
      </c>
      <c r="H2907" s="12"/>
      <c r="L2907" s="12"/>
    </row>
    <row r="2908" spans="1:12" ht="15.75" customHeight="1" x14ac:dyDescent="0.3">
      <c r="A2908" s="29" t="s">
        <v>254</v>
      </c>
      <c r="B2908" s="50" t="str">
        <f>VLOOKUP(A2908,'Sales Order'!A$2:B$1029,1,0)</f>
        <v>SO0017</v>
      </c>
      <c r="C2908" s="29" t="s">
        <v>25</v>
      </c>
      <c r="D2908" s="50" t="str">
        <f>VLOOKUP(C2908,Product!A$2:B$21,1,0)</f>
        <v>PD0002</v>
      </c>
      <c r="E2908" s="36">
        <v>79</v>
      </c>
      <c r="F2908" s="38">
        <v>1485200</v>
      </c>
      <c r="G2908" s="39" t="s">
        <v>5282</v>
      </c>
      <c r="H2908" s="12"/>
      <c r="L2908" s="12"/>
    </row>
    <row r="2909" spans="1:12" ht="15.75" customHeight="1" x14ac:dyDescent="0.3">
      <c r="A2909" s="29" t="s">
        <v>273</v>
      </c>
      <c r="B2909" s="50" t="str">
        <f>VLOOKUP(A2909,'Sales Order'!A$2:B$1029,1,0)</f>
        <v>SO0035</v>
      </c>
      <c r="C2909" s="29" t="s">
        <v>75</v>
      </c>
      <c r="D2909" s="50" t="str">
        <f>VLOOKUP(C2909,Product!A$2:B$21,1,0)</f>
        <v>PD0017</v>
      </c>
      <c r="E2909" s="36">
        <v>97</v>
      </c>
      <c r="F2909" s="38">
        <v>200499000</v>
      </c>
      <c r="G2909" s="39" t="s">
        <v>5283</v>
      </c>
      <c r="H2909" s="12"/>
      <c r="L2909" s="12"/>
    </row>
    <row r="2910" spans="1:12" ht="15.75" customHeight="1" x14ac:dyDescent="0.3">
      <c r="A2910" s="29" t="s">
        <v>273</v>
      </c>
      <c r="B2910" s="50" t="str">
        <f>VLOOKUP(A2910,'Sales Order'!A$2:B$1029,1,0)</f>
        <v>SO0035</v>
      </c>
      <c r="C2910" s="29" t="s">
        <v>81</v>
      </c>
      <c r="D2910" s="50" t="str">
        <f>VLOOKUP(C2910,Product!A$2:B$21,1,0)</f>
        <v>PD0019</v>
      </c>
      <c r="E2910" s="36">
        <v>90</v>
      </c>
      <c r="F2910" s="38">
        <v>183528000</v>
      </c>
      <c r="G2910" s="39" t="s">
        <v>5284</v>
      </c>
      <c r="H2910" s="12"/>
      <c r="L2910" s="12"/>
    </row>
    <row r="2911" spans="1:12" ht="15.75" customHeight="1" x14ac:dyDescent="0.3">
      <c r="A2911" s="17" t="s">
        <v>280</v>
      </c>
      <c r="B2911" s="50" t="str">
        <f>VLOOKUP(A2911,'Sales Order'!A$2:B$1029,1,0)</f>
        <v>SO0042</v>
      </c>
      <c r="C2911" s="29" t="s">
        <v>19</v>
      </c>
      <c r="D2911" s="50" t="str">
        <f>VLOOKUP(C2911,Product!A$2:B$21,1,0)</f>
        <v>PD0001</v>
      </c>
      <c r="E2911" s="36">
        <v>135</v>
      </c>
      <c r="F2911" s="38">
        <v>25211250</v>
      </c>
      <c r="G2911" s="39" t="s">
        <v>5285</v>
      </c>
      <c r="H2911" s="12"/>
      <c r="L2911" s="12"/>
    </row>
    <row r="2912" spans="1:12" ht="15.75" customHeight="1" x14ac:dyDescent="0.3">
      <c r="A2912" s="29" t="s">
        <v>280</v>
      </c>
      <c r="B2912" s="50" t="str">
        <f>VLOOKUP(A2912,'Sales Order'!A$2:B$1029,1,0)</f>
        <v>SO0042</v>
      </c>
      <c r="C2912" s="29" t="s">
        <v>25</v>
      </c>
      <c r="D2912" s="50" t="str">
        <f>VLOOKUP(C2912,Product!A$2:B$21,1,0)</f>
        <v>PD0002</v>
      </c>
      <c r="E2912" s="36">
        <v>73</v>
      </c>
      <c r="F2912" s="38">
        <v>1124200</v>
      </c>
      <c r="G2912" s="39" t="s">
        <v>5286</v>
      </c>
      <c r="H2912" s="12"/>
      <c r="L2912" s="12"/>
    </row>
    <row r="2913" spans="1:12" ht="15.75" customHeight="1" x14ac:dyDescent="0.3">
      <c r="A2913" s="17" t="s">
        <v>282</v>
      </c>
      <c r="B2913" s="50" t="str">
        <f>VLOOKUP(A2913,'Sales Order'!A$2:B$1029,1,0)</f>
        <v>SO0044</v>
      </c>
      <c r="C2913" s="29" t="s">
        <v>35</v>
      </c>
      <c r="D2913" s="50" t="str">
        <f>VLOOKUP(C2913,Product!A$2:B$21,1,0)</f>
        <v>PD0005</v>
      </c>
      <c r="E2913" s="36">
        <v>47</v>
      </c>
      <c r="F2913" s="38">
        <v>98006750</v>
      </c>
      <c r="G2913" s="39" t="s">
        <v>5287</v>
      </c>
      <c r="H2913" s="12"/>
      <c r="L2913" s="12"/>
    </row>
    <row r="2914" spans="1:12" ht="15.75" customHeight="1" x14ac:dyDescent="0.3">
      <c r="A2914" s="29" t="s">
        <v>282</v>
      </c>
      <c r="B2914" s="50" t="str">
        <f>VLOOKUP(A2914,'Sales Order'!A$2:B$1029,1,0)</f>
        <v>SO0044</v>
      </c>
      <c r="C2914" s="29" t="s">
        <v>43</v>
      </c>
      <c r="D2914" s="50" t="str">
        <f>VLOOKUP(C2914,Product!A$2:B$21,1,0)</f>
        <v>PD0007</v>
      </c>
      <c r="E2914" s="36">
        <v>100</v>
      </c>
      <c r="F2914" s="38">
        <v>268800000</v>
      </c>
      <c r="G2914" s="39" t="s">
        <v>5288</v>
      </c>
      <c r="H2914" s="12"/>
      <c r="L2914" s="12"/>
    </row>
    <row r="2915" spans="1:12" ht="15.75" customHeight="1" x14ac:dyDescent="0.3">
      <c r="A2915" s="17" t="s">
        <v>283</v>
      </c>
      <c r="B2915" s="50" t="str">
        <f>VLOOKUP(A2915,'Sales Order'!A$2:B$1029,1,0)</f>
        <v>SO0045</v>
      </c>
      <c r="C2915" s="29" t="s">
        <v>25</v>
      </c>
      <c r="D2915" s="50" t="str">
        <f>VLOOKUP(C2915,Product!A$2:B$21,1,0)</f>
        <v>PD0002</v>
      </c>
      <c r="E2915" s="36">
        <v>63</v>
      </c>
      <c r="F2915" s="38">
        <v>945000</v>
      </c>
      <c r="G2915" s="39" t="s">
        <v>5289</v>
      </c>
      <c r="H2915" s="12"/>
      <c r="L2915" s="12"/>
    </row>
    <row r="2916" spans="1:12" ht="15.75" customHeight="1" x14ac:dyDescent="0.3">
      <c r="A2916" s="29" t="s">
        <v>283</v>
      </c>
      <c r="B2916" s="50" t="str">
        <f>VLOOKUP(A2916,'Sales Order'!A$2:B$1029,1,0)</f>
        <v>SO0045</v>
      </c>
      <c r="C2916" s="29" t="s">
        <v>19</v>
      </c>
      <c r="D2916" s="50" t="str">
        <f>VLOOKUP(C2916,Product!A$2:B$21,1,0)</f>
        <v>PD0001</v>
      </c>
      <c r="E2916" s="36">
        <v>88</v>
      </c>
      <c r="F2916" s="38">
        <v>17091360</v>
      </c>
      <c r="G2916" s="39" t="s">
        <v>5290</v>
      </c>
      <c r="H2916" s="12"/>
      <c r="L2916" s="12"/>
    </row>
    <row r="2917" spans="1:12" ht="15.75" customHeight="1" x14ac:dyDescent="0.3">
      <c r="A2917" s="17" t="s">
        <v>290</v>
      </c>
      <c r="B2917" s="50" t="str">
        <f>VLOOKUP(A2917,'Sales Order'!A$2:B$1029,1,0)</f>
        <v>SO0052</v>
      </c>
      <c r="C2917" s="29" t="s">
        <v>81</v>
      </c>
      <c r="D2917" s="50" t="str">
        <f>VLOOKUP(C2917,Product!A$2:B$21,1,0)</f>
        <v>PD0019</v>
      </c>
      <c r="E2917" s="36">
        <v>35</v>
      </c>
      <c r="F2917" s="38">
        <v>83862100</v>
      </c>
      <c r="G2917" s="39" t="s">
        <v>5291</v>
      </c>
      <c r="H2917" s="12"/>
      <c r="L2917" s="12"/>
    </row>
    <row r="2918" spans="1:12" ht="15.75" customHeight="1" x14ac:dyDescent="0.3">
      <c r="A2918" s="29" t="s">
        <v>290</v>
      </c>
      <c r="B2918" s="50" t="str">
        <f>VLOOKUP(A2918,'Sales Order'!A$2:B$1029,1,0)</f>
        <v>SO0052</v>
      </c>
      <c r="C2918" s="29" t="s">
        <v>78</v>
      </c>
      <c r="D2918" s="50" t="str">
        <f>VLOOKUP(C2918,Product!A$2:B$21,1,0)</f>
        <v>PD0018</v>
      </c>
      <c r="E2918" s="36">
        <v>36</v>
      </c>
      <c r="F2918" s="38">
        <v>16470720</v>
      </c>
      <c r="G2918" s="39" t="s">
        <v>5292</v>
      </c>
      <c r="H2918" s="12"/>
      <c r="L2918" s="12"/>
    </row>
    <row r="2919" spans="1:12" ht="15.75" customHeight="1" x14ac:dyDescent="0.3">
      <c r="A2919" s="29" t="s">
        <v>290</v>
      </c>
      <c r="B2919" s="50" t="str">
        <f>VLOOKUP(A2919,'Sales Order'!A$2:B$1029,1,0)</f>
        <v>SO0052</v>
      </c>
      <c r="C2919" s="29" t="s">
        <v>75</v>
      </c>
      <c r="D2919" s="50" t="str">
        <f>VLOOKUP(C2919,Product!A$2:B$21,1,0)</f>
        <v>PD0017</v>
      </c>
      <c r="E2919" s="36">
        <v>51</v>
      </c>
      <c r="F2919" s="38">
        <v>121635000</v>
      </c>
      <c r="G2919" s="39" t="s">
        <v>5293</v>
      </c>
      <c r="H2919" s="12"/>
      <c r="L2919" s="12"/>
    </row>
    <row r="2920" spans="1:12" ht="15.75" customHeight="1" x14ac:dyDescent="0.3">
      <c r="A2920" s="17" t="s">
        <v>292</v>
      </c>
      <c r="B2920" s="50" t="str">
        <f>VLOOKUP(A2920,'Sales Order'!A$2:B$1029,1,0)</f>
        <v>SO0054</v>
      </c>
      <c r="C2920" s="29" t="s">
        <v>45</v>
      </c>
      <c r="D2920" s="50" t="str">
        <f>VLOOKUP(C2920,Product!A$2:B$21,1,0)</f>
        <v>PD0008</v>
      </c>
      <c r="E2920" s="36">
        <v>63</v>
      </c>
      <c r="F2920" s="38">
        <v>7791210</v>
      </c>
      <c r="G2920" s="39" t="s">
        <v>5294</v>
      </c>
      <c r="H2920" s="12"/>
      <c r="L2920" s="12"/>
    </row>
    <row r="2921" spans="1:12" ht="15.75" customHeight="1" x14ac:dyDescent="0.3">
      <c r="A2921" s="29" t="s">
        <v>292</v>
      </c>
      <c r="B2921" s="50" t="str">
        <f>VLOOKUP(A2921,'Sales Order'!A$2:B$1029,1,0)</f>
        <v>SO0054</v>
      </c>
      <c r="C2921" s="29" t="s">
        <v>52</v>
      </c>
      <c r="D2921" s="50" t="str">
        <f>VLOOKUP(C2921,Product!A$2:B$21,1,0)</f>
        <v>PD0010</v>
      </c>
      <c r="E2921" s="36">
        <v>143</v>
      </c>
      <c r="F2921" s="38">
        <v>34856250</v>
      </c>
      <c r="G2921" s="39" t="s">
        <v>5295</v>
      </c>
      <c r="H2921" s="12"/>
      <c r="L2921" s="12"/>
    </row>
    <row r="2922" spans="1:12" ht="15.75" customHeight="1" x14ac:dyDescent="0.3">
      <c r="A2922" s="17" t="s">
        <v>293</v>
      </c>
      <c r="B2922" s="50" t="str">
        <f>VLOOKUP(A2922,'Sales Order'!A$2:B$1029,1,0)</f>
        <v>SO0055</v>
      </c>
      <c r="C2922" s="29" t="s">
        <v>33</v>
      </c>
      <c r="D2922" s="50" t="str">
        <f>VLOOKUP(C2922,Product!A$2:B$21,1,0)</f>
        <v>PD0004</v>
      </c>
      <c r="E2922" s="36">
        <v>52</v>
      </c>
      <c r="F2922" s="38">
        <v>8808800</v>
      </c>
      <c r="G2922" s="39" t="s">
        <v>5296</v>
      </c>
      <c r="H2922" s="12"/>
      <c r="L2922" s="12"/>
    </row>
    <row r="2923" spans="1:12" ht="15.75" customHeight="1" x14ac:dyDescent="0.3">
      <c r="A2923" s="29" t="s">
        <v>293</v>
      </c>
      <c r="B2923" s="50" t="str">
        <f>VLOOKUP(A2923,'Sales Order'!A$2:B$1029,1,0)</f>
        <v>SO0055</v>
      </c>
      <c r="C2923" s="29" t="s">
        <v>28</v>
      </c>
      <c r="D2923" s="50" t="str">
        <f>VLOOKUP(C2923,Product!A$2:B$21,1,0)</f>
        <v>PD0003</v>
      </c>
      <c r="E2923" s="36">
        <v>97</v>
      </c>
      <c r="F2923" s="38">
        <v>68633320</v>
      </c>
      <c r="G2923" s="39" t="s">
        <v>5297</v>
      </c>
      <c r="H2923" s="12"/>
      <c r="L2923" s="12"/>
    </row>
    <row r="2924" spans="1:12" ht="15.75" customHeight="1" x14ac:dyDescent="0.3">
      <c r="A2924" s="17" t="s">
        <v>301</v>
      </c>
      <c r="B2924" s="50" t="str">
        <f>VLOOKUP(A2924,'Sales Order'!A$2:B$1029,1,0)</f>
        <v>SO0063</v>
      </c>
      <c r="C2924" s="29" t="s">
        <v>35</v>
      </c>
      <c r="D2924" s="50" t="str">
        <f>VLOOKUP(C2924,Product!A$2:B$21,1,0)</f>
        <v>PD0005</v>
      </c>
      <c r="E2924" s="36">
        <v>31</v>
      </c>
      <c r="F2924" s="38">
        <v>59879600</v>
      </c>
      <c r="G2924" s="39" t="s">
        <v>5298</v>
      </c>
      <c r="H2924" s="12"/>
      <c r="L2924" s="12"/>
    </row>
    <row r="2925" spans="1:12" ht="15.75" customHeight="1" x14ac:dyDescent="0.3">
      <c r="A2925" s="29" t="s">
        <v>301</v>
      </c>
      <c r="B2925" s="50" t="str">
        <f>VLOOKUP(A2925,'Sales Order'!A$2:B$1029,1,0)</f>
        <v>SO0063</v>
      </c>
      <c r="C2925" s="29" t="s">
        <v>43</v>
      </c>
      <c r="D2925" s="50" t="str">
        <f>VLOOKUP(C2925,Product!A$2:B$21,1,0)</f>
        <v>PD0007</v>
      </c>
      <c r="E2925" s="36">
        <v>67</v>
      </c>
      <c r="F2925" s="38">
        <v>199392000</v>
      </c>
      <c r="G2925" s="39" t="s">
        <v>5299</v>
      </c>
      <c r="H2925" s="12"/>
      <c r="L2925" s="12"/>
    </row>
    <row r="2926" spans="1:12" ht="15.75" customHeight="1" x14ac:dyDescent="0.3">
      <c r="A2926" s="29" t="s">
        <v>307</v>
      </c>
      <c r="B2926" s="50" t="str">
        <f>VLOOKUP(A2926,'Sales Order'!A$2:B$1029,1,0)</f>
        <v>SO0069</v>
      </c>
      <c r="C2926" s="29" t="s">
        <v>43</v>
      </c>
      <c r="D2926" s="50" t="str">
        <f>VLOOKUP(C2926,Product!A$2:B$21,1,0)</f>
        <v>PD0007</v>
      </c>
      <c r="E2926" s="36">
        <v>90</v>
      </c>
      <c r="F2926" s="38">
        <v>253440000</v>
      </c>
      <c r="G2926" s="39" t="s">
        <v>5300</v>
      </c>
      <c r="H2926" s="12"/>
      <c r="L2926" s="12"/>
    </row>
    <row r="2927" spans="1:12" ht="15.75" customHeight="1" x14ac:dyDescent="0.3">
      <c r="A2927" s="29" t="s">
        <v>307</v>
      </c>
      <c r="B2927" s="50" t="str">
        <f>VLOOKUP(A2927,'Sales Order'!A$2:B$1029,1,0)</f>
        <v>SO0069</v>
      </c>
      <c r="C2927" s="29" t="s">
        <v>35</v>
      </c>
      <c r="D2927" s="50" t="str">
        <f>VLOOKUP(C2927,Product!A$2:B$21,1,0)</f>
        <v>PD0005</v>
      </c>
      <c r="E2927" s="36">
        <v>85</v>
      </c>
      <c r="F2927" s="38">
        <v>154857250</v>
      </c>
      <c r="G2927" s="39" t="s">
        <v>5301</v>
      </c>
      <c r="H2927" s="12"/>
      <c r="L2927" s="12"/>
    </row>
    <row r="2928" spans="1:12" ht="15.75" customHeight="1" x14ac:dyDescent="0.3">
      <c r="A2928" s="17" t="s">
        <v>319</v>
      </c>
      <c r="B2928" s="50" t="str">
        <f>VLOOKUP(A2928,'Sales Order'!A$2:B$1029,1,0)</f>
        <v>SO0081</v>
      </c>
      <c r="C2928" s="29" t="s">
        <v>65</v>
      </c>
      <c r="D2928" s="50" t="str">
        <f>VLOOKUP(C2928,Product!A$2:B$21,1,0)</f>
        <v>PD0014</v>
      </c>
      <c r="E2928" s="36">
        <v>39</v>
      </c>
      <c r="F2928" s="38">
        <v>8018010</v>
      </c>
      <c r="G2928" s="39" t="s">
        <v>5302</v>
      </c>
      <c r="H2928" s="12"/>
      <c r="L2928" s="12"/>
    </row>
    <row r="2929" spans="1:12" ht="15.75" customHeight="1" x14ac:dyDescent="0.3">
      <c r="A2929" s="29" t="s">
        <v>319</v>
      </c>
      <c r="B2929" s="50" t="str">
        <f>VLOOKUP(A2929,'Sales Order'!A$2:B$1029,1,0)</f>
        <v>SO0081</v>
      </c>
      <c r="C2929" s="29" t="s">
        <v>61</v>
      </c>
      <c r="D2929" s="50" t="str">
        <f>VLOOKUP(C2929,Product!A$2:B$21,1,0)</f>
        <v>PD0013</v>
      </c>
      <c r="E2929" s="36">
        <v>67</v>
      </c>
      <c r="F2929" s="38">
        <v>27279050</v>
      </c>
      <c r="G2929" s="39" t="s">
        <v>5303</v>
      </c>
      <c r="H2929" s="12"/>
      <c r="L2929" s="12"/>
    </row>
    <row r="2930" spans="1:12" ht="15.75" customHeight="1" x14ac:dyDescent="0.3">
      <c r="A2930" s="17" t="s">
        <v>330</v>
      </c>
      <c r="B2930" s="50" t="str">
        <f>VLOOKUP(A2930,'Sales Order'!A$2:B$1029,1,0)</f>
        <v>SO0092</v>
      </c>
      <c r="C2930" s="29" t="s">
        <v>83</v>
      </c>
      <c r="D2930" s="50" t="str">
        <f>VLOOKUP(C2930,Product!A$2:B$21,1,0)</f>
        <v>PD0020</v>
      </c>
      <c r="E2930" s="36">
        <v>143</v>
      </c>
      <c r="F2930" s="38">
        <v>42689790</v>
      </c>
      <c r="G2930" s="39" t="s">
        <v>5304</v>
      </c>
      <c r="H2930" s="12"/>
      <c r="L2930" s="12"/>
    </row>
    <row r="2931" spans="1:12" ht="15.75" customHeight="1" x14ac:dyDescent="0.3">
      <c r="A2931" s="29" t="s">
        <v>330</v>
      </c>
      <c r="B2931" s="50" t="str">
        <f>VLOOKUP(A2931,'Sales Order'!A$2:B$1029,1,0)</f>
        <v>SO0092</v>
      </c>
      <c r="C2931" s="29" t="s">
        <v>81</v>
      </c>
      <c r="D2931" s="50" t="str">
        <f>VLOOKUP(C2931,Product!A$2:B$21,1,0)</f>
        <v>PD0019</v>
      </c>
      <c r="E2931" s="36">
        <v>73</v>
      </c>
      <c r="F2931" s="38">
        <v>167469300</v>
      </c>
      <c r="G2931" s="39" t="s">
        <v>5305</v>
      </c>
      <c r="H2931" s="12"/>
      <c r="L2931" s="12"/>
    </row>
    <row r="2932" spans="1:12" ht="15.75" customHeight="1" x14ac:dyDescent="0.3">
      <c r="A2932" s="29" t="s">
        <v>339</v>
      </c>
      <c r="B2932" s="50" t="str">
        <f>VLOOKUP(A2932,'Sales Order'!A$2:B$1029,1,0)</f>
        <v>SO0101</v>
      </c>
      <c r="C2932" s="29" t="s">
        <v>61</v>
      </c>
      <c r="D2932" s="50" t="str">
        <f>VLOOKUP(C2932,Product!A$2:B$21,1,0)</f>
        <v>PD0013</v>
      </c>
      <c r="E2932" s="36">
        <v>78</v>
      </c>
      <c r="F2932" s="38">
        <v>30636840.000000004</v>
      </c>
      <c r="G2932" s="39" t="s">
        <v>5306</v>
      </c>
      <c r="H2932" s="12"/>
      <c r="L2932" s="12"/>
    </row>
    <row r="2933" spans="1:12" ht="15.75" customHeight="1" x14ac:dyDescent="0.3">
      <c r="A2933" s="29" t="s">
        <v>339</v>
      </c>
      <c r="B2933" s="50" t="str">
        <f>VLOOKUP(A2933,'Sales Order'!A$2:B$1029,1,0)</f>
        <v>SO0101</v>
      </c>
      <c r="C2933" s="29" t="s">
        <v>65</v>
      </c>
      <c r="D2933" s="50" t="str">
        <f>VLOOKUP(C2933,Product!A$2:B$21,1,0)</f>
        <v>PD0014</v>
      </c>
      <c r="E2933" s="36">
        <v>63</v>
      </c>
      <c r="F2933" s="38">
        <v>15979950</v>
      </c>
      <c r="G2933" s="39" t="s">
        <v>5307</v>
      </c>
      <c r="H2933" s="12"/>
      <c r="L2933" s="12"/>
    </row>
    <row r="2934" spans="1:12" ht="15.75" customHeight="1" x14ac:dyDescent="0.3">
      <c r="A2934" s="17" t="s">
        <v>341</v>
      </c>
      <c r="B2934" s="50" t="str">
        <f>VLOOKUP(A2934,'Sales Order'!A$2:B$1029,1,0)</f>
        <v>SO0103</v>
      </c>
      <c r="C2934" s="29" t="s">
        <v>55</v>
      </c>
      <c r="D2934" s="50" t="str">
        <f>VLOOKUP(C2934,Product!A$2:B$21,1,0)</f>
        <v>PD0011</v>
      </c>
      <c r="E2934" s="36">
        <v>125</v>
      </c>
      <c r="F2934" s="38">
        <v>268336250</v>
      </c>
      <c r="G2934" s="39" t="s">
        <v>5308</v>
      </c>
      <c r="H2934" s="12"/>
      <c r="L2934" s="12"/>
    </row>
    <row r="2935" spans="1:12" ht="15.75" customHeight="1" x14ac:dyDescent="0.3">
      <c r="A2935" s="29" t="s">
        <v>341</v>
      </c>
      <c r="B2935" s="50" t="str">
        <f>VLOOKUP(A2935,'Sales Order'!A$2:B$1029,1,0)</f>
        <v>SO0103</v>
      </c>
      <c r="C2935" s="29" t="s">
        <v>45</v>
      </c>
      <c r="D2935" s="50" t="str">
        <f>VLOOKUP(C2935,Product!A$2:B$21,1,0)</f>
        <v>PD0008</v>
      </c>
      <c r="E2935" s="36">
        <v>31</v>
      </c>
      <c r="F2935" s="38">
        <v>3510440</v>
      </c>
      <c r="G2935" s="39" t="s">
        <v>5309</v>
      </c>
      <c r="H2935" s="12"/>
      <c r="L2935" s="12"/>
    </row>
    <row r="2936" spans="1:12" ht="15.75" customHeight="1" x14ac:dyDescent="0.3">
      <c r="A2936" s="29" t="s">
        <v>341</v>
      </c>
      <c r="B2936" s="50" t="str">
        <f>VLOOKUP(A2936,'Sales Order'!A$2:B$1029,1,0)</f>
        <v>SO0103</v>
      </c>
      <c r="C2936" s="29" t="s">
        <v>48</v>
      </c>
      <c r="D2936" s="50" t="str">
        <f>VLOOKUP(C2936,Product!A$2:B$21,1,0)</f>
        <v>PD0009</v>
      </c>
      <c r="E2936" s="36">
        <v>109</v>
      </c>
      <c r="F2936" s="38">
        <v>11530020</v>
      </c>
      <c r="G2936" s="39" t="s">
        <v>5310</v>
      </c>
      <c r="H2936" s="12"/>
      <c r="L2936" s="12"/>
    </row>
    <row r="2937" spans="1:12" ht="15.75" customHeight="1" x14ac:dyDescent="0.3">
      <c r="A2937" s="29" t="s">
        <v>341</v>
      </c>
      <c r="B2937" s="50" t="str">
        <f>VLOOKUP(A2937,'Sales Order'!A$2:B$1029,1,0)</f>
        <v>SO0103</v>
      </c>
      <c r="C2937" s="29" t="s">
        <v>58</v>
      </c>
      <c r="D2937" s="50" t="str">
        <f>VLOOKUP(C2937,Product!A$2:B$21,1,0)</f>
        <v>PD0012</v>
      </c>
      <c r="E2937" s="36">
        <v>138</v>
      </c>
      <c r="F2937" s="38">
        <v>661454700</v>
      </c>
      <c r="G2937" s="39" t="s">
        <v>5311</v>
      </c>
      <c r="H2937" s="12"/>
      <c r="L2937" s="12"/>
    </row>
    <row r="2938" spans="1:12" ht="15.75" customHeight="1" x14ac:dyDescent="0.3">
      <c r="A2938" s="29" t="s">
        <v>343</v>
      </c>
      <c r="B2938" s="50" t="str">
        <f>VLOOKUP(A2938,'Sales Order'!A$2:B$1029,1,0)</f>
        <v>SO0105</v>
      </c>
      <c r="C2938" s="29" t="s">
        <v>19</v>
      </c>
      <c r="D2938" s="50" t="str">
        <f>VLOOKUP(C2938,Product!A$2:B$21,1,0)</f>
        <v>PD0001</v>
      </c>
      <c r="E2938" s="36">
        <v>32</v>
      </c>
      <c r="F2938" s="38">
        <v>6613440</v>
      </c>
      <c r="G2938" s="39" t="s">
        <v>5312</v>
      </c>
      <c r="H2938" s="12"/>
      <c r="L2938" s="12"/>
    </row>
    <row r="2939" spans="1:12" ht="15.75" customHeight="1" x14ac:dyDescent="0.3">
      <c r="A2939" s="29" t="s">
        <v>343</v>
      </c>
      <c r="B2939" s="50" t="str">
        <f>VLOOKUP(A2939,'Sales Order'!A$2:B$1029,1,0)</f>
        <v>SO0105</v>
      </c>
      <c r="C2939" s="29" t="s">
        <v>25</v>
      </c>
      <c r="D2939" s="50" t="str">
        <f>VLOOKUP(C2939,Product!A$2:B$21,1,0)</f>
        <v>PD0002</v>
      </c>
      <c r="E2939" s="36">
        <v>65</v>
      </c>
      <c r="F2939" s="38">
        <v>1131000</v>
      </c>
      <c r="G2939" s="39" t="s">
        <v>5313</v>
      </c>
      <c r="H2939" s="12"/>
      <c r="L2939" s="12"/>
    </row>
    <row r="2940" spans="1:12" ht="15.75" customHeight="1" x14ac:dyDescent="0.3">
      <c r="A2940" s="17" t="s">
        <v>350</v>
      </c>
      <c r="B2940" s="50" t="str">
        <f>VLOOKUP(A2940,'Sales Order'!A$2:B$1029,1,0)</f>
        <v>SO0112</v>
      </c>
      <c r="C2940" s="29" t="s">
        <v>75</v>
      </c>
      <c r="D2940" s="50" t="str">
        <f>VLOOKUP(C2940,Product!A$2:B$21,1,0)</f>
        <v>PD0017</v>
      </c>
      <c r="E2940" s="36">
        <v>112</v>
      </c>
      <c r="F2940" s="38">
        <v>261184000</v>
      </c>
      <c r="G2940" s="39" t="s">
        <v>5314</v>
      </c>
      <c r="H2940" s="12"/>
      <c r="L2940" s="12"/>
    </row>
    <row r="2941" spans="1:12" ht="15.75" customHeight="1" x14ac:dyDescent="0.3">
      <c r="A2941" s="29" t="s">
        <v>350</v>
      </c>
      <c r="B2941" s="50" t="str">
        <f>VLOOKUP(A2941,'Sales Order'!A$2:B$1029,1,0)</f>
        <v>SO0112</v>
      </c>
      <c r="C2941" s="29" t="s">
        <v>81</v>
      </c>
      <c r="D2941" s="50" t="str">
        <f>VLOOKUP(C2941,Product!A$2:B$21,1,0)</f>
        <v>PD0019</v>
      </c>
      <c r="E2941" s="36">
        <v>90</v>
      </c>
      <c r="F2941" s="38">
        <v>178939800</v>
      </c>
      <c r="G2941" s="39" t="s">
        <v>5315</v>
      </c>
      <c r="H2941" s="12"/>
      <c r="L2941" s="12"/>
    </row>
    <row r="2942" spans="1:12" ht="15.75" customHeight="1" x14ac:dyDescent="0.3">
      <c r="A2942" s="29" t="s">
        <v>350</v>
      </c>
      <c r="B2942" s="50" t="str">
        <f>VLOOKUP(A2942,'Sales Order'!A$2:B$1029,1,0)</f>
        <v>SO0112</v>
      </c>
      <c r="C2942" s="29" t="s">
        <v>83</v>
      </c>
      <c r="D2942" s="50" t="str">
        <f>VLOOKUP(C2942,Product!A$2:B$21,1,0)</f>
        <v>PD0020</v>
      </c>
      <c r="E2942" s="36">
        <v>34</v>
      </c>
      <c r="F2942" s="38">
        <v>9276900</v>
      </c>
      <c r="G2942" s="39" t="s">
        <v>5316</v>
      </c>
      <c r="H2942" s="12"/>
      <c r="L2942" s="12"/>
    </row>
    <row r="2943" spans="1:12" ht="15.75" customHeight="1" x14ac:dyDescent="0.3">
      <c r="A2943" s="29" t="s">
        <v>357</v>
      </c>
      <c r="B2943" s="50" t="str">
        <f>VLOOKUP(A2943,'Sales Order'!A$2:B$1029,1,0)</f>
        <v>SO0119</v>
      </c>
      <c r="C2943" s="29" t="s">
        <v>61</v>
      </c>
      <c r="D2943" s="50" t="str">
        <f>VLOOKUP(C2943,Product!A$2:B$21,1,0)</f>
        <v>PD0013</v>
      </c>
      <c r="E2943" s="36">
        <v>38</v>
      </c>
      <c r="F2943" s="38">
        <v>15289680</v>
      </c>
      <c r="G2943" s="39" t="s">
        <v>5317</v>
      </c>
      <c r="H2943" s="12"/>
      <c r="L2943" s="12"/>
    </row>
    <row r="2944" spans="1:12" ht="15.75" customHeight="1" x14ac:dyDescent="0.3">
      <c r="A2944" s="29" t="s">
        <v>357</v>
      </c>
      <c r="B2944" s="50" t="str">
        <f>VLOOKUP(A2944,'Sales Order'!A$2:B$1029,1,0)</f>
        <v>SO0119</v>
      </c>
      <c r="C2944" s="29" t="s">
        <v>65</v>
      </c>
      <c r="D2944" s="50" t="str">
        <f>VLOOKUP(C2944,Product!A$2:B$21,1,0)</f>
        <v>PD0014</v>
      </c>
      <c r="E2944" s="36">
        <v>32</v>
      </c>
      <c r="F2944" s="38">
        <v>8116800</v>
      </c>
      <c r="G2944" s="39" t="s">
        <v>5318</v>
      </c>
      <c r="H2944" s="12"/>
      <c r="L2944" s="12"/>
    </row>
    <row r="2945" spans="1:12" ht="15.75" customHeight="1" x14ac:dyDescent="0.3">
      <c r="A2945" s="17" t="s">
        <v>358</v>
      </c>
      <c r="B2945" s="50" t="str">
        <f>VLOOKUP(A2945,'Sales Order'!A$2:B$1029,1,0)</f>
        <v>SO0120</v>
      </c>
      <c r="C2945" s="29" t="s">
        <v>48</v>
      </c>
      <c r="D2945" s="50" t="str">
        <f>VLOOKUP(C2945,Product!A$2:B$21,1,0)</f>
        <v>PD0009</v>
      </c>
      <c r="E2945" s="36">
        <v>103</v>
      </c>
      <c r="F2945" s="38">
        <v>12224040</v>
      </c>
      <c r="G2945" s="39" t="s">
        <v>5319</v>
      </c>
      <c r="H2945" s="12"/>
      <c r="L2945" s="12"/>
    </row>
    <row r="2946" spans="1:12" ht="15.75" customHeight="1" x14ac:dyDescent="0.3">
      <c r="A2946" s="29" t="s">
        <v>358</v>
      </c>
      <c r="B2946" s="50" t="str">
        <f>VLOOKUP(A2946,'Sales Order'!A$2:B$1029,1,0)</f>
        <v>SO0120</v>
      </c>
      <c r="C2946" s="29" t="s">
        <v>45</v>
      </c>
      <c r="D2946" s="50" t="str">
        <f>VLOOKUP(C2946,Product!A$2:B$21,1,0)</f>
        <v>PD0008</v>
      </c>
      <c r="E2946" s="36">
        <v>63</v>
      </c>
      <c r="F2946" s="38">
        <v>7885080</v>
      </c>
      <c r="G2946" s="39" t="s">
        <v>5320</v>
      </c>
      <c r="H2946" s="12"/>
      <c r="L2946" s="12"/>
    </row>
    <row r="2947" spans="1:12" ht="15.75" customHeight="1" x14ac:dyDescent="0.3">
      <c r="A2947" s="17" t="s">
        <v>360</v>
      </c>
      <c r="B2947" s="50" t="str">
        <f>VLOOKUP(A2947,'Sales Order'!A$2:B$1029,1,0)</f>
        <v>SO0122</v>
      </c>
      <c r="C2947" s="29" t="s">
        <v>43</v>
      </c>
      <c r="D2947" s="50" t="str">
        <f>VLOOKUP(C2947,Product!A$2:B$21,1,0)</f>
        <v>PD0007</v>
      </c>
      <c r="E2947" s="36">
        <v>89</v>
      </c>
      <c r="F2947" s="38">
        <v>239232000</v>
      </c>
      <c r="G2947" s="39" t="s">
        <v>5321</v>
      </c>
      <c r="H2947" s="12"/>
      <c r="L2947" s="12"/>
    </row>
    <row r="2948" spans="1:12" ht="15.75" customHeight="1" x14ac:dyDescent="0.3">
      <c r="A2948" s="29" t="s">
        <v>360</v>
      </c>
      <c r="B2948" s="50" t="str">
        <f>VLOOKUP(A2948,'Sales Order'!A$2:B$1029,1,0)</f>
        <v>SO0122</v>
      </c>
      <c r="C2948" s="29" t="s">
        <v>35</v>
      </c>
      <c r="D2948" s="50" t="str">
        <f>VLOOKUP(C2948,Product!A$2:B$21,1,0)</f>
        <v>PD0005</v>
      </c>
      <c r="E2948" s="36">
        <v>88</v>
      </c>
      <c r="F2948" s="38">
        <v>158391200</v>
      </c>
      <c r="G2948" s="39" t="s">
        <v>5322</v>
      </c>
      <c r="H2948" s="12"/>
      <c r="L2948" s="12"/>
    </row>
    <row r="2949" spans="1:12" ht="15.75" customHeight="1" x14ac:dyDescent="0.3">
      <c r="A2949" s="29" t="s">
        <v>360</v>
      </c>
      <c r="B2949" s="50" t="str">
        <f>VLOOKUP(A2949,'Sales Order'!A$2:B$1029,1,0)</f>
        <v>SO0122</v>
      </c>
      <c r="C2949" s="29" t="s">
        <v>55</v>
      </c>
      <c r="D2949" s="50" t="str">
        <f>VLOOKUP(C2949,Product!A$2:B$21,1,0)</f>
        <v>PD0011</v>
      </c>
      <c r="E2949" s="36">
        <v>28</v>
      </c>
      <c r="F2949" s="38">
        <v>53502120</v>
      </c>
      <c r="G2949" s="39" t="s">
        <v>5323</v>
      </c>
      <c r="H2949" s="12"/>
      <c r="L2949" s="12"/>
    </row>
    <row r="2950" spans="1:12" ht="15.75" customHeight="1" x14ac:dyDescent="0.3">
      <c r="A2950" s="29" t="s">
        <v>360</v>
      </c>
      <c r="B2950" s="50" t="str">
        <f>VLOOKUP(A2950,'Sales Order'!A$2:B$1029,1,0)</f>
        <v>SO0122</v>
      </c>
      <c r="C2950" s="29" t="s">
        <v>58</v>
      </c>
      <c r="D2950" s="50" t="str">
        <f>VLOOKUP(C2950,Product!A$2:B$21,1,0)</f>
        <v>PD0012</v>
      </c>
      <c r="E2950" s="36">
        <v>114</v>
      </c>
      <c r="F2950" s="38">
        <v>514276800</v>
      </c>
      <c r="G2950" s="39" t="s">
        <v>5324</v>
      </c>
      <c r="H2950" s="12"/>
      <c r="L2950" s="12"/>
    </row>
    <row r="2951" spans="1:12" ht="15.75" customHeight="1" x14ac:dyDescent="0.3">
      <c r="A2951" s="29" t="s">
        <v>367</v>
      </c>
      <c r="B2951" s="50" t="str">
        <f>VLOOKUP(A2951,'Sales Order'!A$2:B$1029,1,0)</f>
        <v>SO0129</v>
      </c>
      <c r="C2951" s="29" t="s">
        <v>81</v>
      </c>
      <c r="D2951" s="50" t="str">
        <f>VLOOKUP(C2951,Product!A$2:B$21,1,0)</f>
        <v>PD0019</v>
      </c>
      <c r="E2951" s="36">
        <v>116</v>
      </c>
      <c r="F2951" s="38">
        <v>227676680</v>
      </c>
      <c r="G2951" s="39" t="s">
        <v>5325</v>
      </c>
      <c r="H2951" s="12"/>
      <c r="L2951" s="12"/>
    </row>
    <row r="2952" spans="1:12" ht="15.75" customHeight="1" x14ac:dyDescent="0.3">
      <c r="A2952" s="29" t="s">
        <v>367</v>
      </c>
      <c r="B2952" s="50" t="str">
        <f>VLOOKUP(A2952,'Sales Order'!A$2:B$1029,1,0)</f>
        <v>SO0129</v>
      </c>
      <c r="C2952" s="29" t="s">
        <v>78</v>
      </c>
      <c r="D2952" s="50" t="str">
        <f>VLOOKUP(C2952,Product!A$2:B$21,1,0)</f>
        <v>PD0018</v>
      </c>
      <c r="E2952" s="36">
        <v>31</v>
      </c>
      <c r="F2952" s="38">
        <v>15667400</v>
      </c>
      <c r="G2952" s="39" t="s">
        <v>5326</v>
      </c>
      <c r="H2952" s="12"/>
      <c r="L2952" s="12"/>
    </row>
    <row r="2953" spans="1:12" ht="15.75" customHeight="1" x14ac:dyDescent="0.3">
      <c r="A2953" s="17" t="s">
        <v>369</v>
      </c>
      <c r="B2953" s="50" t="str">
        <f>VLOOKUP(A2953,'Sales Order'!A$2:B$1029,1,0)</f>
        <v>SO0131</v>
      </c>
      <c r="C2953" s="29" t="s">
        <v>65</v>
      </c>
      <c r="D2953" s="50" t="str">
        <f>VLOOKUP(C2953,Product!A$2:B$21,1,0)</f>
        <v>PD0014</v>
      </c>
      <c r="E2953" s="36">
        <v>83</v>
      </c>
      <c r="F2953" s="38">
        <v>20609730</v>
      </c>
      <c r="G2953" s="39" t="s">
        <v>5327</v>
      </c>
      <c r="H2953" s="12"/>
      <c r="L2953" s="12"/>
    </row>
    <row r="2954" spans="1:12" ht="15.75" customHeight="1" x14ac:dyDescent="0.3">
      <c r="A2954" s="29" t="s">
        <v>369</v>
      </c>
      <c r="B2954" s="50" t="str">
        <f>VLOOKUP(A2954,'Sales Order'!A$2:B$1029,1,0)</f>
        <v>SO0131</v>
      </c>
      <c r="C2954" s="29" t="s">
        <v>61</v>
      </c>
      <c r="D2954" s="50" t="str">
        <f>VLOOKUP(C2954,Product!A$2:B$21,1,0)</f>
        <v>PD0013</v>
      </c>
      <c r="E2954" s="36">
        <v>82</v>
      </c>
      <c r="F2954" s="38">
        <v>30636840</v>
      </c>
      <c r="G2954" s="39" t="s">
        <v>5328</v>
      </c>
      <c r="H2954" s="12"/>
      <c r="L2954" s="12"/>
    </row>
    <row r="2955" spans="1:12" ht="15.75" customHeight="1" x14ac:dyDescent="0.3">
      <c r="A2955" s="29" t="s">
        <v>375</v>
      </c>
      <c r="B2955" s="50" t="str">
        <f>VLOOKUP(A2955,'Sales Order'!A$2:B$1029,1,0)</f>
        <v>SO0137</v>
      </c>
      <c r="C2955" s="29" t="s">
        <v>19</v>
      </c>
      <c r="D2955" s="50" t="str">
        <f>VLOOKUP(C2955,Product!A$2:B$21,1,0)</f>
        <v>PD0001</v>
      </c>
      <c r="E2955" s="36">
        <v>132</v>
      </c>
      <c r="F2955" s="38">
        <v>30895920</v>
      </c>
      <c r="G2955" s="39" t="s">
        <v>5329</v>
      </c>
      <c r="H2955" s="12"/>
      <c r="L2955" s="12"/>
    </row>
    <row r="2956" spans="1:12" ht="15.75" customHeight="1" x14ac:dyDescent="0.3">
      <c r="A2956" s="29" t="s">
        <v>375</v>
      </c>
      <c r="B2956" s="50" t="str">
        <f>VLOOKUP(A2956,'Sales Order'!A$2:B$1029,1,0)</f>
        <v>SO0137</v>
      </c>
      <c r="C2956" s="29" t="s">
        <v>25</v>
      </c>
      <c r="D2956" s="50" t="str">
        <f>VLOOKUP(C2956,Product!A$2:B$21,1,0)</f>
        <v>PD0002</v>
      </c>
      <c r="E2956" s="36">
        <v>55</v>
      </c>
      <c r="F2956" s="38">
        <v>990000</v>
      </c>
      <c r="G2956" s="39" t="s">
        <v>5330</v>
      </c>
      <c r="H2956" s="12"/>
      <c r="L2956" s="12"/>
    </row>
    <row r="2957" spans="1:12" ht="15.75" customHeight="1" x14ac:dyDescent="0.3">
      <c r="A2957" s="29" t="s">
        <v>376</v>
      </c>
      <c r="B2957" s="50" t="str">
        <f>VLOOKUP(A2957,'Sales Order'!A$2:B$1029,1,0)</f>
        <v>SO0138</v>
      </c>
      <c r="C2957" s="29" t="s">
        <v>40</v>
      </c>
      <c r="D2957" s="50" t="str">
        <f>VLOOKUP(C2957,Product!A$2:B$21,1,0)</f>
        <v>PD0006</v>
      </c>
      <c r="E2957" s="36">
        <v>90</v>
      </c>
      <c r="F2957" s="38">
        <v>17117100</v>
      </c>
      <c r="G2957" s="39" t="s">
        <v>5331</v>
      </c>
      <c r="H2957" s="12"/>
      <c r="L2957" s="12"/>
    </row>
    <row r="2958" spans="1:12" ht="15.75" customHeight="1" x14ac:dyDescent="0.3">
      <c r="A2958" s="29" t="s">
        <v>376</v>
      </c>
      <c r="B2958" s="50" t="str">
        <f>VLOOKUP(A2958,'Sales Order'!A$2:B$1029,1,0)</f>
        <v>SO0138</v>
      </c>
      <c r="C2958" s="29" t="s">
        <v>35</v>
      </c>
      <c r="D2958" s="50" t="str">
        <f>VLOOKUP(C2958,Product!A$2:B$21,1,0)</f>
        <v>PD0005</v>
      </c>
      <c r="E2958" s="36">
        <v>98</v>
      </c>
      <c r="F2958" s="38">
        <v>193599000</v>
      </c>
      <c r="G2958" s="39" t="s">
        <v>5332</v>
      </c>
      <c r="H2958" s="12"/>
      <c r="L2958" s="12"/>
    </row>
    <row r="2959" spans="1:12" ht="15.75" customHeight="1" x14ac:dyDescent="0.3">
      <c r="A2959" s="17" t="s">
        <v>384</v>
      </c>
      <c r="B2959" s="50" t="str">
        <f>VLOOKUP(A2959,'Sales Order'!A$2:B$1029,1,0)</f>
        <v>SO0146</v>
      </c>
      <c r="C2959" s="29" t="s">
        <v>65</v>
      </c>
      <c r="D2959" s="50" t="str">
        <f>VLOOKUP(C2959,Product!A$2:B$21,1,0)</f>
        <v>PD0014</v>
      </c>
      <c r="E2959" s="36">
        <v>33</v>
      </c>
      <c r="F2959" s="38">
        <v>7841790</v>
      </c>
      <c r="G2959" s="39" t="s">
        <v>5333</v>
      </c>
      <c r="H2959" s="12"/>
      <c r="L2959" s="12"/>
    </row>
    <row r="2960" spans="1:12" ht="15.75" customHeight="1" x14ac:dyDescent="0.3">
      <c r="A2960" s="29" t="s">
        <v>384</v>
      </c>
      <c r="B2960" s="50" t="str">
        <f>VLOOKUP(A2960,'Sales Order'!A$2:B$1029,1,0)</f>
        <v>SO0146</v>
      </c>
      <c r="C2960" s="29" t="s">
        <v>61</v>
      </c>
      <c r="D2960" s="50" t="str">
        <f>VLOOKUP(C2960,Product!A$2:B$21,1,0)</f>
        <v>PD0013</v>
      </c>
      <c r="E2960" s="36">
        <v>139</v>
      </c>
      <c r="F2960" s="38">
        <v>63251950</v>
      </c>
      <c r="G2960" s="39" t="s">
        <v>5334</v>
      </c>
      <c r="H2960" s="12"/>
      <c r="L2960" s="12"/>
    </row>
    <row r="2961" spans="1:12" ht="15.75" customHeight="1" x14ac:dyDescent="0.3">
      <c r="A2961" s="29" t="s">
        <v>389</v>
      </c>
      <c r="B2961" s="50" t="str">
        <f>VLOOKUP(A2961,'Sales Order'!A$2:B$1029,1,0)</f>
        <v>SO0151</v>
      </c>
      <c r="C2961" s="29" t="s">
        <v>52</v>
      </c>
      <c r="D2961" s="50" t="str">
        <f>VLOOKUP(C2961,Product!A$2:B$21,1,0)</f>
        <v>PD0010</v>
      </c>
      <c r="E2961" s="36">
        <v>98</v>
      </c>
      <c r="F2961" s="38">
        <v>25798500</v>
      </c>
      <c r="G2961" s="39" t="s">
        <v>5335</v>
      </c>
      <c r="H2961" s="12"/>
      <c r="L2961" s="12"/>
    </row>
    <row r="2962" spans="1:12" ht="15.75" customHeight="1" x14ac:dyDescent="0.3">
      <c r="A2962" s="29" t="s">
        <v>389</v>
      </c>
      <c r="B2962" s="50" t="str">
        <f>VLOOKUP(A2962,'Sales Order'!A$2:B$1029,1,0)</f>
        <v>SO0151</v>
      </c>
      <c r="C2962" s="29" t="s">
        <v>48</v>
      </c>
      <c r="D2962" s="50" t="str">
        <f>VLOOKUP(C2962,Product!A$2:B$21,1,0)</f>
        <v>PD0009</v>
      </c>
      <c r="E2962" s="36">
        <v>35</v>
      </c>
      <c r="F2962" s="38">
        <v>4289250</v>
      </c>
      <c r="G2962" s="39" t="s">
        <v>5336</v>
      </c>
      <c r="H2962" s="12"/>
      <c r="L2962" s="12"/>
    </row>
    <row r="2963" spans="1:12" ht="15.75" customHeight="1" x14ac:dyDescent="0.3">
      <c r="A2963" s="17" t="s">
        <v>396</v>
      </c>
      <c r="B2963" s="50" t="str">
        <f>VLOOKUP(A2963,'Sales Order'!A$2:B$1029,1,0)</f>
        <v>SO0158</v>
      </c>
      <c r="C2963" s="29" t="s">
        <v>52</v>
      </c>
      <c r="D2963" s="50" t="str">
        <f>VLOOKUP(C2963,Product!A$2:B$21,1,0)</f>
        <v>PD0010</v>
      </c>
      <c r="E2963" s="36">
        <v>106</v>
      </c>
      <c r="F2963" s="38">
        <v>30660500</v>
      </c>
      <c r="G2963" s="39" t="s">
        <v>5337</v>
      </c>
      <c r="H2963" s="12"/>
      <c r="L2963" s="12"/>
    </row>
    <row r="2964" spans="1:12" ht="15.75" customHeight="1" x14ac:dyDescent="0.3">
      <c r="A2964" s="29" t="s">
        <v>396</v>
      </c>
      <c r="B2964" s="50" t="str">
        <f>VLOOKUP(A2964,'Sales Order'!A$2:B$1029,1,0)</f>
        <v>SO0158</v>
      </c>
      <c r="C2964" s="29" t="s">
        <v>48</v>
      </c>
      <c r="D2964" s="50" t="str">
        <f>VLOOKUP(C2964,Product!A$2:B$21,1,0)</f>
        <v>PD0009</v>
      </c>
      <c r="E2964" s="36">
        <v>51</v>
      </c>
      <c r="F2964" s="38">
        <v>5592150</v>
      </c>
      <c r="G2964" s="39" t="s">
        <v>5338</v>
      </c>
      <c r="H2964" s="12"/>
      <c r="L2964" s="12"/>
    </row>
    <row r="2965" spans="1:12" ht="15.75" customHeight="1" x14ac:dyDescent="0.3">
      <c r="A2965" s="17" t="s">
        <v>399</v>
      </c>
      <c r="B2965" s="50" t="str">
        <f>VLOOKUP(A2965,'Sales Order'!A$2:B$1029,1,0)</f>
        <v>SO0161</v>
      </c>
      <c r="C2965" s="29" t="s">
        <v>52</v>
      </c>
      <c r="D2965" s="50" t="str">
        <f>VLOOKUP(C2965,Product!A$2:B$21,1,0)</f>
        <v>PD0010</v>
      </c>
      <c r="E2965" s="36">
        <v>126</v>
      </c>
      <c r="F2965" s="38">
        <v>30712500</v>
      </c>
      <c r="G2965" s="39" t="s">
        <v>5339</v>
      </c>
      <c r="H2965" s="12"/>
      <c r="L2965" s="12"/>
    </row>
    <row r="2966" spans="1:12" ht="15.75" customHeight="1" x14ac:dyDescent="0.3">
      <c r="A2966" s="29" t="s">
        <v>399</v>
      </c>
      <c r="B2966" s="50" t="str">
        <f>VLOOKUP(A2966,'Sales Order'!A$2:B$1029,1,0)</f>
        <v>SO0161</v>
      </c>
      <c r="C2966" s="29" t="s">
        <v>75</v>
      </c>
      <c r="D2966" s="50" t="str">
        <f>VLOOKUP(C2966,Product!A$2:B$21,1,0)</f>
        <v>PD0017</v>
      </c>
      <c r="E2966" s="36">
        <v>118</v>
      </c>
      <c r="F2966" s="38">
        <v>268922000</v>
      </c>
      <c r="G2966" s="39" t="s">
        <v>5340</v>
      </c>
      <c r="H2966" s="12"/>
      <c r="L2966" s="12"/>
    </row>
    <row r="2967" spans="1:12" ht="15.75" customHeight="1" x14ac:dyDescent="0.3">
      <c r="A2967" s="29" t="s">
        <v>399</v>
      </c>
      <c r="B2967" s="50" t="str">
        <f>VLOOKUP(A2967,'Sales Order'!A$2:B$1029,1,0)</f>
        <v>SO0161</v>
      </c>
      <c r="C2967" s="29" t="s">
        <v>78</v>
      </c>
      <c r="D2967" s="50" t="str">
        <f>VLOOKUP(C2967,Product!A$2:B$21,1,0)</f>
        <v>PD0018</v>
      </c>
      <c r="E2967" s="36">
        <v>90</v>
      </c>
      <c r="F2967" s="38">
        <v>36867600</v>
      </c>
      <c r="G2967" s="39" t="s">
        <v>5341</v>
      </c>
      <c r="H2967" s="12"/>
      <c r="L2967" s="12"/>
    </row>
    <row r="2968" spans="1:12" ht="15.75" customHeight="1" x14ac:dyDescent="0.3">
      <c r="A2968" s="29" t="s">
        <v>399</v>
      </c>
      <c r="B2968" s="50" t="str">
        <f>VLOOKUP(A2968,'Sales Order'!A$2:B$1029,1,0)</f>
        <v>SO0161</v>
      </c>
      <c r="C2968" s="29" t="s">
        <v>83</v>
      </c>
      <c r="D2968" s="50" t="str">
        <f>VLOOKUP(C2968,Product!A$2:B$21,1,0)</f>
        <v>PD0020</v>
      </c>
      <c r="E2968" s="36">
        <v>59</v>
      </c>
      <c r="F2968" s="38">
        <v>15719370</v>
      </c>
      <c r="G2968" s="39" t="s">
        <v>5342</v>
      </c>
      <c r="H2968" s="12"/>
      <c r="L2968" s="12"/>
    </row>
    <row r="2969" spans="1:12" ht="15.75" customHeight="1" x14ac:dyDescent="0.3">
      <c r="A2969" s="29" t="s">
        <v>399</v>
      </c>
      <c r="B2969" s="50" t="str">
        <f>VLOOKUP(A2969,'Sales Order'!A$2:B$1029,1,0)</f>
        <v>SO0161</v>
      </c>
      <c r="C2969" s="29" t="s">
        <v>48</v>
      </c>
      <c r="D2969" s="50" t="str">
        <f>VLOOKUP(C2969,Product!A$2:B$21,1,0)</f>
        <v>PD0009</v>
      </c>
      <c r="E2969" s="36">
        <v>71</v>
      </c>
      <c r="F2969" s="38">
        <v>7510380.0000000009</v>
      </c>
      <c r="G2969" s="39" t="s">
        <v>5343</v>
      </c>
      <c r="H2969" s="12"/>
      <c r="L2969" s="12"/>
    </row>
    <row r="2970" spans="1:12" ht="15.75" customHeight="1" x14ac:dyDescent="0.3">
      <c r="A2970" s="29" t="s">
        <v>399</v>
      </c>
      <c r="B2970" s="50" t="str">
        <f>VLOOKUP(A2970,'Sales Order'!A$2:B$1029,1,0)</f>
        <v>SO0161</v>
      </c>
      <c r="C2970" s="29" t="s">
        <v>81</v>
      </c>
      <c r="D2970" s="50" t="str">
        <f>VLOOKUP(C2970,Product!A$2:B$21,1,0)</f>
        <v>PD0019</v>
      </c>
      <c r="E2970" s="36">
        <v>93</v>
      </c>
      <c r="F2970" s="38">
        <v>196757310</v>
      </c>
      <c r="G2970" s="39" t="s">
        <v>5344</v>
      </c>
      <c r="H2970" s="12"/>
      <c r="L2970" s="12"/>
    </row>
    <row r="2971" spans="1:12" ht="15.75" customHeight="1" x14ac:dyDescent="0.3">
      <c r="A2971" s="17" t="s">
        <v>400</v>
      </c>
      <c r="B2971" s="50" t="str">
        <f>VLOOKUP(A2971,'Sales Order'!A$2:B$1029,1,0)</f>
        <v>SO0162</v>
      </c>
      <c r="C2971" s="29" t="s">
        <v>40</v>
      </c>
      <c r="D2971" s="50" t="str">
        <f>VLOOKUP(C2971,Product!A$2:B$21,1,0)</f>
        <v>PD0006</v>
      </c>
      <c r="E2971" s="36">
        <v>59</v>
      </c>
      <c r="F2971" s="38">
        <v>10358040</v>
      </c>
      <c r="G2971" s="39" t="s">
        <v>5345</v>
      </c>
      <c r="H2971" s="12"/>
      <c r="L2971" s="12"/>
    </row>
    <row r="2972" spans="1:12" ht="15.75" customHeight="1" x14ac:dyDescent="0.3">
      <c r="A2972" s="29" t="s">
        <v>400</v>
      </c>
      <c r="B2972" s="50" t="str">
        <f>VLOOKUP(A2972,'Sales Order'!A$2:B$1029,1,0)</f>
        <v>SO0162</v>
      </c>
      <c r="C2972" s="29" t="s">
        <v>35</v>
      </c>
      <c r="D2972" s="50" t="str">
        <f>VLOOKUP(C2972,Product!A$2:B$21,1,0)</f>
        <v>PD0005</v>
      </c>
      <c r="E2972" s="36">
        <v>136</v>
      </c>
      <c r="F2972" s="38">
        <v>259712400</v>
      </c>
      <c r="G2972" s="39" t="s">
        <v>5346</v>
      </c>
      <c r="H2972" s="12"/>
      <c r="L2972" s="12"/>
    </row>
    <row r="2973" spans="1:12" ht="15.75" customHeight="1" x14ac:dyDescent="0.3">
      <c r="A2973" s="29" t="s">
        <v>401</v>
      </c>
      <c r="B2973" s="50" t="str">
        <f>VLOOKUP(A2973,'Sales Order'!A$2:B$1029,1,0)</f>
        <v>SO0163</v>
      </c>
      <c r="C2973" s="29" t="s">
        <v>19</v>
      </c>
      <c r="D2973" s="50" t="str">
        <f>VLOOKUP(C2973,Product!A$2:B$21,1,0)</f>
        <v>PD0001</v>
      </c>
      <c r="E2973" s="36">
        <v>121</v>
      </c>
      <c r="F2973" s="38">
        <v>25007070</v>
      </c>
      <c r="G2973" s="39" t="s">
        <v>5347</v>
      </c>
      <c r="H2973" s="12"/>
      <c r="L2973" s="12"/>
    </row>
    <row r="2974" spans="1:12" ht="15.75" customHeight="1" x14ac:dyDescent="0.3">
      <c r="A2974" s="29" t="s">
        <v>401</v>
      </c>
      <c r="B2974" s="50" t="str">
        <f>VLOOKUP(A2974,'Sales Order'!A$2:B$1029,1,0)</f>
        <v>SO0163</v>
      </c>
      <c r="C2974" s="29" t="s">
        <v>25</v>
      </c>
      <c r="D2974" s="50" t="str">
        <f>VLOOKUP(C2974,Product!A$2:B$21,1,0)</f>
        <v>PD0002</v>
      </c>
      <c r="E2974" s="36">
        <v>110</v>
      </c>
      <c r="F2974" s="38">
        <v>1892000</v>
      </c>
      <c r="G2974" s="39" t="s">
        <v>5348</v>
      </c>
      <c r="H2974" s="12"/>
      <c r="L2974" s="12"/>
    </row>
    <row r="2975" spans="1:12" ht="15.75" customHeight="1" x14ac:dyDescent="0.3">
      <c r="A2975" s="29" t="s">
        <v>405</v>
      </c>
      <c r="B2975" s="50" t="str">
        <f>VLOOKUP(A2975,'Sales Order'!A$2:B$1029,1,0)</f>
        <v>SO0167</v>
      </c>
      <c r="C2975" s="29" t="s">
        <v>33</v>
      </c>
      <c r="D2975" s="50" t="str">
        <f>VLOOKUP(C2975,Product!A$2:B$21,1,0)</f>
        <v>PD0004</v>
      </c>
      <c r="E2975" s="36">
        <v>42</v>
      </c>
      <c r="F2975" s="38">
        <v>8223600</v>
      </c>
      <c r="G2975" s="39" t="s">
        <v>5349</v>
      </c>
      <c r="H2975" s="12"/>
      <c r="L2975" s="12"/>
    </row>
    <row r="2976" spans="1:12" ht="15.75" customHeight="1" x14ac:dyDescent="0.3">
      <c r="A2976" s="29" t="s">
        <v>405</v>
      </c>
      <c r="B2976" s="50" t="str">
        <f>VLOOKUP(A2976,'Sales Order'!A$2:B$1029,1,0)</f>
        <v>SO0167</v>
      </c>
      <c r="C2976" s="29" t="s">
        <v>28</v>
      </c>
      <c r="D2976" s="50" t="str">
        <f>VLOOKUP(C2976,Product!A$2:B$21,1,0)</f>
        <v>PD0003</v>
      </c>
      <c r="E2976" s="36">
        <v>74</v>
      </c>
      <c r="F2976" s="38">
        <v>55115200</v>
      </c>
      <c r="G2976" s="39" t="s">
        <v>5350</v>
      </c>
      <c r="H2976" s="12"/>
      <c r="L2976" s="12"/>
    </row>
    <row r="2977" spans="1:12" ht="15.75" customHeight="1" x14ac:dyDescent="0.3">
      <c r="A2977" s="29" t="s">
        <v>409</v>
      </c>
      <c r="B2977" s="50" t="str">
        <f>VLOOKUP(A2977,'Sales Order'!A$2:B$1029,1,0)</f>
        <v>SO0171</v>
      </c>
      <c r="C2977" s="29" t="s">
        <v>48</v>
      </c>
      <c r="D2977" s="50" t="str">
        <f>VLOOKUP(C2977,Product!A$2:B$21,1,0)</f>
        <v>PD0009</v>
      </c>
      <c r="E2977" s="36">
        <v>55</v>
      </c>
      <c r="F2977" s="38">
        <v>6598350</v>
      </c>
      <c r="G2977" s="39" t="s">
        <v>5351</v>
      </c>
      <c r="H2977" s="12"/>
      <c r="L2977" s="12"/>
    </row>
    <row r="2978" spans="1:12" ht="15.75" customHeight="1" x14ac:dyDescent="0.3">
      <c r="A2978" s="29" t="s">
        <v>409</v>
      </c>
      <c r="B2978" s="50" t="str">
        <f>VLOOKUP(A2978,'Sales Order'!A$2:B$1029,1,0)</f>
        <v>SO0171</v>
      </c>
      <c r="C2978" s="29" t="s">
        <v>45</v>
      </c>
      <c r="D2978" s="50" t="str">
        <f>VLOOKUP(C2978,Product!A$2:B$21,1,0)</f>
        <v>PD0008</v>
      </c>
      <c r="E2978" s="36">
        <v>56</v>
      </c>
      <c r="F2978" s="38">
        <v>7843360</v>
      </c>
      <c r="G2978" s="39" t="s">
        <v>5352</v>
      </c>
      <c r="H2978" s="12"/>
      <c r="L2978" s="12"/>
    </row>
    <row r="2979" spans="1:12" ht="15.75" customHeight="1" x14ac:dyDescent="0.3">
      <c r="A2979" s="29" t="s">
        <v>412</v>
      </c>
      <c r="B2979" s="50" t="str">
        <f>VLOOKUP(A2979,'Sales Order'!A$2:B$1029,1,0)</f>
        <v>SO0174</v>
      </c>
      <c r="C2979" s="29" t="s">
        <v>25</v>
      </c>
      <c r="D2979" s="50" t="str">
        <f>VLOOKUP(C2979,Product!A$2:B$21,1,0)</f>
        <v>PD0002</v>
      </c>
      <c r="E2979" s="36">
        <v>80</v>
      </c>
      <c r="F2979" s="38">
        <v>1232000</v>
      </c>
      <c r="G2979" s="39" t="s">
        <v>5353</v>
      </c>
      <c r="H2979" s="12"/>
      <c r="L2979" s="12"/>
    </row>
    <row r="2980" spans="1:12" ht="15.75" customHeight="1" x14ac:dyDescent="0.3">
      <c r="A2980" s="29" t="s">
        <v>412</v>
      </c>
      <c r="B2980" s="50" t="str">
        <f>VLOOKUP(A2980,'Sales Order'!A$2:B$1029,1,0)</f>
        <v>SO0174</v>
      </c>
      <c r="C2980" s="29" t="s">
        <v>45</v>
      </c>
      <c r="D2980" s="50" t="str">
        <f>VLOOKUP(C2980,Product!A$2:B$21,1,0)</f>
        <v>PD0008</v>
      </c>
      <c r="E2980" s="36">
        <v>95</v>
      </c>
      <c r="F2980" s="38">
        <v>11748650</v>
      </c>
      <c r="G2980" s="39" t="s">
        <v>5354</v>
      </c>
      <c r="H2980" s="12"/>
      <c r="L2980" s="12"/>
    </row>
    <row r="2981" spans="1:12" ht="15.75" customHeight="1" x14ac:dyDescent="0.3">
      <c r="A2981" s="29" t="s">
        <v>418</v>
      </c>
      <c r="B2981" s="50" t="str">
        <f>VLOOKUP(A2981,'Sales Order'!A$2:B$1029,1,0)</f>
        <v>SO0180</v>
      </c>
      <c r="C2981" s="29" t="s">
        <v>83</v>
      </c>
      <c r="D2981" s="50" t="str">
        <f>VLOOKUP(C2981,Product!A$2:B$21,1,0)</f>
        <v>PD0020</v>
      </c>
      <c r="E2981" s="36">
        <v>126</v>
      </c>
      <c r="F2981" s="38">
        <v>36805860</v>
      </c>
      <c r="G2981" s="39" t="s">
        <v>5355</v>
      </c>
      <c r="H2981" s="12"/>
      <c r="L2981" s="12"/>
    </row>
    <row r="2982" spans="1:12" ht="15.75" customHeight="1" x14ac:dyDescent="0.3">
      <c r="A2982" s="29" t="s">
        <v>418</v>
      </c>
      <c r="B2982" s="50" t="str">
        <f>VLOOKUP(A2982,'Sales Order'!A$2:B$1029,1,0)</f>
        <v>SO0180</v>
      </c>
      <c r="C2982" s="29" t="s">
        <v>78</v>
      </c>
      <c r="D2982" s="50" t="str">
        <f>VLOOKUP(C2982,Product!A$2:B$21,1,0)</f>
        <v>PD0018</v>
      </c>
      <c r="E2982" s="36">
        <v>135</v>
      </c>
      <c r="F2982" s="38">
        <v>59610600</v>
      </c>
      <c r="G2982" s="39" t="s">
        <v>5356</v>
      </c>
      <c r="H2982" s="12"/>
      <c r="L2982" s="12"/>
    </row>
    <row r="2983" spans="1:12" ht="15.75" customHeight="1" x14ac:dyDescent="0.3">
      <c r="A2983" s="29" t="s">
        <v>421</v>
      </c>
      <c r="B2983" s="50" t="str">
        <f>VLOOKUP(A2983,'Sales Order'!A$2:B$1029,1,0)</f>
        <v>SO0183</v>
      </c>
      <c r="C2983" s="29" t="s">
        <v>69</v>
      </c>
      <c r="D2983" s="50" t="str">
        <f>VLOOKUP(C2983,Product!A$2:B$21,1,0)</f>
        <v>PD0015</v>
      </c>
      <c r="E2983" s="36">
        <v>89</v>
      </c>
      <c r="F2983" s="38">
        <v>9917982</v>
      </c>
      <c r="G2983" s="39" t="s">
        <v>5357</v>
      </c>
      <c r="H2983" s="12"/>
      <c r="L2983" s="12"/>
    </row>
    <row r="2984" spans="1:12" ht="15.75" customHeight="1" x14ac:dyDescent="0.3">
      <c r="A2984" s="29" t="s">
        <v>421</v>
      </c>
      <c r="B2984" s="50" t="str">
        <f>VLOOKUP(A2984,'Sales Order'!A$2:B$1029,1,0)</f>
        <v>SO0183</v>
      </c>
      <c r="C2984" s="29" t="s">
        <v>83</v>
      </c>
      <c r="D2984" s="50" t="str">
        <f>VLOOKUP(C2984,Product!A$2:B$21,1,0)</f>
        <v>PD0020</v>
      </c>
      <c r="E2984" s="36">
        <v>92</v>
      </c>
      <c r="F2984" s="38">
        <v>25692840</v>
      </c>
      <c r="G2984" s="39" t="s">
        <v>5358</v>
      </c>
      <c r="H2984" s="12"/>
      <c r="L2984" s="12"/>
    </row>
    <row r="2985" spans="1:12" ht="15.75" customHeight="1" x14ac:dyDescent="0.3">
      <c r="A2985" s="17" t="s">
        <v>422</v>
      </c>
      <c r="B2985" s="50" t="str">
        <f>VLOOKUP(A2985,'Sales Order'!A$2:B$1029,1,0)</f>
        <v>SO0184</v>
      </c>
      <c r="C2985" s="29" t="s">
        <v>61</v>
      </c>
      <c r="D2985" s="50" t="str">
        <f>VLOOKUP(C2985,Product!A$2:B$21,1,0)</f>
        <v>PD0013</v>
      </c>
      <c r="E2985" s="36">
        <v>135</v>
      </c>
      <c r="F2985" s="38">
        <v>60138449.999999993</v>
      </c>
      <c r="G2985" s="39" t="s">
        <v>5359</v>
      </c>
      <c r="H2985" s="12"/>
      <c r="L2985" s="12"/>
    </row>
    <row r="2986" spans="1:12" ht="15.75" customHeight="1" x14ac:dyDescent="0.3">
      <c r="A2986" s="29" t="s">
        <v>422</v>
      </c>
      <c r="B2986" s="50" t="str">
        <f>VLOOKUP(A2986,'Sales Order'!A$2:B$1029,1,0)</f>
        <v>SO0184</v>
      </c>
      <c r="C2986" s="29" t="s">
        <v>65</v>
      </c>
      <c r="D2986" s="50" t="str">
        <f>VLOOKUP(C2986,Product!A$2:B$21,1,0)</f>
        <v>PD0014</v>
      </c>
      <c r="E2986" s="36">
        <v>97</v>
      </c>
      <c r="F2986" s="38">
        <v>20719200</v>
      </c>
      <c r="G2986" s="39" t="s">
        <v>5360</v>
      </c>
      <c r="H2986" s="12"/>
      <c r="L2986" s="12"/>
    </row>
    <row r="2987" spans="1:12" ht="15.75" customHeight="1" x14ac:dyDescent="0.3">
      <c r="A2987" s="17" t="s">
        <v>426</v>
      </c>
      <c r="B2987" s="50" t="str">
        <f>VLOOKUP(A2987,'Sales Order'!A$2:B$1029,1,0)</f>
        <v>SO0188</v>
      </c>
      <c r="C2987" s="29" t="s">
        <v>75</v>
      </c>
      <c r="D2987" s="50" t="str">
        <f>VLOOKUP(C2987,Product!A$2:B$21,1,0)</f>
        <v>PD0017</v>
      </c>
      <c r="E2987" s="36">
        <v>150</v>
      </c>
      <c r="F2987" s="38">
        <v>345825000</v>
      </c>
      <c r="G2987" s="39" t="s">
        <v>5361</v>
      </c>
      <c r="H2987" s="12"/>
      <c r="L2987" s="12"/>
    </row>
    <row r="2988" spans="1:12" ht="15.75" customHeight="1" x14ac:dyDescent="0.3">
      <c r="A2988" s="29" t="s">
        <v>426</v>
      </c>
      <c r="B2988" s="50" t="str">
        <f>VLOOKUP(A2988,'Sales Order'!A$2:B$1029,1,0)</f>
        <v>SO0188</v>
      </c>
      <c r="C2988" s="29" t="s">
        <v>81</v>
      </c>
      <c r="D2988" s="50" t="str">
        <f>VLOOKUP(C2988,Product!A$2:B$21,1,0)</f>
        <v>PD0019</v>
      </c>
      <c r="E2988" s="36">
        <v>150</v>
      </c>
      <c r="F2988" s="38">
        <v>328821000</v>
      </c>
      <c r="G2988" s="39" t="s">
        <v>5362</v>
      </c>
      <c r="H2988" s="12"/>
      <c r="L2988" s="12"/>
    </row>
    <row r="2989" spans="1:12" ht="15.75" customHeight="1" x14ac:dyDescent="0.3">
      <c r="A2989" s="17" t="s">
        <v>436</v>
      </c>
      <c r="B2989" s="50" t="str">
        <f>VLOOKUP(A2989,'Sales Order'!A$2:B$1029,1,0)</f>
        <v>SO0198</v>
      </c>
      <c r="C2989" s="29" t="s">
        <v>45</v>
      </c>
      <c r="D2989" s="50" t="str">
        <f>VLOOKUP(C2989,Product!A$2:B$21,1,0)</f>
        <v>PD0008</v>
      </c>
      <c r="E2989" s="36">
        <v>102</v>
      </c>
      <c r="F2989" s="38">
        <v>12918300</v>
      </c>
      <c r="G2989" s="39" t="s">
        <v>5363</v>
      </c>
      <c r="H2989" s="12"/>
      <c r="L2989" s="12"/>
    </row>
    <row r="2990" spans="1:12" ht="15.75" customHeight="1" x14ac:dyDescent="0.3">
      <c r="A2990" s="29" t="s">
        <v>436</v>
      </c>
      <c r="B2990" s="50" t="str">
        <f>VLOOKUP(A2990,'Sales Order'!A$2:B$1029,1,0)</f>
        <v>SO0198</v>
      </c>
      <c r="C2990" s="29" t="s">
        <v>52</v>
      </c>
      <c r="D2990" s="50" t="str">
        <f>VLOOKUP(C2990,Product!A$2:B$21,1,0)</f>
        <v>PD0010</v>
      </c>
      <c r="E2990" s="36">
        <v>118</v>
      </c>
      <c r="F2990" s="38">
        <v>33748000</v>
      </c>
      <c r="G2990" s="39" t="s">
        <v>5364</v>
      </c>
      <c r="H2990" s="12"/>
      <c r="L2990" s="12"/>
    </row>
    <row r="2991" spans="1:12" ht="15.75" customHeight="1" x14ac:dyDescent="0.3">
      <c r="A2991" s="17" t="s">
        <v>445</v>
      </c>
      <c r="B2991" s="50" t="str">
        <f>VLOOKUP(A2991,'Sales Order'!A$2:B$1029,1,0)</f>
        <v>SO0207</v>
      </c>
      <c r="C2991" s="29" t="s">
        <v>48</v>
      </c>
      <c r="D2991" s="50" t="str">
        <f>VLOOKUP(C2991,Product!A$2:B$21,1,0)</f>
        <v>PD0009</v>
      </c>
      <c r="E2991" s="36">
        <v>42</v>
      </c>
      <c r="F2991" s="38">
        <v>4822020</v>
      </c>
      <c r="G2991" s="39" t="s">
        <v>5365</v>
      </c>
      <c r="H2991" s="12"/>
      <c r="L2991" s="12"/>
    </row>
    <row r="2992" spans="1:12" ht="15.75" customHeight="1" x14ac:dyDescent="0.3">
      <c r="A2992" s="29" t="s">
        <v>445</v>
      </c>
      <c r="B2992" s="50" t="str">
        <f>VLOOKUP(A2992,'Sales Order'!A$2:B$1029,1,0)</f>
        <v>SO0207</v>
      </c>
      <c r="C2992" s="29" t="s">
        <v>33</v>
      </c>
      <c r="D2992" s="50" t="str">
        <f>VLOOKUP(C2992,Product!A$2:B$21,1,0)</f>
        <v>PD0004</v>
      </c>
      <c r="E2992" s="36">
        <v>45</v>
      </c>
      <c r="F2992" s="38">
        <v>9207000</v>
      </c>
      <c r="G2992" s="39" t="s">
        <v>5366</v>
      </c>
      <c r="H2992" s="12"/>
      <c r="L2992" s="12"/>
    </row>
    <row r="2993" spans="1:12" ht="15.75" customHeight="1" x14ac:dyDescent="0.3">
      <c r="A2993" s="29" t="s">
        <v>445</v>
      </c>
      <c r="B2993" s="50" t="str">
        <f>VLOOKUP(A2993,'Sales Order'!A$2:B$1029,1,0)</f>
        <v>SO0207</v>
      </c>
      <c r="C2993" s="29" t="s">
        <v>52</v>
      </c>
      <c r="D2993" s="50" t="str">
        <f>VLOOKUP(C2993,Product!A$2:B$21,1,0)</f>
        <v>PD0010</v>
      </c>
      <c r="E2993" s="36">
        <v>26</v>
      </c>
      <c r="F2993" s="38">
        <v>7605000</v>
      </c>
      <c r="G2993" s="39" t="s">
        <v>5367</v>
      </c>
      <c r="H2993" s="12"/>
      <c r="L2993" s="12"/>
    </row>
    <row r="2994" spans="1:12" ht="15.75" customHeight="1" x14ac:dyDescent="0.3">
      <c r="A2994" s="29" t="s">
        <v>445</v>
      </c>
      <c r="B2994" s="50" t="str">
        <f>VLOOKUP(A2994,'Sales Order'!A$2:B$1029,1,0)</f>
        <v>SO0207</v>
      </c>
      <c r="C2994" s="29" t="s">
        <v>28</v>
      </c>
      <c r="D2994" s="50" t="str">
        <f>VLOOKUP(C2994,Product!A$2:B$21,1,0)</f>
        <v>PD0003</v>
      </c>
      <c r="E2994" s="36">
        <v>146</v>
      </c>
      <c r="F2994" s="38">
        <v>106022280</v>
      </c>
      <c r="G2994" s="39" t="s">
        <v>5368</v>
      </c>
      <c r="H2994" s="12"/>
      <c r="L2994" s="12"/>
    </row>
    <row r="2995" spans="1:12" ht="15.75" customHeight="1" x14ac:dyDescent="0.3">
      <c r="A2995" s="17" t="s">
        <v>446</v>
      </c>
      <c r="B2995" s="50" t="str">
        <f>VLOOKUP(A2995,'Sales Order'!A$2:B$1029,1,0)</f>
        <v>SO0208</v>
      </c>
      <c r="C2995" s="29" t="s">
        <v>25</v>
      </c>
      <c r="D2995" s="50" t="str">
        <f>VLOOKUP(C2995,Product!A$2:B$21,1,0)</f>
        <v>PD0002</v>
      </c>
      <c r="E2995" s="36">
        <v>96</v>
      </c>
      <c r="F2995" s="38">
        <v>1651200</v>
      </c>
      <c r="G2995" s="39" t="s">
        <v>5369</v>
      </c>
      <c r="H2995" s="12"/>
      <c r="L2995" s="12"/>
    </row>
    <row r="2996" spans="1:12" ht="15.75" customHeight="1" x14ac:dyDescent="0.3">
      <c r="A2996" s="29" t="s">
        <v>446</v>
      </c>
      <c r="B2996" s="50" t="str">
        <f>VLOOKUP(A2996,'Sales Order'!A$2:B$1029,1,0)</f>
        <v>SO0208</v>
      </c>
      <c r="C2996" s="29" t="s">
        <v>45</v>
      </c>
      <c r="D2996" s="50" t="str">
        <f>VLOOKUP(C2996,Product!A$2:B$21,1,0)</f>
        <v>PD0008</v>
      </c>
      <c r="E2996" s="36">
        <v>101</v>
      </c>
      <c r="F2996" s="38">
        <v>12791650</v>
      </c>
      <c r="G2996" s="39" t="s">
        <v>5370</v>
      </c>
      <c r="H2996" s="12"/>
      <c r="L2996" s="12"/>
    </row>
    <row r="2997" spans="1:12" ht="15.75" customHeight="1" x14ac:dyDescent="0.3">
      <c r="A2997" s="29" t="s">
        <v>448</v>
      </c>
      <c r="B2997" s="50" t="str">
        <f>VLOOKUP(A2997,'Sales Order'!A$2:B$1029,1,0)</f>
        <v>SO0210</v>
      </c>
      <c r="C2997" s="29" t="s">
        <v>83</v>
      </c>
      <c r="D2997" s="50" t="str">
        <f>VLOOKUP(C2997,Product!A$2:B$21,1,0)</f>
        <v>PD0020</v>
      </c>
      <c r="E2997" s="36">
        <v>44</v>
      </c>
      <c r="F2997" s="38">
        <v>12852840</v>
      </c>
      <c r="G2997" s="39" t="s">
        <v>5371</v>
      </c>
      <c r="H2997" s="12"/>
      <c r="L2997" s="12"/>
    </row>
    <row r="2998" spans="1:12" ht="15.75" customHeight="1" x14ac:dyDescent="0.3">
      <c r="A2998" s="29" t="s">
        <v>448</v>
      </c>
      <c r="B2998" s="50" t="str">
        <f>VLOOKUP(A2998,'Sales Order'!A$2:B$1029,1,0)</f>
        <v>SO0210</v>
      </c>
      <c r="C2998" s="29" t="s">
        <v>33</v>
      </c>
      <c r="D2998" s="50" t="str">
        <f>VLOOKUP(C2998,Product!A$2:B$21,1,0)</f>
        <v>PD0004</v>
      </c>
      <c r="E2998" s="36">
        <v>33</v>
      </c>
      <c r="F2998" s="38">
        <v>6824400</v>
      </c>
      <c r="G2998" s="39" t="s">
        <v>5372</v>
      </c>
      <c r="H2998" s="12"/>
      <c r="L2998" s="12"/>
    </row>
    <row r="2999" spans="1:12" ht="15.75" customHeight="1" x14ac:dyDescent="0.3">
      <c r="A2999" s="29" t="s">
        <v>448</v>
      </c>
      <c r="B2999" s="50" t="str">
        <f>VLOOKUP(A2999,'Sales Order'!A$2:B$1029,1,0)</f>
        <v>SO0210</v>
      </c>
      <c r="C2999" s="29" t="s">
        <v>28</v>
      </c>
      <c r="D2999" s="50" t="str">
        <f>VLOOKUP(C2999,Product!A$2:B$21,1,0)</f>
        <v>PD0003</v>
      </c>
      <c r="E2999" s="36">
        <v>117</v>
      </c>
      <c r="F2999" s="38">
        <v>90409410</v>
      </c>
      <c r="G2999" s="39" t="s">
        <v>5373</v>
      </c>
      <c r="H2999" s="12"/>
      <c r="L2999" s="12"/>
    </row>
    <row r="3000" spans="1:12" ht="15.75" customHeight="1" x14ac:dyDescent="0.3">
      <c r="A3000" s="17" t="s">
        <v>449</v>
      </c>
      <c r="B3000" s="50" t="str">
        <f>VLOOKUP(A3000,'Sales Order'!A$2:B$1029,1,0)</f>
        <v>SO0211</v>
      </c>
      <c r="C3000" s="29" t="s">
        <v>83</v>
      </c>
      <c r="D3000" s="50" t="str">
        <f>VLOOKUP(C3000,Product!A$2:B$21,1,0)</f>
        <v>PD0020</v>
      </c>
      <c r="E3000" s="36">
        <v>35</v>
      </c>
      <c r="F3000" s="38">
        <v>8538600</v>
      </c>
      <c r="G3000" s="39" t="s">
        <v>5374</v>
      </c>
      <c r="H3000" s="12"/>
      <c r="L3000" s="12"/>
    </row>
    <row r="3001" spans="1:12" ht="15.75" customHeight="1" x14ac:dyDescent="0.3">
      <c r="A3001" s="29" t="s">
        <v>449</v>
      </c>
      <c r="B3001" s="50" t="str">
        <f>VLOOKUP(A3001,'Sales Order'!A$2:B$1029,1,0)</f>
        <v>SO0211</v>
      </c>
      <c r="C3001" s="29" t="s">
        <v>78</v>
      </c>
      <c r="D3001" s="50" t="str">
        <f>VLOOKUP(C3001,Product!A$2:B$21,1,0)</f>
        <v>PD0018</v>
      </c>
      <c r="E3001" s="36">
        <v>130</v>
      </c>
      <c r="F3001" s="38">
        <v>53944800</v>
      </c>
      <c r="G3001" s="39" t="s">
        <v>5375</v>
      </c>
      <c r="H3001" s="12"/>
      <c r="L3001" s="12"/>
    </row>
    <row r="3002" spans="1:12" ht="15.75" customHeight="1" x14ac:dyDescent="0.3">
      <c r="A3002" s="17" t="s">
        <v>450</v>
      </c>
      <c r="B3002" s="50" t="str">
        <f>VLOOKUP(A3002,'Sales Order'!A$2:B$1029,1,0)</f>
        <v>SO0212</v>
      </c>
      <c r="C3002" s="29" t="s">
        <v>28</v>
      </c>
      <c r="D3002" s="50" t="str">
        <f>VLOOKUP(C3002,Product!A$2:B$21,1,0)</f>
        <v>PD0003</v>
      </c>
      <c r="E3002" s="36">
        <v>114</v>
      </c>
      <c r="F3002" s="38">
        <v>85968540</v>
      </c>
      <c r="G3002" s="39" t="s">
        <v>5376</v>
      </c>
      <c r="H3002" s="12"/>
      <c r="L3002" s="12"/>
    </row>
    <row r="3003" spans="1:12" ht="15.75" customHeight="1" x14ac:dyDescent="0.3">
      <c r="A3003" s="29" t="s">
        <v>450</v>
      </c>
      <c r="B3003" s="50" t="str">
        <f>VLOOKUP(A3003,'Sales Order'!A$2:B$1029,1,0)</f>
        <v>SO0212</v>
      </c>
      <c r="C3003" s="29" t="s">
        <v>33</v>
      </c>
      <c r="D3003" s="50" t="str">
        <f>VLOOKUP(C3003,Product!A$2:B$21,1,0)</f>
        <v>PD0004</v>
      </c>
      <c r="E3003" s="36">
        <v>47</v>
      </c>
      <c r="F3003" s="38">
        <v>8272000</v>
      </c>
      <c r="G3003" s="39" t="s">
        <v>5377</v>
      </c>
      <c r="H3003" s="12"/>
      <c r="L3003" s="12"/>
    </row>
    <row r="3004" spans="1:12" ht="15.75" customHeight="1" x14ac:dyDescent="0.3">
      <c r="A3004" s="17" t="s">
        <v>462</v>
      </c>
      <c r="B3004" s="50" t="str">
        <f>VLOOKUP(A3004,'Sales Order'!A$2:B$1029,1,0)</f>
        <v>SO0224</v>
      </c>
      <c r="C3004" s="29" t="s">
        <v>58</v>
      </c>
      <c r="D3004" s="50" t="str">
        <f>VLOOKUP(C3004,Product!A$2:B$21,1,0)</f>
        <v>PD0012</v>
      </c>
      <c r="E3004" s="36">
        <v>138</v>
      </c>
      <c r="F3004" s="38">
        <v>669236520</v>
      </c>
      <c r="G3004" s="39" t="s">
        <v>5378</v>
      </c>
      <c r="H3004" s="12"/>
      <c r="L3004" s="12"/>
    </row>
    <row r="3005" spans="1:12" ht="15.75" customHeight="1" x14ac:dyDescent="0.3">
      <c r="A3005" s="29" t="s">
        <v>462</v>
      </c>
      <c r="B3005" s="50" t="str">
        <f>VLOOKUP(A3005,'Sales Order'!A$2:B$1029,1,0)</f>
        <v>SO0224</v>
      </c>
      <c r="C3005" s="29" t="s">
        <v>55</v>
      </c>
      <c r="D3005" s="50" t="str">
        <f>VLOOKUP(C3005,Product!A$2:B$21,1,0)</f>
        <v>PD0011</v>
      </c>
      <c r="E3005" s="36">
        <v>125</v>
      </c>
      <c r="F3005" s="38">
        <v>265387500</v>
      </c>
      <c r="G3005" s="39" t="s">
        <v>5379</v>
      </c>
      <c r="H3005" s="12"/>
      <c r="L3005" s="12"/>
    </row>
    <row r="3006" spans="1:12" ht="15.75" customHeight="1" x14ac:dyDescent="0.3">
      <c r="A3006" s="17" t="s">
        <v>468</v>
      </c>
      <c r="B3006" s="50" t="str">
        <f>VLOOKUP(A3006,'Sales Order'!A$2:B$1029,1,0)</f>
        <v>SO0230</v>
      </c>
      <c r="C3006" s="29" t="s">
        <v>19</v>
      </c>
      <c r="D3006" s="50" t="str">
        <f>VLOOKUP(C3006,Product!A$2:B$21,1,0)</f>
        <v>PD0001</v>
      </c>
      <c r="E3006" s="36">
        <v>85</v>
      </c>
      <c r="F3006" s="38">
        <v>16932000</v>
      </c>
      <c r="G3006" s="39" t="s">
        <v>5380</v>
      </c>
      <c r="H3006" s="12"/>
      <c r="L3006" s="12"/>
    </row>
    <row r="3007" spans="1:12" ht="15.75" customHeight="1" x14ac:dyDescent="0.3">
      <c r="A3007" s="29" t="s">
        <v>468</v>
      </c>
      <c r="B3007" s="50" t="str">
        <f>VLOOKUP(A3007,'Sales Order'!A$2:B$1029,1,0)</f>
        <v>SO0230</v>
      </c>
      <c r="C3007" s="29" t="s">
        <v>25</v>
      </c>
      <c r="D3007" s="50" t="str">
        <f>VLOOKUP(C3007,Product!A$2:B$21,1,0)</f>
        <v>PD0002</v>
      </c>
      <c r="E3007" s="36">
        <v>48</v>
      </c>
      <c r="F3007" s="38">
        <v>806400</v>
      </c>
      <c r="G3007" s="39" t="s">
        <v>5381</v>
      </c>
      <c r="H3007" s="12"/>
      <c r="L3007" s="12"/>
    </row>
    <row r="3008" spans="1:12" ht="15.75" customHeight="1" x14ac:dyDescent="0.3">
      <c r="A3008" s="29" t="s">
        <v>471</v>
      </c>
      <c r="B3008" s="50" t="str">
        <f>VLOOKUP(A3008,'Sales Order'!A$2:B$1029,1,0)</f>
        <v>SO0233</v>
      </c>
      <c r="C3008" s="29" t="s">
        <v>33</v>
      </c>
      <c r="D3008" s="50" t="str">
        <f>VLOOKUP(C3008,Product!A$2:B$21,1,0)</f>
        <v>PD0004</v>
      </c>
      <c r="E3008" s="36">
        <v>42</v>
      </c>
      <c r="F3008" s="38">
        <v>8408400</v>
      </c>
      <c r="G3008" s="39" t="s">
        <v>5382</v>
      </c>
      <c r="H3008" s="12"/>
      <c r="L3008" s="12"/>
    </row>
    <row r="3009" spans="1:12" ht="15.75" customHeight="1" x14ac:dyDescent="0.3">
      <c r="A3009" s="29" t="s">
        <v>471</v>
      </c>
      <c r="B3009" s="50" t="str">
        <f>VLOOKUP(A3009,'Sales Order'!A$2:B$1029,1,0)</f>
        <v>SO0233</v>
      </c>
      <c r="C3009" s="29" t="s">
        <v>28</v>
      </c>
      <c r="D3009" s="50" t="str">
        <f>VLOOKUP(C3009,Product!A$2:B$21,1,0)</f>
        <v>PD0003</v>
      </c>
      <c r="E3009" s="36">
        <v>83</v>
      </c>
      <c r="F3009" s="38">
        <v>71091160</v>
      </c>
      <c r="G3009" s="39" t="s">
        <v>5383</v>
      </c>
      <c r="H3009" s="12"/>
      <c r="L3009" s="12"/>
    </row>
    <row r="3010" spans="1:12" ht="15.75" customHeight="1" x14ac:dyDescent="0.3">
      <c r="A3010" s="29" t="s">
        <v>485</v>
      </c>
      <c r="B3010" s="50" t="str">
        <f>VLOOKUP(A3010,'Sales Order'!A$2:B$1029,1,0)</f>
        <v>SO0247</v>
      </c>
      <c r="C3010" s="29" t="s">
        <v>81</v>
      </c>
      <c r="D3010" s="50" t="str">
        <f>VLOOKUP(C3010,Product!A$2:B$21,1,0)</f>
        <v>PD0019</v>
      </c>
      <c r="E3010" s="36">
        <v>86</v>
      </c>
      <c r="F3010" s="38">
        <v>203869020</v>
      </c>
      <c r="G3010" s="39" t="s">
        <v>5384</v>
      </c>
      <c r="H3010" s="12"/>
      <c r="L3010" s="12"/>
    </row>
    <row r="3011" spans="1:12" ht="15.75" customHeight="1" x14ac:dyDescent="0.3">
      <c r="A3011" s="29" t="s">
        <v>485</v>
      </c>
      <c r="B3011" s="50" t="str">
        <f>VLOOKUP(A3011,'Sales Order'!A$2:B$1029,1,0)</f>
        <v>SO0247</v>
      </c>
      <c r="C3011" s="29" t="s">
        <v>75</v>
      </c>
      <c r="D3011" s="50" t="str">
        <f>VLOOKUP(C3011,Product!A$2:B$21,1,0)</f>
        <v>PD0017</v>
      </c>
      <c r="E3011" s="36">
        <v>101</v>
      </c>
      <c r="F3011" s="38">
        <v>222149500</v>
      </c>
      <c r="G3011" s="39" t="s">
        <v>5385</v>
      </c>
      <c r="H3011" s="12"/>
      <c r="L3011" s="12"/>
    </row>
    <row r="3012" spans="1:12" ht="15.75" customHeight="1" x14ac:dyDescent="0.3">
      <c r="A3012" s="29" t="s">
        <v>496</v>
      </c>
      <c r="B3012" s="50" t="str">
        <f>VLOOKUP(A3012,'Sales Order'!A$2:B$1029,1,0)</f>
        <v>SO0258</v>
      </c>
      <c r="C3012" s="29" t="s">
        <v>83</v>
      </c>
      <c r="D3012" s="50" t="str">
        <f>VLOOKUP(C3012,Product!A$2:B$21,1,0)</f>
        <v>PD0020</v>
      </c>
      <c r="E3012" s="36">
        <v>135</v>
      </c>
      <c r="F3012" s="38">
        <v>36834750</v>
      </c>
      <c r="G3012" s="39" t="s">
        <v>5386</v>
      </c>
      <c r="H3012" s="12"/>
      <c r="L3012" s="12"/>
    </row>
    <row r="3013" spans="1:12" ht="15.75" customHeight="1" x14ac:dyDescent="0.3">
      <c r="A3013" s="29" t="s">
        <v>496</v>
      </c>
      <c r="B3013" s="50" t="str">
        <f>VLOOKUP(A3013,'Sales Order'!A$2:B$1029,1,0)</f>
        <v>SO0258</v>
      </c>
      <c r="C3013" s="29" t="s">
        <v>69</v>
      </c>
      <c r="D3013" s="50" t="str">
        <f>VLOOKUP(C3013,Product!A$2:B$21,1,0)</f>
        <v>PD0015</v>
      </c>
      <c r="E3013" s="36">
        <v>132</v>
      </c>
      <c r="F3013" s="38">
        <v>14530428.000000002</v>
      </c>
      <c r="G3013" s="39" t="s">
        <v>5387</v>
      </c>
      <c r="H3013" s="12"/>
      <c r="L3013" s="12"/>
    </row>
    <row r="3014" spans="1:12" ht="15.75" customHeight="1" x14ac:dyDescent="0.3">
      <c r="A3014" s="29" t="s">
        <v>498</v>
      </c>
      <c r="B3014" s="50" t="str">
        <f>VLOOKUP(A3014,'Sales Order'!A$2:B$1029,1,0)</f>
        <v>SO0260</v>
      </c>
      <c r="C3014" s="29" t="s">
        <v>52</v>
      </c>
      <c r="D3014" s="50" t="str">
        <f>VLOOKUP(C3014,Product!A$2:B$21,1,0)</f>
        <v>PD0010</v>
      </c>
      <c r="E3014" s="36">
        <v>149</v>
      </c>
      <c r="F3014" s="38">
        <v>41161250</v>
      </c>
      <c r="G3014" s="39" t="s">
        <v>5388</v>
      </c>
      <c r="H3014" s="12"/>
      <c r="L3014" s="12"/>
    </row>
    <row r="3015" spans="1:12" ht="15.75" customHeight="1" x14ac:dyDescent="0.3">
      <c r="A3015" s="29" t="s">
        <v>498</v>
      </c>
      <c r="B3015" s="50" t="str">
        <f>VLOOKUP(A3015,'Sales Order'!A$2:B$1029,1,0)</f>
        <v>SO0260</v>
      </c>
      <c r="C3015" s="29" t="s">
        <v>45</v>
      </c>
      <c r="D3015" s="50" t="str">
        <f>VLOOKUP(C3015,Product!A$2:B$21,1,0)</f>
        <v>PD0008</v>
      </c>
      <c r="E3015" s="36">
        <v>50</v>
      </c>
      <c r="F3015" s="38">
        <v>5662000</v>
      </c>
      <c r="G3015" s="39" t="s">
        <v>5389</v>
      </c>
      <c r="H3015" s="12"/>
      <c r="L3015" s="12"/>
    </row>
    <row r="3016" spans="1:12" ht="15.75" customHeight="1" x14ac:dyDescent="0.3">
      <c r="A3016" s="29" t="s">
        <v>498</v>
      </c>
      <c r="B3016" s="50" t="str">
        <f>VLOOKUP(A3016,'Sales Order'!A$2:B$1029,1,0)</f>
        <v>SO0260</v>
      </c>
      <c r="C3016" s="29" t="s">
        <v>48</v>
      </c>
      <c r="D3016" s="50" t="str">
        <f>VLOOKUP(C3016,Product!A$2:B$21,1,0)</f>
        <v>PD0009</v>
      </c>
      <c r="E3016" s="36">
        <v>55</v>
      </c>
      <c r="F3016" s="38">
        <v>6030750</v>
      </c>
      <c r="G3016" s="39" t="s">
        <v>5390</v>
      </c>
      <c r="H3016" s="12"/>
      <c r="L3016" s="12"/>
    </row>
    <row r="3017" spans="1:12" ht="15.75" customHeight="1" x14ac:dyDescent="0.3">
      <c r="A3017" s="17" t="s">
        <v>507</v>
      </c>
      <c r="B3017" s="50" t="str">
        <f>VLOOKUP(A3017,'Sales Order'!A$2:B$1029,1,0)</f>
        <v>SO0269</v>
      </c>
      <c r="C3017" s="29" t="s">
        <v>69</v>
      </c>
      <c r="D3017" s="50" t="str">
        <f>VLOOKUP(C3017,Product!A$2:B$21,1,0)</f>
        <v>PD0015</v>
      </c>
      <c r="E3017" s="36">
        <v>69</v>
      </c>
      <c r="F3017" s="38">
        <v>8720703</v>
      </c>
      <c r="G3017" s="39" t="s">
        <v>5391</v>
      </c>
      <c r="H3017" s="12"/>
      <c r="L3017" s="12"/>
    </row>
    <row r="3018" spans="1:12" ht="15.75" customHeight="1" x14ac:dyDescent="0.3">
      <c r="A3018" s="29" t="s">
        <v>507</v>
      </c>
      <c r="B3018" s="50" t="str">
        <f>VLOOKUP(A3018,'Sales Order'!A$2:B$1029,1,0)</f>
        <v>SO0269</v>
      </c>
      <c r="C3018" s="29" t="s">
        <v>78</v>
      </c>
      <c r="D3018" s="50" t="str">
        <f>VLOOKUP(C3018,Product!A$2:B$21,1,0)</f>
        <v>PD0018</v>
      </c>
      <c r="E3018" s="36">
        <v>133</v>
      </c>
      <c r="F3018" s="38">
        <v>58727480</v>
      </c>
      <c r="G3018" s="39" t="s">
        <v>5392</v>
      </c>
      <c r="H3018" s="12"/>
      <c r="L3018" s="12"/>
    </row>
    <row r="3019" spans="1:12" ht="15.75" customHeight="1" x14ac:dyDescent="0.3">
      <c r="A3019" s="17" t="s">
        <v>513</v>
      </c>
      <c r="B3019" s="50" t="str">
        <f>VLOOKUP(A3019,'Sales Order'!A$2:B$1029,1,0)</f>
        <v>SO0275</v>
      </c>
      <c r="C3019" s="29" t="s">
        <v>61</v>
      </c>
      <c r="D3019" s="50" t="str">
        <f>VLOOKUP(C3019,Product!A$2:B$21,1,0)</f>
        <v>PD0013</v>
      </c>
      <c r="E3019" s="36">
        <v>142</v>
      </c>
      <c r="F3019" s="38">
        <v>59855840</v>
      </c>
      <c r="G3019" s="39" t="s">
        <v>5393</v>
      </c>
      <c r="H3019" s="12"/>
      <c r="L3019" s="12"/>
    </row>
    <row r="3020" spans="1:12" ht="15.75" customHeight="1" x14ac:dyDescent="0.3">
      <c r="A3020" s="29" t="s">
        <v>513</v>
      </c>
      <c r="B3020" s="50" t="str">
        <f>VLOOKUP(A3020,'Sales Order'!A$2:B$1029,1,0)</f>
        <v>SO0275</v>
      </c>
      <c r="C3020" s="29" t="s">
        <v>65</v>
      </c>
      <c r="D3020" s="50" t="str">
        <f>VLOOKUP(C3020,Product!A$2:B$21,1,0)</f>
        <v>PD0014</v>
      </c>
      <c r="E3020" s="36">
        <v>90</v>
      </c>
      <c r="F3020" s="38">
        <v>19464300</v>
      </c>
      <c r="G3020" s="39" t="s">
        <v>5394</v>
      </c>
      <c r="H3020" s="12"/>
      <c r="L3020" s="12"/>
    </row>
    <row r="3021" spans="1:12" ht="15.75" customHeight="1" x14ac:dyDescent="0.3">
      <c r="A3021" s="29" t="s">
        <v>519</v>
      </c>
      <c r="B3021" s="50" t="str">
        <f>VLOOKUP(A3021,'Sales Order'!A$2:B$1029,1,0)</f>
        <v>SO0281</v>
      </c>
      <c r="C3021" s="29" t="s">
        <v>25</v>
      </c>
      <c r="D3021" s="50" t="str">
        <f>VLOOKUP(C3021,Product!A$2:B$21,1,0)</f>
        <v>PD0002</v>
      </c>
      <c r="E3021" s="36">
        <v>99</v>
      </c>
      <c r="F3021" s="38">
        <v>1643400</v>
      </c>
      <c r="G3021" s="39" t="s">
        <v>5395</v>
      </c>
      <c r="H3021" s="12"/>
      <c r="L3021" s="12"/>
    </row>
    <row r="3022" spans="1:12" ht="15.75" customHeight="1" x14ac:dyDescent="0.3">
      <c r="A3022" s="29" t="s">
        <v>519</v>
      </c>
      <c r="B3022" s="50" t="str">
        <f>VLOOKUP(A3022,'Sales Order'!A$2:B$1029,1,0)</f>
        <v>SO0281</v>
      </c>
      <c r="C3022" s="29" t="s">
        <v>45</v>
      </c>
      <c r="D3022" s="50" t="str">
        <f>VLOOKUP(C3022,Product!A$2:B$21,1,0)</f>
        <v>PD0008</v>
      </c>
      <c r="E3022" s="36">
        <v>80</v>
      </c>
      <c r="F3022" s="38">
        <v>10370400</v>
      </c>
      <c r="G3022" s="39" t="s">
        <v>5396</v>
      </c>
      <c r="H3022" s="12"/>
      <c r="L3022" s="12"/>
    </row>
    <row r="3023" spans="1:12" ht="15.75" customHeight="1" x14ac:dyDescent="0.3">
      <c r="A3023" s="17" t="s">
        <v>520</v>
      </c>
      <c r="B3023" s="50" t="str">
        <f>VLOOKUP(A3023,'Sales Order'!A$2:B$1029,1,0)</f>
        <v>SO0282</v>
      </c>
      <c r="C3023" s="29" t="s">
        <v>52</v>
      </c>
      <c r="D3023" s="50" t="str">
        <f>VLOOKUP(C3023,Product!A$2:B$21,1,0)</f>
        <v>PD0010</v>
      </c>
      <c r="E3023" s="36">
        <v>88</v>
      </c>
      <c r="F3023" s="38">
        <v>26884000</v>
      </c>
      <c r="G3023" s="39" t="s">
        <v>5397</v>
      </c>
      <c r="H3023" s="12"/>
      <c r="L3023" s="12"/>
    </row>
    <row r="3024" spans="1:12" ht="15.75" customHeight="1" x14ac:dyDescent="0.3">
      <c r="A3024" s="29" t="s">
        <v>520</v>
      </c>
      <c r="B3024" s="50" t="str">
        <f>VLOOKUP(A3024,'Sales Order'!A$2:B$1029,1,0)</f>
        <v>SO0282</v>
      </c>
      <c r="C3024" s="29" t="s">
        <v>48</v>
      </c>
      <c r="D3024" s="50" t="str">
        <f>VLOOKUP(C3024,Product!A$2:B$21,1,0)</f>
        <v>PD0009</v>
      </c>
      <c r="E3024" s="36">
        <v>84</v>
      </c>
      <c r="F3024" s="38">
        <v>9427320</v>
      </c>
      <c r="G3024" s="39" t="s">
        <v>5398</v>
      </c>
      <c r="H3024" s="12"/>
      <c r="L3024" s="12"/>
    </row>
    <row r="3025" spans="1:12" ht="15.75" customHeight="1" x14ac:dyDescent="0.3">
      <c r="A3025" s="29" t="s">
        <v>522</v>
      </c>
      <c r="B3025" s="50" t="str">
        <f>VLOOKUP(A3025,'Sales Order'!A$2:B$1029,1,0)</f>
        <v>SO0284</v>
      </c>
      <c r="C3025" s="29" t="s">
        <v>72</v>
      </c>
      <c r="D3025" s="50" t="str">
        <f>VLOOKUP(C3025,Product!A$2:B$21,1,0)</f>
        <v>PD0016</v>
      </c>
      <c r="E3025" s="36">
        <v>102</v>
      </c>
      <c r="F3025" s="38">
        <v>22059540</v>
      </c>
      <c r="G3025" s="39" t="s">
        <v>5399</v>
      </c>
      <c r="H3025" s="12"/>
      <c r="L3025" s="12"/>
    </row>
    <row r="3026" spans="1:12" ht="15.75" customHeight="1" x14ac:dyDescent="0.3">
      <c r="A3026" s="29" t="s">
        <v>522</v>
      </c>
      <c r="B3026" s="50" t="str">
        <f>VLOOKUP(A3026,'Sales Order'!A$2:B$1029,1,0)</f>
        <v>SO0284</v>
      </c>
      <c r="C3026" s="29" t="s">
        <v>78</v>
      </c>
      <c r="D3026" s="50" t="str">
        <f>VLOOKUP(C3026,Product!A$2:B$21,1,0)</f>
        <v>PD0018</v>
      </c>
      <c r="E3026" s="36">
        <v>125</v>
      </c>
      <c r="F3026" s="38">
        <v>56525000</v>
      </c>
      <c r="G3026" s="39" t="s">
        <v>5400</v>
      </c>
      <c r="H3026" s="12"/>
      <c r="L3026" s="12"/>
    </row>
    <row r="3027" spans="1:12" ht="15.75" customHeight="1" x14ac:dyDescent="0.3">
      <c r="A3027" s="29" t="s">
        <v>524</v>
      </c>
      <c r="B3027" s="50" t="str">
        <f>VLOOKUP(A3027,'Sales Order'!A$2:B$1029,1,0)</f>
        <v>SO0286</v>
      </c>
      <c r="C3027" s="29" t="s">
        <v>25</v>
      </c>
      <c r="D3027" s="50" t="str">
        <f>VLOOKUP(C3027,Product!A$2:B$21,1,0)</f>
        <v>PD0002</v>
      </c>
      <c r="E3027" s="36">
        <v>78</v>
      </c>
      <c r="F3027" s="38">
        <v>1326000</v>
      </c>
      <c r="G3027" s="39" t="s">
        <v>5401</v>
      </c>
      <c r="H3027" s="12"/>
      <c r="L3027" s="12"/>
    </row>
    <row r="3028" spans="1:12" ht="15.75" customHeight="1" x14ac:dyDescent="0.3">
      <c r="A3028" s="29" t="s">
        <v>524</v>
      </c>
      <c r="B3028" s="50" t="str">
        <f>VLOOKUP(A3028,'Sales Order'!A$2:B$1029,1,0)</f>
        <v>SO0286</v>
      </c>
      <c r="C3028" s="29" t="s">
        <v>19</v>
      </c>
      <c r="D3028" s="50" t="str">
        <f>VLOOKUP(C3028,Product!A$2:B$21,1,0)</f>
        <v>PD0001</v>
      </c>
      <c r="E3028" s="36">
        <v>94</v>
      </c>
      <c r="F3028" s="38">
        <v>21767580</v>
      </c>
      <c r="G3028" s="39" t="s">
        <v>5402</v>
      </c>
      <c r="H3028" s="12"/>
      <c r="L3028" s="12"/>
    </row>
    <row r="3029" spans="1:12" ht="15.75" customHeight="1" x14ac:dyDescent="0.3">
      <c r="A3029" s="29" t="s">
        <v>531</v>
      </c>
      <c r="B3029" s="50" t="str">
        <f>VLOOKUP(A3029,'Sales Order'!A$2:B$1029,1,0)</f>
        <v>SO0293</v>
      </c>
      <c r="C3029" s="29" t="s">
        <v>35</v>
      </c>
      <c r="D3029" s="50" t="str">
        <f>VLOOKUP(C3029,Product!A$2:B$21,1,0)</f>
        <v>PD0005</v>
      </c>
      <c r="E3029" s="36">
        <v>97</v>
      </c>
      <c r="F3029" s="38">
        <v>183106900</v>
      </c>
      <c r="G3029" s="39" t="s">
        <v>5403</v>
      </c>
      <c r="H3029" s="12"/>
      <c r="L3029" s="12"/>
    </row>
    <row r="3030" spans="1:12" ht="15.75" customHeight="1" x14ac:dyDescent="0.3">
      <c r="A3030" s="29" t="s">
        <v>531</v>
      </c>
      <c r="B3030" s="50" t="str">
        <f>VLOOKUP(A3030,'Sales Order'!A$2:B$1029,1,0)</f>
        <v>SO0293</v>
      </c>
      <c r="C3030" s="29" t="s">
        <v>43</v>
      </c>
      <c r="D3030" s="50" t="str">
        <f>VLOOKUP(C3030,Product!A$2:B$21,1,0)</f>
        <v>PD0007</v>
      </c>
      <c r="E3030" s="36">
        <v>125</v>
      </c>
      <c r="F3030" s="38">
        <v>376000000</v>
      </c>
      <c r="G3030" s="39" t="s">
        <v>5404</v>
      </c>
      <c r="H3030" s="12"/>
      <c r="L3030" s="12"/>
    </row>
    <row r="3031" spans="1:12" ht="15.75" customHeight="1" x14ac:dyDescent="0.3">
      <c r="A3031" s="17" t="s">
        <v>537</v>
      </c>
      <c r="B3031" s="50" t="str">
        <f>VLOOKUP(A3031,'Sales Order'!A$2:B$1029,1,0)</f>
        <v>SO0299</v>
      </c>
      <c r="C3031" s="29" t="s">
        <v>83</v>
      </c>
      <c r="D3031" s="50" t="str">
        <f>VLOOKUP(C3031,Product!A$2:B$21,1,0)</f>
        <v>PD0020</v>
      </c>
      <c r="E3031" s="36">
        <v>129</v>
      </c>
      <c r="F3031" s="38">
        <v>33955380</v>
      </c>
      <c r="G3031" s="39" t="s">
        <v>5405</v>
      </c>
      <c r="H3031" s="12"/>
      <c r="L3031" s="12"/>
    </row>
    <row r="3032" spans="1:12" ht="15.75" customHeight="1" x14ac:dyDescent="0.3">
      <c r="A3032" s="29" t="s">
        <v>537</v>
      </c>
      <c r="B3032" s="50" t="str">
        <f>VLOOKUP(A3032,'Sales Order'!A$2:B$1029,1,0)</f>
        <v>SO0299</v>
      </c>
      <c r="C3032" s="29" t="s">
        <v>72</v>
      </c>
      <c r="D3032" s="50" t="str">
        <f>VLOOKUP(C3032,Product!A$2:B$21,1,0)</f>
        <v>PD0016</v>
      </c>
      <c r="E3032" s="36">
        <v>69</v>
      </c>
      <c r="F3032" s="38">
        <v>15291090</v>
      </c>
      <c r="G3032" s="39" t="s">
        <v>5406</v>
      </c>
      <c r="H3032" s="12"/>
      <c r="L3032" s="12"/>
    </row>
    <row r="3033" spans="1:12" ht="15.75" customHeight="1" x14ac:dyDescent="0.3">
      <c r="A3033" s="17" t="s">
        <v>538</v>
      </c>
      <c r="B3033" s="50" t="str">
        <f>VLOOKUP(A3033,'Sales Order'!A$2:B$1029,1,0)</f>
        <v>SO0300</v>
      </c>
      <c r="C3033" s="29" t="s">
        <v>55</v>
      </c>
      <c r="D3033" s="50" t="str">
        <f>VLOOKUP(C3033,Product!A$2:B$21,1,0)</f>
        <v>PD0011</v>
      </c>
      <c r="E3033" s="36">
        <v>51</v>
      </c>
      <c r="F3033" s="38">
        <v>105871920</v>
      </c>
      <c r="G3033" s="39" t="s">
        <v>5407</v>
      </c>
      <c r="H3033" s="12"/>
      <c r="L3033" s="12"/>
    </row>
    <row r="3034" spans="1:12" ht="15.75" customHeight="1" x14ac:dyDescent="0.3">
      <c r="A3034" s="29" t="s">
        <v>538</v>
      </c>
      <c r="B3034" s="50" t="str">
        <f>VLOOKUP(A3034,'Sales Order'!A$2:B$1029,1,0)</f>
        <v>SO0300</v>
      </c>
      <c r="C3034" s="29" t="s">
        <v>78</v>
      </c>
      <c r="D3034" s="50" t="str">
        <f>VLOOKUP(C3034,Product!A$2:B$21,1,0)</f>
        <v>PD0018</v>
      </c>
      <c r="E3034" s="36">
        <v>105</v>
      </c>
      <c r="F3034" s="38">
        <v>48039600</v>
      </c>
      <c r="G3034" s="39" t="s">
        <v>5408</v>
      </c>
      <c r="H3034" s="12"/>
      <c r="L3034" s="12"/>
    </row>
    <row r="3035" spans="1:12" ht="15.75" customHeight="1" x14ac:dyDescent="0.3">
      <c r="A3035" s="29" t="s">
        <v>538</v>
      </c>
      <c r="B3035" s="50" t="str">
        <f>VLOOKUP(A3035,'Sales Order'!A$2:B$1029,1,0)</f>
        <v>SO0300</v>
      </c>
      <c r="C3035" s="29" t="s">
        <v>52</v>
      </c>
      <c r="D3035" s="50" t="str">
        <f>VLOOKUP(C3035,Product!A$2:B$21,1,0)</f>
        <v>PD0010</v>
      </c>
      <c r="E3035" s="36">
        <v>137</v>
      </c>
      <c r="F3035" s="38">
        <v>33839000</v>
      </c>
      <c r="G3035" s="39" t="s">
        <v>5409</v>
      </c>
      <c r="H3035" s="12"/>
      <c r="L3035" s="12"/>
    </row>
    <row r="3036" spans="1:12" ht="15.75" customHeight="1" x14ac:dyDescent="0.3">
      <c r="A3036" s="29" t="s">
        <v>538</v>
      </c>
      <c r="B3036" s="50" t="str">
        <f>VLOOKUP(A3036,'Sales Order'!A$2:B$1029,1,0)</f>
        <v>SO0300</v>
      </c>
      <c r="C3036" s="29" t="s">
        <v>45</v>
      </c>
      <c r="D3036" s="50" t="str">
        <f>VLOOKUP(C3036,Product!A$2:B$21,1,0)</f>
        <v>PD0008</v>
      </c>
      <c r="E3036" s="36">
        <v>25</v>
      </c>
      <c r="F3036" s="38">
        <v>3054500</v>
      </c>
      <c r="G3036" s="39" t="s">
        <v>5410</v>
      </c>
      <c r="H3036" s="12"/>
      <c r="L3036" s="12"/>
    </row>
    <row r="3037" spans="1:12" ht="15.75" customHeight="1" x14ac:dyDescent="0.3">
      <c r="A3037" s="29" t="s">
        <v>538</v>
      </c>
      <c r="B3037" s="50" t="str">
        <f>VLOOKUP(A3037,'Sales Order'!A$2:B$1029,1,0)</f>
        <v>SO0300</v>
      </c>
      <c r="C3037" s="29" t="s">
        <v>83</v>
      </c>
      <c r="D3037" s="50" t="str">
        <f>VLOOKUP(C3037,Product!A$2:B$21,1,0)</f>
        <v>PD0020</v>
      </c>
      <c r="E3037" s="36">
        <v>66</v>
      </c>
      <c r="F3037" s="38">
        <v>16525080</v>
      </c>
      <c r="G3037" s="39" t="s">
        <v>5411</v>
      </c>
      <c r="H3037" s="12"/>
      <c r="J3037" t="s">
        <v>2375</v>
      </c>
      <c r="L3037" s="12"/>
    </row>
    <row r="3038" spans="1:12" ht="15.75" customHeight="1" x14ac:dyDescent="0.3">
      <c r="A3038" s="29" t="s">
        <v>551</v>
      </c>
      <c r="B3038" s="50" t="str">
        <f>VLOOKUP(A3038,'Sales Order'!A$2:B$1029,1,0)</f>
        <v>SO0313</v>
      </c>
      <c r="C3038" s="29" t="s">
        <v>72</v>
      </c>
      <c r="D3038" s="50" t="str">
        <f>VLOOKUP(C3038,Product!A$2:B$21,1,0)</f>
        <v>PD0016</v>
      </c>
      <c r="E3038" s="36">
        <v>114</v>
      </c>
      <c r="F3038" s="38">
        <v>23132880</v>
      </c>
      <c r="G3038" s="39" t="s">
        <v>5412</v>
      </c>
      <c r="H3038" s="12"/>
      <c r="L3038" s="12"/>
    </row>
    <row r="3039" spans="1:12" ht="15.75" customHeight="1" x14ac:dyDescent="0.3">
      <c r="A3039" s="29" t="s">
        <v>551</v>
      </c>
      <c r="B3039" s="50" t="str">
        <f>VLOOKUP(A3039,'Sales Order'!A$2:B$1029,1,0)</f>
        <v>SO0313</v>
      </c>
      <c r="C3039" s="29" t="s">
        <v>78</v>
      </c>
      <c r="D3039" s="50" t="str">
        <f>VLOOKUP(C3039,Product!A$2:B$21,1,0)</f>
        <v>PD0018</v>
      </c>
      <c r="E3039" s="36">
        <v>36</v>
      </c>
      <c r="F3039" s="38">
        <v>16470720</v>
      </c>
      <c r="G3039" s="39" t="s">
        <v>5413</v>
      </c>
      <c r="H3039" s="12"/>
      <c r="L3039" s="12"/>
    </row>
    <row r="3040" spans="1:12" ht="15.75" customHeight="1" x14ac:dyDescent="0.3">
      <c r="A3040" s="29" t="s">
        <v>554</v>
      </c>
      <c r="B3040" s="50" t="str">
        <f>VLOOKUP(A3040,'Sales Order'!A$2:B$1029,1,0)</f>
        <v>SO0316</v>
      </c>
      <c r="C3040" s="29" t="s">
        <v>55</v>
      </c>
      <c r="D3040" s="50" t="str">
        <f>VLOOKUP(C3040,Product!A$2:B$21,1,0)</f>
        <v>PD0011</v>
      </c>
      <c r="E3040" s="36">
        <v>51</v>
      </c>
      <c r="F3040" s="38">
        <v>91434840</v>
      </c>
      <c r="G3040" s="39" t="s">
        <v>5414</v>
      </c>
      <c r="H3040" s="12"/>
      <c r="L3040" s="12"/>
    </row>
    <row r="3041" spans="1:12" ht="15.75" customHeight="1" x14ac:dyDescent="0.3">
      <c r="A3041" s="29" t="s">
        <v>554</v>
      </c>
      <c r="B3041" s="50" t="str">
        <f>VLOOKUP(A3041,'Sales Order'!A$2:B$1029,1,0)</f>
        <v>SO0316</v>
      </c>
      <c r="C3041" s="29" t="s">
        <v>58</v>
      </c>
      <c r="D3041" s="50" t="str">
        <f>VLOOKUP(C3041,Product!A$2:B$21,1,0)</f>
        <v>PD0012</v>
      </c>
      <c r="E3041" s="36">
        <v>65</v>
      </c>
      <c r="F3041" s="38">
        <v>307889400</v>
      </c>
      <c r="G3041" s="39" t="s">
        <v>5415</v>
      </c>
      <c r="H3041" s="12"/>
      <c r="L3041" s="12"/>
    </row>
    <row r="3042" spans="1:12" ht="15.75" customHeight="1" x14ac:dyDescent="0.3">
      <c r="A3042" s="17" t="s">
        <v>557</v>
      </c>
      <c r="B3042" s="50" t="str">
        <f>VLOOKUP(A3042,'Sales Order'!A$2:B$1029,1,0)</f>
        <v>SO0319</v>
      </c>
      <c r="C3042" s="29" t="s">
        <v>35</v>
      </c>
      <c r="D3042" s="50" t="str">
        <f>VLOOKUP(C3042,Product!A$2:B$21,1,0)</f>
        <v>PD0005</v>
      </c>
      <c r="E3042" s="36">
        <v>84</v>
      </c>
      <c r="F3042" s="38">
        <v>169629600</v>
      </c>
      <c r="G3042" s="39" t="s">
        <v>5416</v>
      </c>
      <c r="H3042" s="12"/>
      <c r="L3042" s="12"/>
    </row>
    <row r="3043" spans="1:12" ht="15.75" customHeight="1" x14ac:dyDescent="0.3">
      <c r="A3043" s="29" t="s">
        <v>557</v>
      </c>
      <c r="B3043" s="50" t="str">
        <f>VLOOKUP(A3043,'Sales Order'!A$2:B$1029,1,0)</f>
        <v>SO0319</v>
      </c>
      <c r="C3043" s="29" t="s">
        <v>43</v>
      </c>
      <c r="D3043" s="50" t="str">
        <f>VLOOKUP(C3043,Product!A$2:B$21,1,0)</f>
        <v>PD0007</v>
      </c>
      <c r="E3043" s="36">
        <v>145</v>
      </c>
      <c r="F3043" s="38">
        <v>371200000</v>
      </c>
      <c r="G3043" s="39" t="s">
        <v>5417</v>
      </c>
      <c r="H3043" s="12"/>
      <c r="L3043" s="12"/>
    </row>
    <row r="3044" spans="1:12" ht="15.75" customHeight="1" x14ac:dyDescent="0.3">
      <c r="A3044" s="17" t="s">
        <v>572</v>
      </c>
      <c r="B3044" s="50" t="str">
        <f>VLOOKUP(A3044,'Sales Order'!A$2:B$1029,1,0)</f>
        <v>SO0334</v>
      </c>
      <c r="C3044" s="29" t="s">
        <v>55</v>
      </c>
      <c r="D3044" s="50" t="str">
        <f>VLOOKUP(C3044,Product!A$2:B$21,1,0)</f>
        <v>PD0011</v>
      </c>
      <c r="E3044" s="36">
        <v>95</v>
      </c>
      <c r="F3044" s="38">
        <v>188248200</v>
      </c>
      <c r="G3044" s="39" t="s">
        <v>5418</v>
      </c>
      <c r="H3044" s="12"/>
      <c r="L3044" s="12"/>
    </row>
    <row r="3045" spans="1:12" ht="15.75" customHeight="1" x14ac:dyDescent="0.3">
      <c r="A3045" s="29" t="s">
        <v>572</v>
      </c>
      <c r="B3045" s="50" t="str">
        <f>VLOOKUP(A3045,'Sales Order'!A$2:B$1029,1,0)</f>
        <v>SO0334</v>
      </c>
      <c r="C3045" s="29" t="s">
        <v>58</v>
      </c>
      <c r="D3045" s="50" t="str">
        <f>VLOOKUP(C3045,Product!A$2:B$21,1,0)</f>
        <v>PD0012</v>
      </c>
      <c r="E3045" s="36">
        <v>120</v>
      </c>
      <c r="F3045" s="38">
        <v>561644400</v>
      </c>
      <c r="G3045" s="39" t="s">
        <v>5419</v>
      </c>
      <c r="H3045" s="12"/>
      <c r="L3045" s="12"/>
    </row>
    <row r="3046" spans="1:12" ht="15.75" customHeight="1" x14ac:dyDescent="0.3">
      <c r="A3046" s="17" t="s">
        <v>585</v>
      </c>
      <c r="B3046" s="50" t="str">
        <f>VLOOKUP(A3046,'Sales Order'!A$2:B$1029,1,0)</f>
        <v>SO0347</v>
      </c>
      <c r="C3046" s="29" t="s">
        <v>33</v>
      </c>
      <c r="D3046" s="50" t="str">
        <f>VLOOKUP(C3046,Product!A$2:B$21,1,0)</f>
        <v>PD0004</v>
      </c>
      <c r="E3046" s="36">
        <v>35</v>
      </c>
      <c r="F3046" s="38">
        <v>7315000</v>
      </c>
      <c r="G3046" s="39" t="s">
        <v>5420</v>
      </c>
      <c r="H3046" s="12"/>
      <c r="L3046" s="12"/>
    </row>
    <row r="3047" spans="1:12" ht="15.75" customHeight="1" x14ac:dyDescent="0.3">
      <c r="A3047" s="29" t="s">
        <v>585</v>
      </c>
      <c r="B3047" s="50" t="str">
        <f>VLOOKUP(A3047,'Sales Order'!A$2:B$1029,1,0)</f>
        <v>SO0347</v>
      </c>
      <c r="C3047" s="29" t="s">
        <v>28</v>
      </c>
      <c r="D3047" s="50" t="str">
        <f>VLOOKUP(C3047,Product!A$2:B$21,1,0)</f>
        <v>PD0003</v>
      </c>
      <c r="E3047" s="36">
        <v>150</v>
      </c>
      <c r="F3047" s="38">
        <v>111720000</v>
      </c>
      <c r="G3047" s="39" t="s">
        <v>5421</v>
      </c>
      <c r="H3047" s="12"/>
      <c r="L3047" s="12"/>
    </row>
    <row r="3048" spans="1:12" ht="15.75" customHeight="1" x14ac:dyDescent="0.3">
      <c r="A3048" s="17" t="s">
        <v>586</v>
      </c>
      <c r="B3048" s="50" t="str">
        <f>VLOOKUP(A3048,'Sales Order'!A$2:B$1029,1,0)</f>
        <v>SO0348</v>
      </c>
      <c r="C3048" s="29" t="s">
        <v>19</v>
      </c>
      <c r="D3048" s="50" t="str">
        <f>VLOOKUP(C3048,Product!A$2:B$21,1,0)</f>
        <v>PD0001</v>
      </c>
      <c r="E3048" s="36">
        <v>45</v>
      </c>
      <c r="F3048" s="38">
        <v>9972450</v>
      </c>
      <c r="G3048" s="39" t="s">
        <v>5422</v>
      </c>
      <c r="H3048" s="12"/>
      <c r="L3048" s="12"/>
    </row>
    <row r="3049" spans="1:12" ht="15.75" customHeight="1" x14ac:dyDescent="0.3">
      <c r="A3049" s="29" t="s">
        <v>586</v>
      </c>
      <c r="B3049" s="50" t="str">
        <f>VLOOKUP(A3049,'Sales Order'!A$2:B$1029,1,0)</f>
        <v>SO0348</v>
      </c>
      <c r="C3049" s="29" t="s">
        <v>83</v>
      </c>
      <c r="D3049" s="50" t="str">
        <f>VLOOKUP(C3049,Product!A$2:B$21,1,0)</f>
        <v>PD0020</v>
      </c>
      <c r="E3049" s="36">
        <v>37</v>
      </c>
      <c r="F3049" s="38">
        <v>9857910</v>
      </c>
      <c r="G3049" s="39" t="s">
        <v>5423</v>
      </c>
      <c r="H3049" s="12"/>
      <c r="L3049" s="12"/>
    </row>
    <row r="3050" spans="1:12" ht="15.75" customHeight="1" x14ac:dyDescent="0.3">
      <c r="A3050" s="29" t="s">
        <v>587</v>
      </c>
      <c r="B3050" s="50" t="str">
        <f>VLOOKUP(A3050,'Sales Order'!A$2:B$1029,1,0)</f>
        <v>SO0349</v>
      </c>
      <c r="C3050" s="29" t="s">
        <v>55</v>
      </c>
      <c r="D3050" s="50" t="str">
        <f>VLOOKUP(C3050,Product!A$2:B$21,1,0)</f>
        <v>PD0011</v>
      </c>
      <c r="E3050" s="36">
        <v>64</v>
      </c>
      <c r="F3050" s="38">
        <v>119271040</v>
      </c>
      <c r="G3050" s="39" t="s">
        <v>5424</v>
      </c>
      <c r="H3050" s="12"/>
      <c r="L3050" s="12"/>
    </row>
    <row r="3051" spans="1:12" ht="15.75" customHeight="1" x14ac:dyDescent="0.3">
      <c r="A3051" s="29" t="s">
        <v>587</v>
      </c>
      <c r="B3051" s="50" t="str">
        <f>VLOOKUP(A3051,'Sales Order'!A$2:B$1029,1,0)</f>
        <v>SO0349</v>
      </c>
      <c r="C3051" s="29" t="s">
        <v>58</v>
      </c>
      <c r="D3051" s="50" t="str">
        <f>VLOOKUP(C3051,Product!A$2:B$21,1,0)</f>
        <v>PD0012</v>
      </c>
      <c r="E3051" s="36">
        <v>117</v>
      </c>
      <c r="F3051" s="38">
        <v>514615140</v>
      </c>
      <c r="G3051" s="39" t="s">
        <v>5425</v>
      </c>
      <c r="H3051" s="12"/>
      <c r="L3051" s="12"/>
    </row>
    <row r="3052" spans="1:12" ht="15.75" customHeight="1" x14ac:dyDescent="0.3">
      <c r="A3052" s="29" t="s">
        <v>590</v>
      </c>
      <c r="B3052" s="50" t="str">
        <f>VLOOKUP(A3052,'Sales Order'!A$2:B$1029,1,0)</f>
        <v>SO0352</v>
      </c>
      <c r="C3052" s="29" t="s">
        <v>61</v>
      </c>
      <c r="D3052" s="50" t="str">
        <f>VLOOKUP(C3052,Product!A$2:B$21,1,0)</f>
        <v>PD0013</v>
      </c>
      <c r="E3052" s="36">
        <v>93</v>
      </c>
      <c r="F3052" s="38">
        <v>39201360</v>
      </c>
      <c r="G3052" s="39" t="s">
        <v>5426</v>
      </c>
      <c r="H3052" s="12"/>
      <c r="L3052" s="12"/>
    </row>
    <row r="3053" spans="1:12" ht="15.75" customHeight="1" x14ac:dyDescent="0.3">
      <c r="A3053" s="29" t="s">
        <v>590</v>
      </c>
      <c r="B3053" s="50" t="str">
        <f>VLOOKUP(A3053,'Sales Order'!A$2:B$1029,1,0)</f>
        <v>SO0352</v>
      </c>
      <c r="C3053" s="29" t="s">
        <v>65</v>
      </c>
      <c r="D3053" s="50" t="str">
        <f>VLOOKUP(C3053,Product!A$2:B$21,1,0)</f>
        <v>PD0014</v>
      </c>
      <c r="E3053" s="36">
        <v>42</v>
      </c>
      <c r="F3053" s="38">
        <v>9980460</v>
      </c>
      <c r="G3053" s="39" t="s">
        <v>5427</v>
      </c>
      <c r="H3053" s="12"/>
      <c r="L3053" s="12"/>
    </row>
    <row r="3054" spans="1:12" ht="15.75" customHeight="1" x14ac:dyDescent="0.3">
      <c r="A3054" s="29" t="s">
        <v>591</v>
      </c>
      <c r="B3054" s="50" t="str">
        <f>VLOOKUP(A3054,'Sales Order'!A$2:B$1029,1,0)</f>
        <v>SO0353</v>
      </c>
      <c r="C3054" s="29" t="s">
        <v>19</v>
      </c>
      <c r="D3054" s="50" t="str">
        <f>VLOOKUP(C3054,Product!A$2:B$21,1,0)</f>
        <v>PD0001</v>
      </c>
      <c r="E3054" s="36">
        <v>125</v>
      </c>
      <c r="F3054" s="38">
        <v>25211250</v>
      </c>
      <c r="G3054" s="39" t="s">
        <v>5428</v>
      </c>
      <c r="H3054" s="12"/>
      <c r="L3054" s="12"/>
    </row>
    <row r="3055" spans="1:12" ht="15.75" customHeight="1" x14ac:dyDescent="0.3">
      <c r="A3055" s="29" t="s">
        <v>591</v>
      </c>
      <c r="B3055" s="50" t="str">
        <f>VLOOKUP(A3055,'Sales Order'!A$2:B$1029,1,0)</f>
        <v>SO0353</v>
      </c>
      <c r="C3055" s="29" t="s">
        <v>25</v>
      </c>
      <c r="D3055" s="50" t="str">
        <f>VLOOKUP(C3055,Product!A$2:B$21,1,0)</f>
        <v>PD0002</v>
      </c>
      <c r="E3055" s="36">
        <v>147</v>
      </c>
      <c r="F3055" s="38">
        <v>2734200</v>
      </c>
      <c r="G3055" s="39" t="s">
        <v>5429</v>
      </c>
      <c r="H3055" s="12"/>
      <c r="L3055" s="12"/>
    </row>
    <row r="3056" spans="1:12" ht="15.75" customHeight="1" x14ac:dyDescent="0.3">
      <c r="A3056" s="17" t="s">
        <v>600</v>
      </c>
      <c r="B3056" s="50" t="str">
        <f>VLOOKUP(A3056,'Sales Order'!A$2:B$1029,1,0)</f>
        <v>SO0362</v>
      </c>
      <c r="C3056" s="29" t="s">
        <v>52</v>
      </c>
      <c r="D3056" s="50" t="str">
        <f>VLOOKUP(C3056,Product!A$2:B$21,1,0)</f>
        <v>PD0010</v>
      </c>
      <c r="E3056" s="36">
        <v>128</v>
      </c>
      <c r="F3056" s="38">
        <v>35360000</v>
      </c>
      <c r="G3056" s="39" t="s">
        <v>5430</v>
      </c>
      <c r="H3056" s="12"/>
      <c r="L3056" s="12"/>
    </row>
    <row r="3057" spans="1:12" ht="15.75" customHeight="1" x14ac:dyDescent="0.3">
      <c r="A3057" s="29" t="s">
        <v>600</v>
      </c>
      <c r="B3057" s="50" t="str">
        <f>VLOOKUP(A3057,'Sales Order'!A$2:B$1029,1,0)</f>
        <v>SO0362</v>
      </c>
      <c r="C3057" s="29" t="s">
        <v>48</v>
      </c>
      <c r="D3057" s="50" t="str">
        <f>VLOOKUP(C3057,Product!A$2:B$21,1,0)</f>
        <v>PD0009</v>
      </c>
      <c r="E3057" s="36">
        <v>110</v>
      </c>
      <c r="F3057" s="38">
        <v>13196700</v>
      </c>
      <c r="G3057" s="39" t="s">
        <v>5431</v>
      </c>
      <c r="H3057" s="12"/>
      <c r="L3057" s="12"/>
    </row>
    <row r="3058" spans="1:12" ht="15.75" customHeight="1" x14ac:dyDescent="0.3">
      <c r="A3058" s="29" t="s">
        <v>605</v>
      </c>
      <c r="B3058" s="50" t="str">
        <f>VLOOKUP(A3058,'Sales Order'!A$2:B$1029,1,0)</f>
        <v>SO0367</v>
      </c>
      <c r="C3058" s="29" t="s">
        <v>83</v>
      </c>
      <c r="D3058" s="50" t="str">
        <f>VLOOKUP(C3058,Product!A$2:B$21,1,0)</f>
        <v>PD0020</v>
      </c>
      <c r="E3058" s="36">
        <v>106</v>
      </c>
      <c r="F3058" s="38">
        <v>31303920</v>
      </c>
      <c r="G3058" s="39" t="s">
        <v>5432</v>
      </c>
      <c r="H3058" s="12"/>
      <c r="L3058" s="12"/>
    </row>
    <row r="3059" spans="1:12" ht="15.75" customHeight="1" x14ac:dyDescent="0.3">
      <c r="A3059" s="29" t="s">
        <v>605</v>
      </c>
      <c r="B3059" s="50" t="str">
        <f>VLOOKUP(A3059,'Sales Order'!A$2:B$1029,1,0)</f>
        <v>SO0367</v>
      </c>
      <c r="C3059" s="29" t="s">
        <v>45</v>
      </c>
      <c r="D3059" s="50" t="str">
        <f>VLOOKUP(C3059,Product!A$2:B$21,1,0)</f>
        <v>PD0008</v>
      </c>
      <c r="E3059" s="36">
        <v>108</v>
      </c>
      <c r="F3059" s="38">
        <v>12390840</v>
      </c>
      <c r="G3059" s="39" t="s">
        <v>5433</v>
      </c>
      <c r="H3059" s="12"/>
      <c r="L3059" s="12"/>
    </row>
    <row r="3060" spans="1:12" ht="15.75" customHeight="1" x14ac:dyDescent="0.3">
      <c r="A3060" s="29" t="s">
        <v>606</v>
      </c>
      <c r="B3060" s="50" t="str">
        <f>VLOOKUP(A3060,'Sales Order'!A$2:B$1029,1,0)</f>
        <v>SO0368</v>
      </c>
      <c r="C3060" s="29" t="s">
        <v>19</v>
      </c>
      <c r="D3060" s="50" t="str">
        <f>VLOOKUP(C3060,Product!A$2:B$21,1,0)</f>
        <v>PD0001</v>
      </c>
      <c r="E3060" s="36">
        <v>141</v>
      </c>
      <c r="F3060" s="38">
        <v>29842650</v>
      </c>
      <c r="G3060" s="39" t="s">
        <v>5434</v>
      </c>
      <c r="H3060" s="12"/>
      <c r="L3060" s="12"/>
    </row>
    <row r="3061" spans="1:12" ht="15.75" customHeight="1" x14ac:dyDescent="0.3">
      <c r="A3061" s="29" t="s">
        <v>606</v>
      </c>
      <c r="B3061" s="50" t="str">
        <f>VLOOKUP(A3061,'Sales Order'!A$2:B$1029,1,0)</f>
        <v>SO0368</v>
      </c>
      <c r="C3061" s="29" t="s">
        <v>25</v>
      </c>
      <c r="D3061" s="50" t="str">
        <f>VLOOKUP(C3061,Product!A$2:B$21,1,0)</f>
        <v>PD0002</v>
      </c>
      <c r="E3061" s="36">
        <v>134</v>
      </c>
      <c r="F3061" s="38">
        <v>2304800</v>
      </c>
      <c r="G3061" s="39" t="s">
        <v>5435</v>
      </c>
      <c r="H3061" s="12"/>
      <c r="L3061" s="12"/>
    </row>
    <row r="3062" spans="1:12" ht="15.75" customHeight="1" x14ac:dyDescent="0.3">
      <c r="A3062" s="29" t="s">
        <v>606</v>
      </c>
      <c r="B3062" s="50" t="str">
        <f>VLOOKUP(A3062,'Sales Order'!A$2:B$1029,1,0)</f>
        <v>SO0368</v>
      </c>
      <c r="C3062" s="29" t="s">
        <v>78</v>
      </c>
      <c r="D3062" s="50" t="str">
        <f>VLOOKUP(C3062,Product!A$2:B$21,1,0)</f>
        <v>PD0018</v>
      </c>
      <c r="E3062" s="36">
        <v>144</v>
      </c>
      <c r="F3062" s="38">
        <v>57456000</v>
      </c>
      <c r="G3062" s="39" t="s">
        <v>5436</v>
      </c>
      <c r="H3062" s="12"/>
      <c r="L3062" s="12"/>
    </row>
    <row r="3063" spans="1:12" ht="15.75" customHeight="1" x14ac:dyDescent="0.3">
      <c r="A3063" s="29" t="s">
        <v>606</v>
      </c>
      <c r="B3063" s="50" t="str">
        <f>VLOOKUP(A3063,'Sales Order'!A$2:B$1029,1,0)</f>
        <v>SO0368</v>
      </c>
      <c r="C3063" s="29" t="s">
        <v>83</v>
      </c>
      <c r="D3063" s="50" t="str">
        <f>VLOOKUP(C3063,Product!A$2:B$21,1,0)</f>
        <v>PD0020</v>
      </c>
      <c r="E3063" s="36">
        <v>27</v>
      </c>
      <c r="F3063" s="38">
        <v>7453620</v>
      </c>
      <c r="G3063" s="39" t="s">
        <v>5437</v>
      </c>
      <c r="H3063" s="12"/>
      <c r="L3063" s="12"/>
    </row>
    <row r="3064" spans="1:12" ht="15.75" customHeight="1" x14ac:dyDescent="0.3">
      <c r="A3064" s="17" t="s">
        <v>611</v>
      </c>
      <c r="B3064" s="50" t="str">
        <f>VLOOKUP(A3064,'Sales Order'!A$2:B$1029,1,0)</f>
        <v>SO0373</v>
      </c>
      <c r="C3064" s="29" t="s">
        <v>83</v>
      </c>
      <c r="D3064" s="50" t="str">
        <f>VLOOKUP(C3064,Product!A$2:B$21,1,0)</f>
        <v>PD0020</v>
      </c>
      <c r="E3064" s="36">
        <v>44</v>
      </c>
      <c r="F3064" s="38">
        <v>10734240</v>
      </c>
      <c r="G3064" s="39" t="s">
        <v>5438</v>
      </c>
      <c r="H3064" s="12"/>
      <c r="L3064" s="12"/>
    </row>
    <row r="3065" spans="1:12" ht="15.75" customHeight="1" x14ac:dyDescent="0.3">
      <c r="A3065" s="29" t="s">
        <v>611</v>
      </c>
      <c r="B3065" s="50" t="str">
        <f>VLOOKUP(A3065,'Sales Order'!A$2:B$1029,1,0)</f>
        <v>SO0373</v>
      </c>
      <c r="C3065" s="29" t="s">
        <v>28</v>
      </c>
      <c r="D3065" s="50" t="str">
        <f>VLOOKUP(C3065,Product!A$2:B$21,1,0)</f>
        <v>PD0003</v>
      </c>
      <c r="E3065" s="36">
        <v>127</v>
      </c>
      <c r="F3065" s="38">
        <v>89860120</v>
      </c>
      <c r="G3065" s="39" t="s">
        <v>5439</v>
      </c>
      <c r="H3065" s="12"/>
      <c r="L3065" s="12"/>
    </row>
    <row r="3066" spans="1:12" ht="15.75" customHeight="1" x14ac:dyDescent="0.3">
      <c r="A3066" s="17" t="s">
        <v>612</v>
      </c>
      <c r="B3066" s="50" t="str">
        <f>VLOOKUP(A3066,'Sales Order'!A$2:B$1029,1,0)</f>
        <v>SO0374</v>
      </c>
      <c r="C3066" s="29" t="s">
        <v>69</v>
      </c>
      <c r="D3066" s="50" t="str">
        <f>VLOOKUP(C3066,Product!A$2:B$21,1,0)</f>
        <v>PD0015</v>
      </c>
      <c r="E3066" s="36">
        <v>35</v>
      </c>
      <c r="F3066" s="38">
        <v>4090590</v>
      </c>
      <c r="G3066" s="39" t="s">
        <v>5440</v>
      </c>
      <c r="H3066" s="12"/>
      <c r="L3066" s="12"/>
    </row>
    <row r="3067" spans="1:12" ht="15.75" customHeight="1" x14ac:dyDescent="0.3">
      <c r="A3067" s="29" t="s">
        <v>612</v>
      </c>
      <c r="B3067" s="50" t="str">
        <f>VLOOKUP(A3067,'Sales Order'!A$2:B$1029,1,0)</f>
        <v>SO0374</v>
      </c>
      <c r="C3067" s="29" t="s">
        <v>72</v>
      </c>
      <c r="D3067" s="50" t="str">
        <f>VLOOKUP(C3067,Product!A$2:B$21,1,0)</f>
        <v>PD0016</v>
      </c>
      <c r="E3067" s="36">
        <v>57</v>
      </c>
      <c r="F3067" s="38">
        <v>13392720</v>
      </c>
      <c r="G3067" s="39" t="s">
        <v>5441</v>
      </c>
      <c r="H3067" s="12"/>
      <c r="L3067" s="12"/>
    </row>
    <row r="3068" spans="1:12" ht="15.75" customHeight="1" x14ac:dyDescent="0.3">
      <c r="A3068" s="17" t="s">
        <v>614</v>
      </c>
      <c r="B3068" s="50" t="str">
        <f>VLOOKUP(A3068,'Sales Order'!A$2:B$1029,1,0)</f>
        <v>SO0376</v>
      </c>
      <c r="C3068" s="29" t="s">
        <v>65</v>
      </c>
      <c r="D3068" s="50" t="str">
        <f>VLOOKUP(C3068,Product!A$2:B$21,1,0)</f>
        <v>PD0014</v>
      </c>
      <c r="E3068" s="36">
        <v>26</v>
      </c>
      <c r="F3068" s="38">
        <v>6039540</v>
      </c>
      <c r="G3068" s="39" t="s">
        <v>5442</v>
      </c>
      <c r="H3068" s="12"/>
      <c r="L3068" s="12"/>
    </row>
    <row r="3069" spans="1:12" ht="15.75" customHeight="1" x14ac:dyDescent="0.3">
      <c r="A3069" s="29" t="s">
        <v>614</v>
      </c>
      <c r="B3069" s="50" t="str">
        <f>VLOOKUP(A3069,'Sales Order'!A$2:B$1029,1,0)</f>
        <v>SO0376</v>
      </c>
      <c r="C3069" s="29" t="s">
        <v>61</v>
      </c>
      <c r="D3069" s="50" t="str">
        <f>VLOOKUP(C3069,Product!A$2:B$21,1,0)</f>
        <v>PD0013</v>
      </c>
      <c r="E3069" s="36">
        <v>101</v>
      </c>
      <c r="F3069" s="38">
        <v>36768040</v>
      </c>
      <c r="G3069" s="39" t="s">
        <v>5443</v>
      </c>
      <c r="H3069" s="12"/>
      <c r="L3069" s="12"/>
    </row>
    <row r="3070" spans="1:12" ht="15.75" customHeight="1" x14ac:dyDescent="0.3">
      <c r="A3070" s="29" t="s">
        <v>614</v>
      </c>
      <c r="B3070" s="50" t="str">
        <f>VLOOKUP(A3070,'Sales Order'!A$2:B$1029,1,0)</f>
        <v>SO0376</v>
      </c>
      <c r="C3070" s="29" t="s">
        <v>75</v>
      </c>
      <c r="D3070" s="50" t="str">
        <f>VLOOKUP(C3070,Product!A$2:B$21,1,0)</f>
        <v>PD0017</v>
      </c>
      <c r="E3070" s="36">
        <v>48</v>
      </c>
      <c r="F3070" s="38">
        <v>104304000.00000001</v>
      </c>
      <c r="G3070" s="39" t="s">
        <v>5444</v>
      </c>
      <c r="H3070" s="12"/>
      <c r="L3070" s="12"/>
    </row>
    <row r="3071" spans="1:12" ht="15.75" customHeight="1" x14ac:dyDescent="0.3">
      <c r="A3071" s="29" t="s">
        <v>614</v>
      </c>
      <c r="B3071" s="50" t="str">
        <f>VLOOKUP(A3071,'Sales Order'!A$2:B$1029,1,0)</f>
        <v>SO0376</v>
      </c>
      <c r="C3071" s="29" t="s">
        <v>81</v>
      </c>
      <c r="D3071" s="50" t="str">
        <f>VLOOKUP(C3071,Product!A$2:B$21,1,0)</f>
        <v>PD0019</v>
      </c>
      <c r="E3071" s="36">
        <v>43</v>
      </c>
      <c r="F3071" s="38">
        <v>84397390</v>
      </c>
      <c r="G3071" s="39" t="s">
        <v>5445</v>
      </c>
      <c r="H3071" s="12"/>
      <c r="L3071" s="12"/>
    </row>
    <row r="3072" spans="1:12" ht="15.75" customHeight="1" x14ac:dyDescent="0.3">
      <c r="A3072" s="17" t="s">
        <v>622</v>
      </c>
      <c r="B3072" s="50" t="str">
        <f>VLOOKUP(A3072,'Sales Order'!A$2:B$1029,1,0)</f>
        <v>SO0384</v>
      </c>
      <c r="C3072" s="29" t="s">
        <v>35</v>
      </c>
      <c r="D3072" s="50" t="str">
        <f>VLOOKUP(C3072,Product!A$2:B$21,1,0)</f>
        <v>PD0005</v>
      </c>
      <c r="E3072" s="36">
        <v>29</v>
      </c>
      <c r="F3072" s="38">
        <v>57926050</v>
      </c>
      <c r="G3072" s="39" t="s">
        <v>5446</v>
      </c>
      <c r="H3072" s="12"/>
      <c r="L3072" s="12"/>
    </row>
    <row r="3073" spans="1:12" ht="15.75" customHeight="1" x14ac:dyDescent="0.3">
      <c r="A3073" s="29" t="s">
        <v>622</v>
      </c>
      <c r="B3073" s="50" t="str">
        <f>VLOOKUP(A3073,'Sales Order'!A$2:B$1029,1,0)</f>
        <v>SO0384</v>
      </c>
      <c r="C3073" s="29" t="s">
        <v>43</v>
      </c>
      <c r="D3073" s="50" t="str">
        <f>VLOOKUP(C3073,Product!A$2:B$21,1,0)</f>
        <v>PD0007</v>
      </c>
      <c r="E3073" s="36">
        <v>47</v>
      </c>
      <c r="F3073" s="38">
        <v>133856000</v>
      </c>
      <c r="G3073" s="39" t="s">
        <v>5447</v>
      </c>
      <c r="H3073" s="12"/>
      <c r="L3073" s="12"/>
    </row>
    <row r="3074" spans="1:12" ht="15.75" customHeight="1" x14ac:dyDescent="0.3">
      <c r="A3074" s="17" t="s">
        <v>629</v>
      </c>
      <c r="B3074" s="50" t="str">
        <f>VLOOKUP(A3074,'Sales Order'!A$2:B$1029,1,0)</f>
        <v>SO0391</v>
      </c>
      <c r="C3074" s="29" t="s">
        <v>83</v>
      </c>
      <c r="D3074" s="50" t="str">
        <f>VLOOKUP(C3074,Product!A$2:B$21,1,0)</f>
        <v>PD0020</v>
      </c>
      <c r="E3074" s="36">
        <v>106</v>
      </c>
      <c r="F3074" s="38">
        <v>31303920</v>
      </c>
      <c r="G3074" s="39" t="s">
        <v>5448</v>
      </c>
      <c r="H3074" s="12"/>
      <c r="L3074" s="12"/>
    </row>
    <row r="3075" spans="1:12" ht="15.75" customHeight="1" x14ac:dyDescent="0.3">
      <c r="A3075" s="29" t="s">
        <v>629</v>
      </c>
      <c r="B3075" s="50" t="str">
        <f>VLOOKUP(A3075,'Sales Order'!A$2:B$1029,1,0)</f>
        <v>SO0391</v>
      </c>
      <c r="C3075" s="29" t="s">
        <v>78</v>
      </c>
      <c r="D3075" s="50" t="str">
        <f>VLOOKUP(C3075,Product!A$2:B$21,1,0)</f>
        <v>PD0018</v>
      </c>
      <c r="E3075" s="36">
        <v>150</v>
      </c>
      <c r="F3075" s="38">
        <v>75012000</v>
      </c>
      <c r="G3075" s="39" t="s">
        <v>5449</v>
      </c>
      <c r="H3075" s="12"/>
      <c r="L3075" s="12"/>
    </row>
    <row r="3076" spans="1:12" ht="15.75" customHeight="1" x14ac:dyDescent="0.3">
      <c r="A3076" s="17" t="s">
        <v>641</v>
      </c>
      <c r="B3076" s="50" t="str">
        <f>VLOOKUP(A3076,'Sales Order'!A$2:B$1029,1,0)</f>
        <v>SO0403</v>
      </c>
      <c r="C3076" s="29" t="s">
        <v>40</v>
      </c>
      <c r="D3076" s="50" t="str">
        <f>VLOOKUP(C3076,Product!A$2:B$21,1,0)</f>
        <v>PD0006</v>
      </c>
      <c r="E3076" s="36">
        <v>139</v>
      </c>
      <c r="F3076" s="38">
        <v>27598450</v>
      </c>
      <c r="G3076" s="39" t="s">
        <v>5450</v>
      </c>
      <c r="H3076" s="12"/>
      <c r="L3076" s="12"/>
    </row>
    <row r="3077" spans="1:12" ht="15.75" customHeight="1" x14ac:dyDescent="0.3">
      <c r="A3077" s="29" t="s">
        <v>641</v>
      </c>
      <c r="B3077" s="50" t="str">
        <f>VLOOKUP(A3077,'Sales Order'!A$2:B$1029,1,0)</f>
        <v>SO0403</v>
      </c>
      <c r="C3077" s="29" t="s">
        <v>35</v>
      </c>
      <c r="D3077" s="50" t="str">
        <f>VLOOKUP(C3077,Product!A$2:B$21,1,0)</f>
        <v>PD0005</v>
      </c>
      <c r="E3077" s="36">
        <v>92</v>
      </c>
      <c r="F3077" s="38">
        <v>187804200</v>
      </c>
      <c r="G3077" s="39" t="s">
        <v>5451</v>
      </c>
      <c r="H3077" s="12"/>
      <c r="L3077" s="12"/>
    </row>
    <row r="3078" spans="1:12" ht="15.75" customHeight="1" x14ac:dyDescent="0.3">
      <c r="A3078" s="17" t="s">
        <v>646</v>
      </c>
      <c r="B3078" s="50" t="str">
        <f>VLOOKUP(A3078,'Sales Order'!A$2:B$1029,1,0)</f>
        <v>SO0408</v>
      </c>
      <c r="C3078" s="29" t="s">
        <v>61</v>
      </c>
      <c r="D3078" s="50" t="str">
        <f>VLOOKUP(C3078,Product!A$2:B$21,1,0)</f>
        <v>PD0013</v>
      </c>
      <c r="E3078" s="36">
        <v>34</v>
      </c>
      <c r="F3078" s="38">
        <v>13517380</v>
      </c>
      <c r="G3078" s="39" t="s">
        <v>5452</v>
      </c>
      <c r="H3078" s="12"/>
      <c r="L3078" s="12"/>
    </row>
    <row r="3079" spans="1:12" ht="15.75" customHeight="1" x14ac:dyDescent="0.3">
      <c r="A3079" s="29" t="s">
        <v>646</v>
      </c>
      <c r="B3079" s="50" t="str">
        <f>VLOOKUP(A3079,'Sales Order'!A$2:B$1029,1,0)</f>
        <v>SO0408</v>
      </c>
      <c r="C3079" s="29" t="s">
        <v>65</v>
      </c>
      <c r="D3079" s="50" t="str">
        <f>VLOOKUP(C3079,Product!A$2:B$21,1,0)</f>
        <v>PD0014</v>
      </c>
      <c r="E3079" s="36">
        <v>26</v>
      </c>
      <c r="F3079" s="38">
        <v>5831280</v>
      </c>
      <c r="G3079" s="39" t="s">
        <v>5453</v>
      </c>
      <c r="H3079" s="12"/>
      <c r="L3079" s="12"/>
    </row>
    <row r="3080" spans="1:12" ht="15.75" customHeight="1" x14ac:dyDescent="0.3">
      <c r="A3080" s="17" t="s">
        <v>648</v>
      </c>
      <c r="B3080" s="50" t="str">
        <f>VLOOKUP(A3080,'Sales Order'!A$2:B$1029,1,0)</f>
        <v>SO0410</v>
      </c>
      <c r="C3080" s="29" t="s">
        <v>58</v>
      </c>
      <c r="D3080" s="50" t="str">
        <f>VLOOKUP(C3080,Product!A$2:B$21,1,0)</f>
        <v>PD0012</v>
      </c>
      <c r="E3080" s="36">
        <v>121</v>
      </c>
      <c r="F3080" s="38">
        <v>620910290</v>
      </c>
      <c r="G3080" s="39" t="s">
        <v>5454</v>
      </c>
      <c r="H3080" s="12"/>
      <c r="L3080" s="12"/>
    </row>
    <row r="3081" spans="1:12" ht="15.75" customHeight="1" x14ac:dyDescent="0.3">
      <c r="A3081" s="29" t="s">
        <v>648</v>
      </c>
      <c r="B3081" s="50" t="str">
        <f>VLOOKUP(A3081,'Sales Order'!A$2:B$1029,1,0)</f>
        <v>SO0410</v>
      </c>
      <c r="C3081" s="29" t="s">
        <v>55</v>
      </c>
      <c r="D3081" s="50" t="str">
        <f>VLOOKUP(C3081,Product!A$2:B$21,1,0)</f>
        <v>PD0011</v>
      </c>
      <c r="E3081" s="36">
        <v>46</v>
      </c>
      <c r="F3081" s="38">
        <v>100918020</v>
      </c>
      <c r="G3081" s="39" t="s">
        <v>5455</v>
      </c>
      <c r="H3081" s="12"/>
      <c r="L3081" s="12"/>
    </row>
    <row r="3082" spans="1:12" ht="15.75" customHeight="1" x14ac:dyDescent="0.3">
      <c r="A3082" s="29" t="s">
        <v>650</v>
      </c>
      <c r="B3082" s="50" t="str">
        <f>VLOOKUP(A3082,'Sales Order'!A$2:B$1029,1,0)</f>
        <v>SO0412</v>
      </c>
      <c r="C3082" s="29" t="s">
        <v>65</v>
      </c>
      <c r="D3082" s="50" t="str">
        <f>VLOOKUP(C3082,Product!A$2:B$21,1,0)</f>
        <v>PD0014</v>
      </c>
      <c r="E3082" s="36">
        <v>95</v>
      </c>
      <c r="F3082" s="38">
        <v>22321200</v>
      </c>
      <c r="G3082" s="39" t="s">
        <v>5456</v>
      </c>
      <c r="H3082" s="12"/>
      <c r="L3082" s="12"/>
    </row>
    <row r="3083" spans="1:12" ht="15.75" customHeight="1" x14ac:dyDescent="0.3">
      <c r="A3083" s="29" t="s">
        <v>650</v>
      </c>
      <c r="B3083" s="50" t="str">
        <f>VLOOKUP(A3083,'Sales Order'!A$2:B$1029,1,0)</f>
        <v>SO0412</v>
      </c>
      <c r="C3083" s="29" t="s">
        <v>45</v>
      </c>
      <c r="D3083" s="50" t="str">
        <f>VLOOKUP(C3083,Product!A$2:B$21,1,0)</f>
        <v>PD0008</v>
      </c>
      <c r="E3083" s="36">
        <v>50</v>
      </c>
      <c r="F3083" s="38">
        <v>5662000</v>
      </c>
      <c r="G3083" s="39" t="s">
        <v>5457</v>
      </c>
      <c r="H3083" s="12"/>
      <c r="L3083" s="12"/>
    </row>
    <row r="3084" spans="1:12" ht="15.75" customHeight="1" x14ac:dyDescent="0.3">
      <c r="A3084" s="17" t="s">
        <v>651</v>
      </c>
      <c r="B3084" s="50" t="str">
        <f>VLOOKUP(A3084,'Sales Order'!A$2:B$1029,1,0)</f>
        <v>SO0413</v>
      </c>
      <c r="C3084" s="29" t="s">
        <v>65</v>
      </c>
      <c r="D3084" s="50" t="str">
        <f>VLOOKUP(C3084,Product!A$2:B$21,1,0)</f>
        <v>PD0014</v>
      </c>
      <c r="E3084" s="36">
        <v>50</v>
      </c>
      <c r="F3084" s="38">
        <v>11748000</v>
      </c>
      <c r="G3084" s="39" t="s">
        <v>5458</v>
      </c>
      <c r="H3084" s="12"/>
      <c r="L3084" s="12"/>
    </row>
    <row r="3085" spans="1:12" ht="15.75" customHeight="1" x14ac:dyDescent="0.3">
      <c r="A3085" s="29" t="s">
        <v>651</v>
      </c>
      <c r="B3085" s="50" t="str">
        <f>VLOOKUP(A3085,'Sales Order'!A$2:B$1029,1,0)</f>
        <v>SO0413</v>
      </c>
      <c r="C3085" s="29" t="s">
        <v>61</v>
      </c>
      <c r="D3085" s="50" t="str">
        <f>VLOOKUP(C3085,Product!A$2:B$21,1,0)</f>
        <v>PD0013</v>
      </c>
      <c r="E3085" s="36">
        <v>88</v>
      </c>
      <c r="F3085" s="38">
        <v>32035520</v>
      </c>
      <c r="G3085" s="39" t="s">
        <v>5459</v>
      </c>
      <c r="H3085" s="12"/>
      <c r="L3085" s="12"/>
    </row>
    <row r="3086" spans="1:12" ht="15.75" customHeight="1" x14ac:dyDescent="0.3">
      <c r="A3086" s="29" t="s">
        <v>655</v>
      </c>
      <c r="B3086" s="50" t="str">
        <f>VLOOKUP(A3086,'Sales Order'!A$2:B$1029,1,0)</f>
        <v>SO0417</v>
      </c>
      <c r="C3086" s="29" t="s">
        <v>43</v>
      </c>
      <c r="D3086" s="50" t="str">
        <f>VLOOKUP(C3086,Product!A$2:B$21,1,0)</f>
        <v>PD0007</v>
      </c>
      <c r="E3086" s="36">
        <v>123</v>
      </c>
      <c r="F3086" s="38">
        <v>369984000</v>
      </c>
      <c r="G3086" s="39" t="s">
        <v>5460</v>
      </c>
      <c r="H3086" s="12"/>
      <c r="L3086" s="12"/>
    </row>
    <row r="3087" spans="1:12" ht="15.75" customHeight="1" x14ac:dyDescent="0.3">
      <c r="A3087" s="29" t="s">
        <v>655</v>
      </c>
      <c r="B3087" s="50" t="str">
        <f>VLOOKUP(A3087,'Sales Order'!A$2:B$1029,1,0)</f>
        <v>SO0417</v>
      </c>
      <c r="C3087" s="29" t="s">
        <v>35</v>
      </c>
      <c r="D3087" s="50" t="str">
        <f>VLOOKUP(C3087,Product!A$2:B$21,1,0)</f>
        <v>PD0005</v>
      </c>
      <c r="E3087" s="36">
        <v>74</v>
      </c>
      <c r="F3087" s="38">
        <v>141314100</v>
      </c>
      <c r="G3087" s="39" t="s">
        <v>5461</v>
      </c>
      <c r="H3087" s="12"/>
      <c r="L3087" s="12"/>
    </row>
    <row r="3088" spans="1:12" ht="15.75" customHeight="1" x14ac:dyDescent="0.3">
      <c r="A3088" s="17" t="s">
        <v>658</v>
      </c>
      <c r="B3088" s="50" t="str">
        <f>VLOOKUP(A3088,'Sales Order'!A$2:B$1029,1,0)</f>
        <v>SO0420</v>
      </c>
      <c r="C3088" s="29" t="s">
        <v>40</v>
      </c>
      <c r="D3088" s="50" t="str">
        <f>VLOOKUP(C3088,Product!A$2:B$21,1,0)</f>
        <v>PD0006</v>
      </c>
      <c r="E3088" s="36">
        <v>44</v>
      </c>
      <c r="F3088" s="38">
        <v>7264840</v>
      </c>
      <c r="G3088" s="39" t="s">
        <v>5462</v>
      </c>
      <c r="H3088" s="12"/>
      <c r="L3088" s="12"/>
    </row>
    <row r="3089" spans="1:12" ht="15.75" customHeight="1" x14ac:dyDescent="0.3">
      <c r="A3089" s="29" t="s">
        <v>658</v>
      </c>
      <c r="B3089" s="50" t="str">
        <f>VLOOKUP(A3089,'Sales Order'!A$2:B$1029,1,0)</f>
        <v>SO0420</v>
      </c>
      <c r="C3089" s="29" t="s">
        <v>35</v>
      </c>
      <c r="D3089" s="50" t="str">
        <f>VLOOKUP(C3089,Product!A$2:B$21,1,0)</f>
        <v>PD0005</v>
      </c>
      <c r="E3089" s="36">
        <v>105</v>
      </c>
      <c r="F3089" s="38">
        <v>188989500</v>
      </c>
      <c r="G3089" s="39" t="s">
        <v>5463</v>
      </c>
      <c r="H3089" s="12"/>
      <c r="L3089" s="12"/>
    </row>
    <row r="3090" spans="1:12" ht="15.75" customHeight="1" x14ac:dyDescent="0.3">
      <c r="A3090" s="17" t="s">
        <v>662</v>
      </c>
      <c r="B3090" s="50" t="str">
        <f>VLOOKUP(A3090,'Sales Order'!A$2:B$1029,1,0)</f>
        <v>SO0424</v>
      </c>
      <c r="C3090" s="29" t="s">
        <v>83</v>
      </c>
      <c r="D3090" s="50" t="str">
        <f>VLOOKUP(C3090,Product!A$2:B$21,1,0)</f>
        <v>PD0020</v>
      </c>
      <c r="E3090" s="36">
        <v>144</v>
      </c>
      <c r="F3090" s="38">
        <v>43912800</v>
      </c>
      <c r="G3090" s="39" t="s">
        <v>5464</v>
      </c>
      <c r="H3090" s="12"/>
      <c r="L3090" s="12"/>
    </row>
    <row r="3091" spans="1:12" ht="15.75" customHeight="1" x14ac:dyDescent="0.3">
      <c r="A3091" s="29" t="s">
        <v>662</v>
      </c>
      <c r="B3091" s="50" t="str">
        <f>VLOOKUP(A3091,'Sales Order'!A$2:B$1029,1,0)</f>
        <v>SO0424</v>
      </c>
      <c r="C3091" s="29" t="s">
        <v>78</v>
      </c>
      <c r="D3091" s="50" t="str">
        <f>VLOOKUP(C3091,Product!A$2:B$21,1,0)</f>
        <v>PD0018</v>
      </c>
      <c r="E3091" s="36">
        <v>77</v>
      </c>
      <c r="F3091" s="38">
        <v>36457960</v>
      </c>
      <c r="G3091" s="39" t="s">
        <v>5465</v>
      </c>
      <c r="H3091" s="12"/>
      <c r="L3091" s="12"/>
    </row>
    <row r="3092" spans="1:12" ht="15.75" customHeight="1" x14ac:dyDescent="0.3">
      <c r="A3092" s="29" t="s">
        <v>665</v>
      </c>
      <c r="B3092" s="50" t="str">
        <f>VLOOKUP(A3092,'Sales Order'!A$2:B$1029,1,0)</f>
        <v>SO0427</v>
      </c>
      <c r="C3092" s="29" t="s">
        <v>65</v>
      </c>
      <c r="D3092" s="50" t="str">
        <f>VLOOKUP(C3092,Product!A$2:B$21,1,0)</f>
        <v>PD0014</v>
      </c>
      <c r="E3092" s="36">
        <v>46</v>
      </c>
      <c r="F3092" s="38">
        <v>10685340</v>
      </c>
      <c r="G3092" s="39" t="s">
        <v>5466</v>
      </c>
      <c r="H3092" s="12"/>
      <c r="L3092" s="12"/>
    </row>
    <row r="3093" spans="1:12" ht="15.75" customHeight="1" x14ac:dyDescent="0.3">
      <c r="A3093" s="29" t="s">
        <v>665</v>
      </c>
      <c r="B3093" s="50" t="str">
        <f>VLOOKUP(A3093,'Sales Order'!A$2:B$1029,1,0)</f>
        <v>SO0427</v>
      </c>
      <c r="C3093" s="29" t="s">
        <v>61</v>
      </c>
      <c r="D3093" s="50" t="str">
        <f>VLOOKUP(C3093,Product!A$2:B$21,1,0)</f>
        <v>PD0013</v>
      </c>
      <c r="E3093" s="36">
        <v>84</v>
      </c>
      <c r="F3093" s="38">
        <v>32993520.000000004</v>
      </c>
      <c r="G3093" s="39" t="s">
        <v>5467</v>
      </c>
      <c r="H3093" s="12"/>
      <c r="L3093" s="12"/>
    </row>
    <row r="3094" spans="1:12" ht="15.75" customHeight="1" x14ac:dyDescent="0.3">
      <c r="A3094" s="29" t="s">
        <v>667</v>
      </c>
      <c r="B3094" s="50" t="str">
        <f>VLOOKUP(A3094,'Sales Order'!A$2:B$1029,1,0)</f>
        <v>SO0429</v>
      </c>
      <c r="C3094" s="29" t="s">
        <v>43</v>
      </c>
      <c r="D3094" s="50" t="str">
        <f>VLOOKUP(C3094,Product!A$2:B$21,1,0)</f>
        <v>PD0007</v>
      </c>
      <c r="E3094" s="36">
        <v>66</v>
      </c>
      <c r="F3094" s="38">
        <v>187968000</v>
      </c>
      <c r="G3094" s="39" t="s">
        <v>5468</v>
      </c>
      <c r="H3094" s="12"/>
      <c r="L3094" s="12"/>
    </row>
    <row r="3095" spans="1:12" ht="15.75" customHeight="1" x14ac:dyDescent="0.3">
      <c r="A3095" s="29" t="s">
        <v>667</v>
      </c>
      <c r="B3095" s="50" t="str">
        <f>VLOOKUP(A3095,'Sales Order'!A$2:B$1029,1,0)</f>
        <v>SO0429</v>
      </c>
      <c r="C3095" s="29" t="s">
        <v>35</v>
      </c>
      <c r="D3095" s="50" t="str">
        <f>VLOOKUP(C3095,Product!A$2:B$21,1,0)</f>
        <v>PD0005</v>
      </c>
      <c r="E3095" s="36">
        <v>49</v>
      </c>
      <c r="F3095" s="38">
        <v>94648400</v>
      </c>
      <c r="G3095" s="39" t="s">
        <v>5469</v>
      </c>
      <c r="H3095" s="12"/>
      <c r="L3095" s="12"/>
    </row>
    <row r="3096" spans="1:12" ht="15.75" customHeight="1" x14ac:dyDescent="0.3">
      <c r="A3096" s="29" t="s">
        <v>671</v>
      </c>
      <c r="B3096" s="50" t="str">
        <f>VLOOKUP(A3096,'Sales Order'!A$2:B$1029,1,0)</f>
        <v>SO0433</v>
      </c>
      <c r="C3096" s="29" t="s">
        <v>48</v>
      </c>
      <c r="D3096" s="50" t="str">
        <f>VLOOKUP(C3096,Product!A$2:B$21,1,0)</f>
        <v>PD0009</v>
      </c>
      <c r="E3096" s="36">
        <v>112</v>
      </c>
      <c r="F3096" s="38">
        <v>11124960</v>
      </c>
      <c r="G3096" s="39" t="s">
        <v>5470</v>
      </c>
      <c r="H3096" s="12"/>
      <c r="L3096" s="12"/>
    </row>
    <row r="3097" spans="1:12" ht="15.75" customHeight="1" x14ac:dyDescent="0.3">
      <c r="A3097" s="29" t="s">
        <v>671</v>
      </c>
      <c r="B3097" s="50" t="str">
        <f>VLOOKUP(A3097,'Sales Order'!A$2:B$1029,1,0)</f>
        <v>SO0433</v>
      </c>
      <c r="C3097" s="29" t="s">
        <v>52</v>
      </c>
      <c r="D3097" s="50" t="str">
        <f>VLOOKUP(C3097,Product!A$2:B$21,1,0)</f>
        <v>PD0010</v>
      </c>
      <c r="E3097" s="36">
        <v>143</v>
      </c>
      <c r="F3097" s="38">
        <v>39503750</v>
      </c>
      <c r="G3097" s="39" t="s">
        <v>5471</v>
      </c>
      <c r="H3097" s="12"/>
      <c r="L3097" s="12"/>
    </row>
    <row r="3098" spans="1:12" ht="15.75" customHeight="1" x14ac:dyDescent="0.3">
      <c r="A3098" s="17" t="s">
        <v>676</v>
      </c>
      <c r="B3098" s="50" t="str">
        <f>VLOOKUP(A3098,'Sales Order'!A$2:B$1029,1,0)</f>
        <v>SO0438</v>
      </c>
      <c r="C3098" s="29" t="s">
        <v>52</v>
      </c>
      <c r="D3098" s="50" t="str">
        <f>VLOOKUP(C3098,Product!A$2:B$21,1,0)</f>
        <v>PD0010</v>
      </c>
      <c r="E3098" s="36">
        <v>134</v>
      </c>
      <c r="F3098" s="38">
        <v>39195000</v>
      </c>
      <c r="G3098" s="39" t="s">
        <v>5472</v>
      </c>
      <c r="H3098" s="12"/>
      <c r="L3098" s="12"/>
    </row>
    <row r="3099" spans="1:12" ht="15.75" customHeight="1" x14ac:dyDescent="0.3">
      <c r="A3099" s="29" t="s">
        <v>676</v>
      </c>
      <c r="B3099" s="50" t="str">
        <f>VLOOKUP(A3099,'Sales Order'!A$2:B$1029,1,0)</f>
        <v>SO0438</v>
      </c>
      <c r="C3099" s="29" t="s">
        <v>48</v>
      </c>
      <c r="D3099" s="50" t="str">
        <f>VLOOKUP(C3099,Product!A$2:B$21,1,0)</f>
        <v>PD0009</v>
      </c>
      <c r="E3099" s="36">
        <v>142</v>
      </c>
      <c r="F3099" s="38">
        <v>15387120</v>
      </c>
      <c r="G3099" s="39" t="s">
        <v>5473</v>
      </c>
      <c r="H3099" s="12"/>
      <c r="L3099" s="12"/>
    </row>
    <row r="3100" spans="1:12" ht="15.75" customHeight="1" x14ac:dyDescent="0.3">
      <c r="A3100" s="17" t="s">
        <v>678</v>
      </c>
      <c r="B3100" s="50" t="str">
        <f>VLOOKUP(A3100,'Sales Order'!A$2:B$1029,1,0)</f>
        <v>SO0440</v>
      </c>
      <c r="C3100" s="29" t="s">
        <v>48</v>
      </c>
      <c r="D3100" s="50" t="str">
        <f>VLOOKUP(C3100,Product!A$2:B$21,1,0)</f>
        <v>PD0009</v>
      </c>
      <c r="E3100" s="36">
        <v>28</v>
      </c>
      <c r="F3100" s="38">
        <v>3070200</v>
      </c>
      <c r="G3100" s="39" t="s">
        <v>5474</v>
      </c>
      <c r="H3100" s="12"/>
      <c r="L3100" s="12"/>
    </row>
    <row r="3101" spans="1:12" ht="15.75" customHeight="1" x14ac:dyDescent="0.3">
      <c r="A3101" s="29" t="s">
        <v>678</v>
      </c>
      <c r="B3101" s="50" t="str">
        <f>VLOOKUP(A3101,'Sales Order'!A$2:B$1029,1,0)</f>
        <v>SO0440</v>
      </c>
      <c r="C3101" s="29" t="s">
        <v>43</v>
      </c>
      <c r="D3101" s="50" t="str">
        <f>VLOOKUP(C3101,Product!A$2:B$21,1,0)</f>
        <v>PD0007</v>
      </c>
      <c r="E3101" s="36">
        <v>135</v>
      </c>
      <c r="F3101" s="38">
        <v>324000000</v>
      </c>
      <c r="G3101" s="39" t="s">
        <v>5475</v>
      </c>
      <c r="H3101" s="12"/>
      <c r="L3101" s="12"/>
    </row>
    <row r="3102" spans="1:12" ht="15.75" customHeight="1" x14ac:dyDescent="0.3">
      <c r="A3102" s="29" t="s">
        <v>678</v>
      </c>
      <c r="B3102" s="50" t="str">
        <f>VLOOKUP(A3102,'Sales Order'!A$2:B$1029,1,0)</f>
        <v>SO0440</v>
      </c>
      <c r="C3102" s="29" t="s">
        <v>52</v>
      </c>
      <c r="D3102" s="50" t="str">
        <f>VLOOKUP(C3102,Product!A$2:B$21,1,0)</f>
        <v>PD0010</v>
      </c>
      <c r="E3102" s="36">
        <v>124</v>
      </c>
      <c r="F3102" s="38">
        <v>30225000</v>
      </c>
      <c r="G3102" s="39" t="s">
        <v>5476</v>
      </c>
      <c r="H3102" s="12"/>
      <c r="L3102" s="12"/>
    </row>
    <row r="3103" spans="1:12" ht="15.75" customHeight="1" x14ac:dyDescent="0.3">
      <c r="A3103" s="29" t="s">
        <v>678</v>
      </c>
      <c r="B3103" s="50" t="str">
        <f>VLOOKUP(A3103,'Sales Order'!A$2:B$1029,1,0)</f>
        <v>SO0440</v>
      </c>
      <c r="C3103" s="29" t="s">
        <v>35</v>
      </c>
      <c r="D3103" s="50" t="str">
        <f>VLOOKUP(C3103,Product!A$2:B$21,1,0)</f>
        <v>PD0005</v>
      </c>
      <c r="E3103" s="36">
        <v>64</v>
      </c>
      <c r="F3103" s="38">
        <v>108169600</v>
      </c>
      <c r="G3103" s="39" t="s">
        <v>5477</v>
      </c>
      <c r="H3103" s="12"/>
      <c r="L3103" s="12"/>
    </row>
    <row r="3104" spans="1:12" ht="15.75" customHeight="1" x14ac:dyDescent="0.3">
      <c r="A3104" s="29" t="s">
        <v>683</v>
      </c>
      <c r="B3104" s="50" t="str">
        <f>VLOOKUP(A3104,'Sales Order'!A$2:B$1029,1,0)</f>
        <v>SO0445</v>
      </c>
      <c r="C3104" s="29" t="s">
        <v>65</v>
      </c>
      <c r="D3104" s="50" t="str">
        <f>VLOOKUP(C3104,Product!A$2:B$21,1,0)</f>
        <v>PD0014</v>
      </c>
      <c r="E3104" s="36">
        <v>39</v>
      </c>
      <c r="F3104" s="38">
        <v>8226270</v>
      </c>
      <c r="G3104" s="39" t="s">
        <v>5478</v>
      </c>
      <c r="H3104" s="12"/>
      <c r="L3104" s="12"/>
    </row>
    <row r="3105" spans="1:12" ht="15.75" customHeight="1" x14ac:dyDescent="0.3">
      <c r="A3105" s="29" t="s">
        <v>683</v>
      </c>
      <c r="B3105" s="50" t="str">
        <f>VLOOKUP(A3105,'Sales Order'!A$2:B$1029,1,0)</f>
        <v>SO0445</v>
      </c>
      <c r="C3105" s="29" t="s">
        <v>61</v>
      </c>
      <c r="D3105" s="50" t="str">
        <f>VLOOKUP(C3105,Product!A$2:B$21,1,0)</f>
        <v>PD0013</v>
      </c>
      <c r="E3105" s="36">
        <v>125</v>
      </c>
      <c r="F3105" s="38">
        <v>46103750</v>
      </c>
      <c r="G3105" s="39" t="s">
        <v>5479</v>
      </c>
      <c r="H3105" s="12"/>
      <c r="L3105" s="12"/>
    </row>
    <row r="3106" spans="1:12" ht="15.75" customHeight="1" x14ac:dyDescent="0.3">
      <c r="A3106" s="17" t="s">
        <v>690</v>
      </c>
      <c r="B3106" s="50" t="str">
        <f>VLOOKUP(A3106,'Sales Order'!A$2:B$1029,1,0)</f>
        <v>SO0452</v>
      </c>
      <c r="C3106" s="29" t="s">
        <v>45</v>
      </c>
      <c r="D3106" s="50" t="str">
        <f>VLOOKUP(C3106,Product!A$2:B$21,1,0)</f>
        <v>PD0008</v>
      </c>
      <c r="E3106" s="36">
        <v>35</v>
      </c>
      <c r="F3106" s="38">
        <v>4119850</v>
      </c>
      <c r="G3106" s="39" t="s">
        <v>5480</v>
      </c>
      <c r="H3106" s="12"/>
      <c r="L3106" s="12"/>
    </row>
    <row r="3107" spans="1:12" ht="15.75" customHeight="1" x14ac:dyDescent="0.3">
      <c r="A3107" s="29" t="s">
        <v>690</v>
      </c>
      <c r="B3107" s="50" t="str">
        <f>VLOOKUP(A3107,'Sales Order'!A$2:B$1029,1,0)</f>
        <v>SO0452</v>
      </c>
      <c r="C3107" s="29" t="s">
        <v>52</v>
      </c>
      <c r="D3107" s="50" t="str">
        <f>VLOOKUP(C3107,Product!A$2:B$21,1,0)</f>
        <v>PD0010</v>
      </c>
      <c r="E3107" s="36">
        <v>138</v>
      </c>
      <c r="F3107" s="38">
        <v>41710500</v>
      </c>
      <c r="G3107" s="39" t="s">
        <v>5481</v>
      </c>
      <c r="H3107" s="12"/>
      <c r="L3107" s="12"/>
    </row>
    <row r="3108" spans="1:12" ht="15.75" customHeight="1" x14ac:dyDescent="0.3">
      <c r="A3108" s="29" t="s">
        <v>694</v>
      </c>
      <c r="B3108" s="50" t="str">
        <f>VLOOKUP(A3108,'Sales Order'!A$2:B$1029,1,0)</f>
        <v>SO0456</v>
      </c>
      <c r="C3108" s="29" t="s">
        <v>83</v>
      </c>
      <c r="D3108" s="50" t="str">
        <f>VLOOKUP(C3108,Product!A$2:B$21,1,0)</f>
        <v>PD0020</v>
      </c>
      <c r="E3108" s="36">
        <v>141</v>
      </c>
      <c r="F3108" s="38">
        <v>40282290</v>
      </c>
      <c r="G3108" s="39" t="s">
        <v>5482</v>
      </c>
      <c r="H3108" s="12"/>
      <c r="L3108" s="12"/>
    </row>
    <row r="3109" spans="1:12" ht="15.75" customHeight="1" x14ac:dyDescent="0.3">
      <c r="A3109" s="29" t="s">
        <v>694</v>
      </c>
      <c r="B3109" s="50" t="str">
        <f>VLOOKUP(A3109,'Sales Order'!A$2:B$1029,1,0)</f>
        <v>SO0456</v>
      </c>
      <c r="C3109" s="29" t="s">
        <v>45</v>
      </c>
      <c r="D3109" s="50" t="str">
        <f>VLOOKUP(C3109,Product!A$2:B$21,1,0)</f>
        <v>PD0008</v>
      </c>
      <c r="E3109" s="36">
        <v>122</v>
      </c>
      <c r="F3109" s="38">
        <v>14905960.000000002</v>
      </c>
      <c r="G3109" s="39" t="s">
        <v>5483</v>
      </c>
      <c r="H3109" s="12"/>
      <c r="L3109" s="12"/>
    </row>
    <row r="3110" spans="1:12" ht="15.75" customHeight="1" x14ac:dyDescent="0.3">
      <c r="A3110" s="17" t="s">
        <v>703</v>
      </c>
      <c r="B3110" s="50" t="str">
        <f>VLOOKUP(A3110,'Sales Order'!A$2:B$1029,1,0)</f>
        <v>SO0465</v>
      </c>
      <c r="C3110" s="29" t="s">
        <v>25</v>
      </c>
      <c r="D3110" s="50" t="str">
        <f>VLOOKUP(C3110,Product!A$2:B$21,1,0)</f>
        <v>PD0002</v>
      </c>
      <c r="E3110" s="36">
        <v>28</v>
      </c>
      <c r="F3110" s="38">
        <v>448000</v>
      </c>
      <c r="G3110" s="39" t="s">
        <v>5484</v>
      </c>
      <c r="H3110" s="12"/>
      <c r="L3110" s="12"/>
    </row>
    <row r="3111" spans="1:12" ht="15.75" customHeight="1" x14ac:dyDescent="0.3">
      <c r="A3111" s="29" t="s">
        <v>703</v>
      </c>
      <c r="B3111" s="50" t="str">
        <f>VLOOKUP(A3111,'Sales Order'!A$2:B$1029,1,0)</f>
        <v>SO0465</v>
      </c>
      <c r="C3111" s="29" t="s">
        <v>45</v>
      </c>
      <c r="D3111" s="50" t="str">
        <f>VLOOKUP(C3111,Product!A$2:B$21,1,0)</f>
        <v>PD0008</v>
      </c>
      <c r="E3111" s="36">
        <v>119</v>
      </c>
      <c r="F3111" s="38">
        <v>15603280</v>
      </c>
      <c r="G3111" s="39" t="s">
        <v>5485</v>
      </c>
      <c r="H3111" s="12"/>
      <c r="L3111" s="12"/>
    </row>
    <row r="3112" spans="1:12" ht="15.75" customHeight="1" x14ac:dyDescent="0.3">
      <c r="A3112" s="17" t="s">
        <v>707</v>
      </c>
      <c r="B3112" s="50" t="str">
        <f>VLOOKUP(A3112,'Sales Order'!A$2:B$1029,1,0)</f>
        <v>SO0469</v>
      </c>
      <c r="C3112" s="29" t="s">
        <v>55</v>
      </c>
      <c r="D3112" s="50" t="str">
        <f>VLOOKUP(C3112,Product!A$2:B$21,1,0)</f>
        <v>PD0011</v>
      </c>
      <c r="E3112" s="36">
        <v>62</v>
      </c>
      <c r="F3112" s="38">
        <v>112618660</v>
      </c>
      <c r="G3112" s="39" t="s">
        <v>5486</v>
      </c>
      <c r="H3112" s="12"/>
      <c r="L3112" s="12"/>
    </row>
    <row r="3113" spans="1:12" ht="15.75" customHeight="1" x14ac:dyDescent="0.3">
      <c r="A3113" s="29" t="s">
        <v>707</v>
      </c>
      <c r="B3113" s="50" t="str">
        <f>VLOOKUP(A3113,'Sales Order'!A$2:B$1029,1,0)</f>
        <v>SO0469</v>
      </c>
      <c r="C3113" s="29" t="s">
        <v>58</v>
      </c>
      <c r="D3113" s="50" t="str">
        <f>VLOOKUP(C3113,Product!A$2:B$21,1,0)</f>
        <v>PD0012</v>
      </c>
      <c r="E3113" s="36">
        <v>119</v>
      </c>
      <c r="F3113" s="38">
        <v>590516080</v>
      </c>
      <c r="G3113" s="39" t="s">
        <v>5487</v>
      </c>
      <c r="H3113" s="12"/>
      <c r="L3113" s="12"/>
    </row>
    <row r="3114" spans="1:12" ht="15.75" customHeight="1" x14ac:dyDescent="0.3">
      <c r="A3114" s="17" t="s">
        <v>712</v>
      </c>
      <c r="B3114" s="50" t="str">
        <f>VLOOKUP(A3114,'Sales Order'!A$2:B$1029,1,0)</f>
        <v>SO0474</v>
      </c>
      <c r="C3114" s="29" t="s">
        <v>35</v>
      </c>
      <c r="D3114" s="50" t="str">
        <f>VLOOKUP(C3114,Product!A$2:B$21,1,0)</f>
        <v>PD0005</v>
      </c>
      <c r="E3114" s="36">
        <v>31</v>
      </c>
      <c r="F3114" s="38">
        <v>54436000</v>
      </c>
      <c r="G3114" s="39" t="s">
        <v>5488</v>
      </c>
      <c r="H3114" s="12"/>
      <c r="L3114" s="12"/>
    </row>
    <row r="3115" spans="1:12" ht="15.75" customHeight="1" x14ac:dyDescent="0.3">
      <c r="A3115" s="29" t="s">
        <v>712</v>
      </c>
      <c r="B3115" s="50" t="str">
        <f>VLOOKUP(A3115,'Sales Order'!A$2:B$1029,1,0)</f>
        <v>SO0474</v>
      </c>
      <c r="C3115" s="29" t="s">
        <v>43</v>
      </c>
      <c r="D3115" s="50" t="str">
        <f>VLOOKUP(C3115,Product!A$2:B$21,1,0)</f>
        <v>PD0007</v>
      </c>
      <c r="E3115" s="36">
        <v>105</v>
      </c>
      <c r="F3115" s="38">
        <v>302400000</v>
      </c>
      <c r="G3115" s="39" t="s">
        <v>5489</v>
      </c>
      <c r="H3115" s="12"/>
      <c r="L3115" s="12"/>
    </row>
    <row r="3116" spans="1:12" ht="15.75" customHeight="1" x14ac:dyDescent="0.3">
      <c r="A3116" s="29" t="s">
        <v>713</v>
      </c>
      <c r="B3116" s="50" t="str">
        <f>VLOOKUP(A3116,'Sales Order'!A$2:B$1029,1,0)</f>
        <v>SO0475</v>
      </c>
      <c r="C3116" s="29" t="s">
        <v>81</v>
      </c>
      <c r="D3116" s="50" t="str">
        <f>VLOOKUP(C3116,Product!A$2:B$21,1,0)</f>
        <v>PD0019</v>
      </c>
      <c r="E3116" s="36">
        <v>99</v>
      </c>
      <c r="F3116" s="38">
        <v>214498350</v>
      </c>
      <c r="G3116" s="39" t="s">
        <v>5490</v>
      </c>
      <c r="H3116" s="12"/>
      <c r="L3116" s="12"/>
    </row>
    <row r="3117" spans="1:12" ht="15.75" customHeight="1" x14ac:dyDescent="0.3">
      <c r="A3117" s="29" t="s">
        <v>713</v>
      </c>
      <c r="B3117" s="50" t="str">
        <f>VLOOKUP(A3117,'Sales Order'!A$2:B$1029,1,0)</f>
        <v>SO0475</v>
      </c>
      <c r="C3117" s="29" t="s">
        <v>72</v>
      </c>
      <c r="D3117" s="50" t="str">
        <f>VLOOKUP(C3117,Product!A$2:B$21,1,0)</f>
        <v>PD0016</v>
      </c>
      <c r="E3117" s="36">
        <v>32</v>
      </c>
      <c r="F3117" s="38">
        <v>6749760</v>
      </c>
      <c r="G3117" s="39" t="s">
        <v>5491</v>
      </c>
      <c r="H3117" s="12"/>
      <c r="L3117" s="12"/>
    </row>
    <row r="3118" spans="1:12" ht="15.75" customHeight="1" x14ac:dyDescent="0.3">
      <c r="A3118" s="17" t="s">
        <v>723</v>
      </c>
      <c r="B3118" s="50" t="str">
        <f>VLOOKUP(A3118,'Sales Order'!A$2:B$1029,1,0)</f>
        <v>SO0485</v>
      </c>
      <c r="C3118" s="29" t="s">
        <v>58</v>
      </c>
      <c r="D3118" s="50" t="str">
        <f>VLOOKUP(C3118,Product!A$2:B$21,1,0)</f>
        <v>PD0012</v>
      </c>
      <c r="E3118" s="36">
        <v>75</v>
      </c>
      <c r="F3118" s="38">
        <v>367944750</v>
      </c>
      <c r="G3118" s="39" t="s">
        <v>5492</v>
      </c>
      <c r="H3118" s="12"/>
      <c r="L3118" s="12"/>
    </row>
    <row r="3119" spans="1:12" ht="15.75" customHeight="1" x14ac:dyDescent="0.3">
      <c r="A3119" s="29" t="s">
        <v>723</v>
      </c>
      <c r="B3119" s="50" t="str">
        <f>VLOOKUP(A3119,'Sales Order'!A$2:B$1029,1,0)</f>
        <v>SO0485</v>
      </c>
      <c r="C3119" s="29" t="s">
        <v>40</v>
      </c>
      <c r="D3119" s="50" t="str">
        <f>VLOOKUP(C3119,Product!A$2:B$21,1,0)</f>
        <v>PD0006</v>
      </c>
      <c r="E3119" s="36">
        <v>103</v>
      </c>
      <c r="F3119" s="38">
        <v>20020110</v>
      </c>
      <c r="G3119" s="39" t="s">
        <v>5493</v>
      </c>
      <c r="H3119" s="12"/>
      <c r="L3119" s="12"/>
    </row>
    <row r="3120" spans="1:12" ht="15.75" customHeight="1" x14ac:dyDescent="0.3">
      <c r="A3120" s="29" t="s">
        <v>723</v>
      </c>
      <c r="B3120" s="50" t="str">
        <f>VLOOKUP(A3120,'Sales Order'!A$2:B$1029,1,0)</f>
        <v>SO0485</v>
      </c>
      <c r="C3120" s="29" t="s">
        <v>45</v>
      </c>
      <c r="D3120" s="50" t="str">
        <f>VLOOKUP(C3120,Product!A$2:B$21,1,0)</f>
        <v>PD0008</v>
      </c>
      <c r="E3120" s="36">
        <v>138</v>
      </c>
      <c r="F3120" s="38">
        <v>17066460</v>
      </c>
      <c r="G3120" s="39" t="s">
        <v>5494</v>
      </c>
      <c r="H3120" s="12"/>
      <c r="L3120" s="12"/>
    </row>
    <row r="3121" spans="1:12" ht="15.75" customHeight="1" x14ac:dyDescent="0.3">
      <c r="A3121" s="29" t="s">
        <v>723</v>
      </c>
      <c r="B3121" s="50" t="str">
        <f>VLOOKUP(A3121,'Sales Order'!A$2:B$1029,1,0)</f>
        <v>SO0485</v>
      </c>
      <c r="C3121" s="29" t="s">
        <v>55</v>
      </c>
      <c r="D3121" s="50" t="str">
        <f>VLOOKUP(C3121,Product!A$2:B$21,1,0)</f>
        <v>PD0011</v>
      </c>
      <c r="E3121" s="36">
        <v>29</v>
      </c>
      <c r="F3121" s="38">
        <v>55412910</v>
      </c>
      <c r="G3121" s="39" t="s">
        <v>5495</v>
      </c>
      <c r="H3121" s="12"/>
      <c r="L3121" s="12"/>
    </row>
    <row r="3122" spans="1:12" ht="15.75" customHeight="1" x14ac:dyDescent="0.3">
      <c r="A3122" s="29" t="s">
        <v>723</v>
      </c>
      <c r="B3122" s="50" t="str">
        <f>VLOOKUP(A3122,'Sales Order'!A$2:B$1029,1,0)</f>
        <v>SO0485</v>
      </c>
      <c r="C3122" s="29" t="s">
        <v>69</v>
      </c>
      <c r="D3122" s="50" t="str">
        <f>VLOOKUP(C3122,Product!A$2:B$21,1,0)</f>
        <v>PD0015</v>
      </c>
      <c r="E3122" s="36">
        <v>65</v>
      </c>
      <c r="F3122" s="38">
        <v>8303489.9999999991</v>
      </c>
      <c r="G3122" s="39" t="s">
        <v>5496</v>
      </c>
      <c r="H3122" s="12"/>
      <c r="L3122" s="12"/>
    </row>
    <row r="3123" spans="1:12" ht="15.75" customHeight="1" x14ac:dyDescent="0.3">
      <c r="A3123" s="29" t="s">
        <v>723</v>
      </c>
      <c r="B3123" s="50" t="str">
        <f>VLOOKUP(A3123,'Sales Order'!A$2:B$1029,1,0)</f>
        <v>SO0485</v>
      </c>
      <c r="C3123" s="29" t="s">
        <v>83</v>
      </c>
      <c r="D3123" s="50" t="str">
        <f>VLOOKUP(C3123,Product!A$2:B$21,1,0)</f>
        <v>PD0020</v>
      </c>
      <c r="E3123" s="36">
        <v>31</v>
      </c>
      <c r="F3123" s="38">
        <v>8756880</v>
      </c>
      <c r="G3123" s="39" t="s">
        <v>5497</v>
      </c>
      <c r="H3123" s="12"/>
      <c r="L3123" s="12"/>
    </row>
    <row r="3124" spans="1:12" ht="15.75" customHeight="1" x14ac:dyDescent="0.3">
      <c r="A3124" s="29" t="s">
        <v>723</v>
      </c>
      <c r="B3124" s="50" t="str">
        <f>VLOOKUP(A3124,'Sales Order'!A$2:B$1029,1,0)</f>
        <v>SO0485</v>
      </c>
      <c r="C3124" s="29" t="s">
        <v>43</v>
      </c>
      <c r="D3124" s="50" t="str">
        <f>VLOOKUP(C3124,Product!A$2:B$21,1,0)</f>
        <v>PD0007</v>
      </c>
      <c r="E3124" s="36">
        <v>121</v>
      </c>
      <c r="F3124" s="38">
        <v>367840000</v>
      </c>
      <c r="G3124" s="39" t="s">
        <v>5498</v>
      </c>
      <c r="H3124" s="12"/>
      <c r="L3124" s="12"/>
    </row>
    <row r="3125" spans="1:12" ht="15.75" customHeight="1" x14ac:dyDescent="0.3">
      <c r="A3125" s="29" t="s">
        <v>731</v>
      </c>
      <c r="B3125" s="50" t="str">
        <f>VLOOKUP(A3125,'Sales Order'!A$2:B$1029,1,0)</f>
        <v>SO0493</v>
      </c>
      <c r="C3125" s="29" t="s">
        <v>75</v>
      </c>
      <c r="D3125" s="50" t="str">
        <f>VLOOKUP(C3125,Product!A$2:B$21,1,0)</f>
        <v>PD0017</v>
      </c>
      <c r="E3125" s="36">
        <v>107</v>
      </c>
      <c r="F3125" s="38">
        <v>224004500</v>
      </c>
      <c r="G3125" s="39" t="s">
        <v>5499</v>
      </c>
      <c r="H3125" s="12"/>
      <c r="L3125" s="12"/>
    </row>
    <row r="3126" spans="1:12" ht="15.75" customHeight="1" x14ac:dyDescent="0.3">
      <c r="A3126" s="29" t="s">
        <v>731</v>
      </c>
      <c r="B3126" s="50" t="str">
        <f>VLOOKUP(A3126,'Sales Order'!A$2:B$1029,1,0)</f>
        <v>SO0493</v>
      </c>
      <c r="C3126" s="29" t="s">
        <v>58</v>
      </c>
      <c r="D3126" s="50" t="str">
        <f>VLOOKUP(C3126,Product!A$2:B$21,1,0)</f>
        <v>PD0012</v>
      </c>
      <c r="E3126" s="36">
        <v>148</v>
      </c>
      <c r="F3126" s="38">
        <v>625929000</v>
      </c>
      <c r="G3126" s="39" t="s">
        <v>5500</v>
      </c>
      <c r="H3126" s="12"/>
      <c r="L3126" s="12"/>
    </row>
    <row r="3127" spans="1:12" ht="15.75" customHeight="1" x14ac:dyDescent="0.3">
      <c r="A3127" s="29" t="s">
        <v>735</v>
      </c>
      <c r="B3127" s="50" t="str">
        <f>VLOOKUP(A3127,'Sales Order'!A$2:B$1029,1,0)</f>
        <v>SO0497</v>
      </c>
      <c r="C3127" s="29" t="s">
        <v>48</v>
      </c>
      <c r="D3127" s="50" t="str">
        <f>VLOOKUP(C3127,Product!A$2:B$21,1,0)</f>
        <v>PD0009</v>
      </c>
      <c r="E3127" s="36">
        <v>115</v>
      </c>
      <c r="F3127" s="38">
        <v>13351500</v>
      </c>
      <c r="G3127" s="39" t="s">
        <v>5501</v>
      </c>
      <c r="H3127" s="12"/>
      <c r="L3127" s="12"/>
    </row>
    <row r="3128" spans="1:12" ht="15.75" customHeight="1" x14ac:dyDescent="0.3">
      <c r="A3128" s="29" t="s">
        <v>735</v>
      </c>
      <c r="B3128" s="50" t="str">
        <f>VLOOKUP(A3128,'Sales Order'!A$2:B$1029,1,0)</f>
        <v>SO0497</v>
      </c>
      <c r="C3128" s="29" t="s">
        <v>45</v>
      </c>
      <c r="D3128" s="50" t="str">
        <f>VLOOKUP(C3128,Product!A$2:B$21,1,0)</f>
        <v>PD0008</v>
      </c>
      <c r="E3128" s="36">
        <v>79</v>
      </c>
      <c r="F3128" s="38">
        <v>10711610</v>
      </c>
      <c r="G3128" s="39" t="s">
        <v>5502</v>
      </c>
      <c r="H3128" s="12"/>
      <c r="L3128" s="12"/>
    </row>
    <row r="3129" spans="1:12" ht="15.75" customHeight="1" x14ac:dyDescent="0.3">
      <c r="A3129" s="29" t="s">
        <v>735</v>
      </c>
      <c r="B3129" s="50" t="str">
        <f>VLOOKUP(A3129,'Sales Order'!A$2:B$1029,1,0)</f>
        <v>SO0497</v>
      </c>
      <c r="C3129" s="29" t="s">
        <v>52</v>
      </c>
      <c r="D3129" s="50" t="str">
        <f>VLOOKUP(C3129,Product!A$2:B$21,1,0)</f>
        <v>PD0010</v>
      </c>
      <c r="E3129" s="36">
        <v>80</v>
      </c>
      <c r="F3129" s="38">
        <v>19500000</v>
      </c>
      <c r="G3129" s="39" t="s">
        <v>5503</v>
      </c>
      <c r="H3129" s="12"/>
      <c r="L3129" s="12"/>
    </row>
    <row r="3130" spans="1:12" ht="15.75" customHeight="1" x14ac:dyDescent="0.3">
      <c r="A3130" s="29" t="s">
        <v>738</v>
      </c>
      <c r="B3130" s="50" t="str">
        <f>VLOOKUP(A3130,'Sales Order'!A$2:B$1029,1,0)</f>
        <v>SO0500</v>
      </c>
      <c r="C3130" s="29" t="s">
        <v>43</v>
      </c>
      <c r="D3130" s="50" t="str">
        <f>VLOOKUP(C3130,Product!A$2:B$21,1,0)</f>
        <v>PD0007</v>
      </c>
      <c r="E3130" s="36">
        <v>81</v>
      </c>
      <c r="F3130" s="38">
        <v>209952000</v>
      </c>
      <c r="G3130" s="39" t="s">
        <v>5504</v>
      </c>
      <c r="H3130" s="12"/>
      <c r="L3130" s="12"/>
    </row>
    <row r="3131" spans="1:12" ht="15.75" customHeight="1" x14ac:dyDescent="0.3">
      <c r="A3131" s="29" t="s">
        <v>738</v>
      </c>
      <c r="B3131" s="50" t="str">
        <f>VLOOKUP(A3131,'Sales Order'!A$2:B$1029,1,0)</f>
        <v>SO0500</v>
      </c>
      <c r="C3131" s="29" t="s">
        <v>58</v>
      </c>
      <c r="D3131" s="50" t="str">
        <f>VLOOKUP(C3131,Product!A$2:B$21,1,0)</f>
        <v>PD0012</v>
      </c>
      <c r="E3131" s="36">
        <v>78</v>
      </c>
      <c r="F3131" s="38">
        <v>413451480</v>
      </c>
      <c r="G3131" s="39" t="s">
        <v>5505</v>
      </c>
      <c r="H3131" s="12"/>
      <c r="L3131" s="12"/>
    </row>
    <row r="3132" spans="1:12" ht="15.75" customHeight="1" x14ac:dyDescent="0.3">
      <c r="A3132" s="29" t="s">
        <v>753</v>
      </c>
      <c r="B3132" s="50" t="str">
        <f>VLOOKUP(A3132,'Sales Order'!A$2:B$1029,1,0)</f>
        <v>SO0515</v>
      </c>
      <c r="C3132" s="29" t="s">
        <v>45</v>
      </c>
      <c r="D3132" s="50" t="str">
        <f>VLOOKUP(C3132,Product!A$2:B$21,1,0)</f>
        <v>PD0008</v>
      </c>
      <c r="E3132" s="36">
        <v>111</v>
      </c>
      <c r="F3132" s="38">
        <v>14058150</v>
      </c>
      <c r="G3132" s="39" t="s">
        <v>5506</v>
      </c>
      <c r="H3132" s="12"/>
      <c r="L3132" s="12"/>
    </row>
    <row r="3133" spans="1:12" ht="15.75" customHeight="1" x14ac:dyDescent="0.3">
      <c r="A3133" s="29" t="s">
        <v>753</v>
      </c>
      <c r="B3133" s="50" t="str">
        <f>VLOOKUP(A3133,'Sales Order'!A$2:B$1029,1,0)</f>
        <v>SO0515</v>
      </c>
      <c r="C3133" s="29" t="s">
        <v>65</v>
      </c>
      <c r="D3133" s="50" t="str">
        <f>VLOOKUP(C3133,Product!A$2:B$21,1,0)</f>
        <v>PD0014</v>
      </c>
      <c r="E3133" s="36">
        <v>83</v>
      </c>
      <c r="F3133" s="38">
        <v>17950410</v>
      </c>
      <c r="G3133" s="39" t="s">
        <v>5507</v>
      </c>
      <c r="H3133" s="12"/>
      <c r="L3133" s="12"/>
    </row>
    <row r="3134" spans="1:12" ht="15.75" customHeight="1" x14ac:dyDescent="0.3">
      <c r="A3134" s="17" t="s">
        <v>760</v>
      </c>
      <c r="B3134" s="50" t="str">
        <f>VLOOKUP(A3134,'Sales Order'!A$2:B$1029,1,0)</f>
        <v>SO0522</v>
      </c>
      <c r="C3134" s="29" t="s">
        <v>40</v>
      </c>
      <c r="D3134" s="50" t="str">
        <f>VLOOKUP(C3134,Product!A$2:B$21,1,0)</f>
        <v>PD0006</v>
      </c>
      <c r="E3134" s="36">
        <v>125</v>
      </c>
      <c r="F3134" s="38">
        <v>21161250</v>
      </c>
      <c r="G3134" s="39" t="s">
        <v>5508</v>
      </c>
      <c r="H3134" s="12"/>
      <c r="L3134" s="12"/>
    </row>
    <row r="3135" spans="1:12" ht="15.75" customHeight="1" x14ac:dyDescent="0.3">
      <c r="A3135" s="29" t="s">
        <v>760</v>
      </c>
      <c r="B3135" s="50" t="str">
        <f>VLOOKUP(A3135,'Sales Order'!A$2:B$1029,1,0)</f>
        <v>SO0522</v>
      </c>
      <c r="C3135" s="29" t="s">
        <v>45</v>
      </c>
      <c r="D3135" s="50" t="str">
        <f>VLOOKUP(C3135,Product!A$2:B$21,1,0)</f>
        <v>PD0008</v>
      </c>
      <c r="E3135" s="36">
        <v>119</v>
      </c>
      <c r="F3135" s="38">
        <v>15957900</v>
      </c>
      <c r="G3135" s="39" t="s">
        <v>5509</v>
      </c>
      <c r="H3135" s="12"/>
      <c r="L3135" s="12"/>
    </row>
    <row r="3136" spans="1:12" ht="15.75" customHeight="1" x14ac:dyDescent="0.3">
      <c r="A3136" s="17" t="s">
        <v>761</v>
      </c>
      <c r="B3136" s="50" t="str">
        <f>VLOOKUP(A3136,'Sales Order'!A$2:B$1029,1,0)</f>
        <v>SO0523</v>
      </c>
      <c r="C3136" s="29" t="s">
        <v>35</v>
      </c>
      <c r="D3136" s="50" t="str">
        <f>VLOOKUP(C3136,Product!A$2:B$21,1,0)</f>
        <v>PD0005</v>
      </c>
      <c r="E3136" s="36">
        <v>96</v>
      </c>
      <c r="F3136" s="38">
        <v>172790400</v>
      </c>
      <c r="G3136" s="39" t="s">
        <v>5510</v>
      </c>
      <c r="H3136" s="12"/>
      <c r="L3136" s="12"/>
    </row>
    <row r="3137" spans="1:12" ht="15.75" customHeight="1" x14ac:dyDescent="0.3">
      <c r="A3137" s="29" t="s">
        <v>761</v>
      </c>
      <c r="B3137" s="50" t="str">
        <f>VLOOKUP(A3137,'Sales Order'!A$2:B$1029,1,0)</f>
        <v>SO0523</v>
      </c>
      <c r="C3137" s="29" t="s">
        <v>43</v>
      </c>
      <c r="D3137" s="50" t="str">
        <f>VLOOKUP(C3137,Product!A$2:B$21,1,0)</f>
        <v>PD0007</v>
      </c>
      <c r="E3137" s="36">
        <v>132</v>
      </c>
      <c r="F3137" s="38">
        <v>388608000</v>
      </c>
      <c r="G3137" s="39" t="s">
        <v>5511</v>
      </c>
      <c r="H3137" s="12"/>
      <c r="L3137" s="12"/>
    </row>
    <row r="3138" spans="1:12" ht="15.75" customHeight="1" x14ac:dyDescent="0.3">
      <c r="A3138" s="17" t="s">
        <v>762</v>
      </c>
      <c r="B3138" s="50" t="str">
        <f>VLOOKUP(A3138,'Sales Order'!A$2:B$1029,1,0)</f>
        <v>SO0524</v>
      </c>
      <c r="C3138" s="29" t="s">
        <v>72</v>
      </c>
      <c r="D3138" s="50" t="str">
        <f>VLOOKUP(C3138,Product!A$2:B$21,1,0)</f>
        <v>PD0016</v>
      </c>
      <c r="E3138" s="36">
        <v>29</v>
      </c>
      <c r="F3138" s="38">
        <v>6271830</v>
      </c>
      <c r="G3138" s="39" t="s">
        <v>5512</v>
      </c>
      <c r="H3138" s="12"/>
      <c r="L3138" s="12"/>
    </row>
    <row r="3139" spans="1:12" ht="15.75" customHeight="1" x14ac:dyDescent="0.3">
      <c r="A3139" s="29" t="s">
        <v>762</v>
      </c>
      <c r="B3139" s="50" t="str">
        <f>VLOOKUP(A3139,'Sales Order'!A$2:B$1029,1,0)</f>
        <v>SO0524</v>
      </c>
      <c r="C3139" s="29" t="s">
        <v>83</v>
      </c>
      <c r="D3139" s="50" t="str">
        <f>VLOOKUP(C3139,Product!A$2:B$21,1,0)</f>
        <v>PD0020</v>
      </c>
      <c r="E3139" s="36">
        <v>89</v>
      </c>
      <c r="F3139" s="38">
        <v>22855200</v>
      </c>
      <c r="G3139" s="39" t="s">
        <v>5513</v>
      </c>
      <c r="H3139" s="12"/>
      <c r="L3139" s="12"/>
    </row>
    <row r="3140" spans="1:12" ht="15.75" customHeight="1" x14ac:dyDescent="0.3">
      <c r="A3140" s="29" t="s">
        <v>762</v>
      </c>
      <c r="B3140" s="50" t="str">
        <f>VLOOKUP(A3140,'Sales Order'!A$2:B$1029,1,0)</f>
        <v>SO0524</v>
      </c>
      <c r="C3140" s="29" t="s">
        <v>81</v>
      </c>
      <c r="D3140" s="50" t="str">
        <f>VLOOKUP(C3140,Product!A$2:B$21,1,0)</f>
        <v>PD0019</v>
      </c>
      <c r="E3140" s="36">
        <v>99</v>
      </c>
      <c r="F3140" s="38">
        <v>211974840</v>
      </c>
      <c r="G3140" s="39" t="s">
        <v>5514</v>
      </c>
      <c r="H3140" s="12"/>
      <c r="L3140" s="12"/>
    </row>
    <row r="3141" spans="1:12" ht="15.75" customHeight="1" x14ac:dyDescent="0.3">
      <c r="A3141" s="29" t="s">
        <v>762</v>
      </c>
      <c r="B3141" s="50" t="str">
        <f>VLOOKUP(A3141,'Sales Order'!A$2:B$1029,1,0)</f>
        <v>SO0524</v>
      </c>
      <c r="C3141" s="29" t="s">
        <v>75</v>
      </c>
      <c r="D3141" s="50" t="str">
        <f>VLOOKUP(C3141,Product!A$2:B$21,1,0)</f>
        <v>PD0017</v>
      </c>
      <c r="E3141" s="36">
        <v>88</v>
      </c>
      <c r="F3141" s="38">
        <v>207548000</v>
      </c>
      <c r="G3141" s="39" t="s">
        <v>5515</v>
      </c>
      <c r="H3141" s="12"/>
      <c r="L3141" s="12"/>
    </row>
    <row r="3142" spans="1:12" ht="15.75" customHeight="1" x14ac:dyDescent="0.3">
      <c r="A3142" s="29" t="s">
        <v>764</v>
      </c>
      <c r="B3142" s="50" t="str">
        <f>VLOOKUP(A3142,'Sales Order'!A$2:B$1029,1,0)</f>
        <v>SO0526</v>
      </c>
      <c r="C3142" s="29" t="s">
        <v>35</v>
      </c>
      <c r="D3142" s="50" t="str">
        <f>VLOOKUP(C3142,Product!A$2:B$21,1,0)</f>
        <v>PD0005</v>
      </c>
      <c r="E3142" s="36">
        <v>29</v>
      </c>
      <c r="F3142" s="38">
        <v>55379850</v>
      </c>
      <c r="G3142" s="39" t="s">
        <v>5516</v>
      </c>
      <c r="H3142" s="12"/>
      <c r="L3142" s="12"/>
    </row>
    <row r="3143" spans="1:12" ht="15.75" customHeight="1" x14ac:dyDescent="0.3">
      <c r="A3143" s="29" t="s">
        <v>764</v>
      </c>
      <c r="B3143" s="50" t="str">
        <f>VLOOKUP(A3143,'Sales Order'!A$2:B$1029,1,0)</f>
        <v>SO0526</v>
      </c>
      <c r="C3143" s="29" t="s">
        <v>43</v>
      </c>
      <c r="D3143" s="50" t="str">
        <f>VLOOKUP(C3143,Product!A$2:B$21,1,0)</f>
        <v>PD0007</v>
      </c>
      <c r="E3143" s="36">
        <v>69</v>
      </c>
      <c r="F3143" s="38">
        <v>165600000</v>
      </c>
      <c r="G3143" s="39" t="s">
        <v>5517</v>
      </c>
      <c r="H3143" s="12"/>
      <c r="L3143" s="12"/>
    </row>
    <row r="3144" spans="1:12" ht="15.75" customHeight="1" x14ac:dyDescent="0.3">
      <c r="A3144" s="17" t="s">
        <v>771</v>
      </c>
      <c r="B3144" s="50" t="str">
        <f>VLOOKUP(A3144,'Sales Order'!A$2:B$1029,1,0)</f>
        <v>SO0533</v>
      </c>
      <c r="C3144" s="29" t="s">
        <v>40</v>
      </c>
      <c r="D3144" s="50" t="str">
        <f>VLOOKUP(C3144,Product!A$2:B$21,1,0)</f>
        <v>PD0006</v>
      </c>
      <c r="E3144" s="36">
        <v>130</v>
      </c>
      <c r="F3144" s="38">
        <v>24996400</v>
      </c>
      <c r="G3144" s="39" t="s">
        <v>5518</v>
      </c>
      <c r="H3144" s="12"/>
      <c r="L3144" s="12"/>
    </row>
    <row r="3145" spans="1:12" ht="15.75" customHeight="1" x14ac:dyDescent="0.3">
      <c r="A3145" s="29" t="s">
        <v>771</v>
      </c>
      <c r="B3145" s="50" t="str">
        <f>VLOOKUP(A3145,'Sales Order'!A$2:B$1029,1,0)</f>
        <v>SO0533</v>
      </c>
      <c r="C3145" s="29" t="s">
        <v>45</v>
      </c>
      <c r="D3145" s="50" t="str">
        <f>VLOOKUP(C3145,Product!A$2:B$21,1,0)</f>
        <v>PD0008</v>
      </c>
      <c r="E3145" s="36">
        <v>51</v>
      </c>
      <c r="F3145" s="38">
        <v>6459150</v>
      </c>
      <c r="G3145" s="39" t="s">
        <v>5519</v>
      </c>
      <c r="H3145" s="12"/>
      <c r="L3145" s="12"/>
    </row>
    <row r="3146" spans="1:12" ht="15.75" customHeight="1" x14ac:dyDescent="0.3">
      <c r="A3146" s="29" t="s">
        <v>771</v>
      </c>
      <c r="B3146" s="50" t="str">
        <f>VLOOKUP(A3146,'Sales Order'!A$2:B$1029,1,0)</f>
        <v>SO0533</v>
      </c>
      <c r="C3146" s="29" t="s">
        <v>83</v>
      </c>
      <c r="D3146" s="50" t="str">
        <f>VLOOKUP(C3146,Product!A$2:B$21,1,0)</f>
        <v>PD0020</v>
      </c>
      <c r="E3146" s="36">
        <v>96</v>
      </c>
      <c r="F3146" s="38">
        <v>29275200</v>
      </c>
      <c r="G3146" s="39" t="s">
        <v>5520</v>
      </c>
      <c r="H3146" s="12"/>
      <c r="L3146" s="12"/>
    </row>
    <row r="3147" spans="1:12" ht="15.75" customHeight="1" x14ac:dyDescent="0.3">
      <c r="A3147" s="29" t="s">
        <v>771</v>
      </c>
      <c r="B3147" s="50" t="str">
        <f>VLOOKUP(A3147,'Sales Order'!A$2:B$1029,1,0)</f>
        <v>SO0533</v>
      </c>
      <c r="C3147" s="29" t="s">
        <v>52</v>
      </c>
      <c r="D3147" s="50" t="str">
        <f>VLOOKUP(C3147,Product!A$2:B$21,1,0)</f>
        <v>PD0010</v>
      </c>
      <c r="E3147" s="36">
        <v>90</v>
      </c>
      <c r="F3147" s="38">
        <v>21937500</v>
      </c>
      <c r="G3147" s="39" t="s">
        <v>5521</v>
      </c>
      <c r="H3147" s="12"/>
      <c r="L3147" s="12"/>
    </row>
    <row r="3148" spans="1:12" ht="15.75" customHeight="1" x14ac:dyDescent="0.3">
      <c r="A3148" s="17" t="s">
        <v>774</v>
      </c>
      <c r="B3148" s="50" t="str">
        <f>VLOOKUP(A3148,'Sales Order'!A$2:B$1029,1,0)</f>
        <v>SO0536</v>
      </c>
      <c r="C3148" s="29" t="s">
        <v>52</v>
      </c>
      <c r="D3148" s="50" t="str">
        <f>VLOOKUP(C3148,Product!A$2:B$21,1,0)</f>
        <v>PD0010</v>
      </c>
      <c r="E3148" s="36">
        <v>103</v>
      </c>
      <c r="F3148" s="38">
        <v>28453750</v>
      </c>
      <c r="G3148" s="39" t="s">
        <v>5522</v>
      </c>
      <c r="H3148" s="12"/>
      <c r="L3148" s="12"/>
    </row>
    <row r="3149" spans="1:12" ht="15.75" customHeight="1" x14ac:dyDescent="0.3">
      <c r="A3149" s="29" t="s">
        <v>774</v>
      </c>
      <c r="B3149" s="50" t="str">
        <f>VLOOKUP(A3149,'Sales Order'!A$2:B$1029,1,0)</f>
        <v>SO0536</v>
      </c>
      <c r="C3149" s="29" t="s">
        <v>48</v>
      </c>
      <c r="D3149" s="50" t="str">
        <f>VLOOKUP(C3149,Product!A$2:B$21,1,0)</f>
        <v>PD0009</v>
      </c>
      <c r="E3149" s="36">
        <v>54</v>
      </c>
      <c r="F3149" s="38">
        <v>6130080</v>
      </c>
      <c r="G3149" s="39" t="s">
        <v>5523</v>
      </c>
      <c r="H3149" s="12"/>
      <c r="L3149" s="12"/>
    </row>
    <row r="3150" spans="1:12" ht="15.75" customHeight="1" x14ac:dyDescent="0.3">
      <c r="A3150" s="17" t="s">
        <v>778</v>
      </c>
      <c r="B3150" s="50" t="str">
        <f>VLOOKUP(A3150,'Sales Order'!A$2:B$1029,1,0)</f>
        <v>SO0540</v>
      </c>
      <c r="C3150" s="29" t="s">
        <v>78</v>
      </c>
      <c r="D3150" s="50" t="str">
        <f>VLOOKUP(C3150,Product!A$2:B$21,1,0)</f>
        <v>PD0018</v>
      </c>
      <c r="E3150" s="36">
        <v>86</v>
      </c>
      <c r="F3150" s="38">
        <v>35686560</v>
      </c>
      <c r="G3150" s="39" t="s">
        <v>5524</v>
      </c>
      <c r="H3150" s="12"/>
      <c r="L3150" s="12"/>
    </row>
    <row r="3151" spans="1:12" ht="15.75" customHeight="1" x14ac:dyDescent="0.3">
      <c r="A3151" s="29" t="s">
        <v>778</v>
      </c>
      <c r="B3151" s="50" t="str">
        <f>VLOOKUP(A3151,'Sales Order'!A$2:B$1029,1,0)</f>
        <v>SO0540</v>
      </c>
      <c r="C3151" s="29" t="s">
        <v>45</v>
      </c>
      <c r="D3151" s="50" t="str">
        <f>VLOOKUP(C3151,Product!A$2:B$21,1,0)</f>
        <v>PD0008</v>
      </c>
      <c r="E3151" s="36">
        <v>74</v>
      </c>
      <c r="F3151" s="38">
        <v>8931060</v>
      </c>
      <c r="G3151" s="39" t="s">
        <v>5525</v>
      </c>
      <c r="H3151" s="12"/>
      <c r="L3151" s="12"/>
    </row>
    <row r="3152" spans="1:12" ht="15.75" customHeight="1" x14ac:dyDescent="0.3">
      <c r="A3152" s="29" t="s">
        <v>780</v>
      </c>
      <c r="B3152" s="50" t="str">
        <f>VLOOKUP(A3152,'Sales Order'!A$2:B$1029,1,0)</f>
        <v>SO0542</v>
      </c>
      <c r="C3152" s="29" t="s">
        <v>81</v>
      </c>
      <c r="D3152" s="50" t="str">
        <f>VLOOKUP(C3152,Product!A$2:B$21,1,0)</f>
        <v>PD0019</v>
      </c>
      <c r="E3152" s="36">
        <v>114</v>
      </c>
      <c r="F3152" s="38">
        <v>255715680</v>
      </c>
      <c r="G3152" s="39" t="s">
        <v>5526</v>
      </c>
      <c r="H3152" s="12"/>
      <c r="L3152" s="12"/>
    </row>
    <row r="3153" spans="1:12" ht="15.75" customHeight="1" x14ac:dyDescent="0.3">
      <c r="A3153" s="29" t="s">
        <v>780</v>
      </c>
      <c r="B3153" s="50" t="str">
        <f>VLOOKUP(A3153,'Sales Order'!A$2:B$1029,1,0)</f>
        <v>SO0542</v>
      </c>
      <c r="C3153" s="29" t="s">
        <v>75</v>
      </c>
      <c r="D3153" s="50" t="str">
        <f>VLOOKUP(C3153,Product!A$2:B$21,1,0)</f>
        <v>PD0017</v>
      </c>
      <c r="E3153" s="36">
        <v>113</v>
      </c>
      <c r="F3153" s="38">
        <v>260521500</v>
      </c>
      <c r="G3153" s="39" t="s">
        <v>5527</v>
      </c>
      <c r="H3153" s="12"/>
      <c r="L3153" s="12"/>
    </row>
    <row r="3154" spans="1:12" ht="15.75" customHeight="1" x14ac:dyDescent="0.3">
      <c r="A3154" s="17" t="s">
        <v>793</v>
      </c>
      <c r="B3154" s="50" t="str">
        <f>VLOOKUP(A3154,'Sales Order'!A$2:B$1029,1,0)</f>
        <v>SO0555</v>
      </c>
      <c r="C3154" s="29" t="s">
        <v>45</v>
      </c>
      <c r="D3154" s="50" t="str">
        <f>VLOOKUP(C3154,Product!A$2:B$21,1,0)</f>
        <v>PD0008</v>
      </c>
      <c r="E3154" s="36">
        <v>55</v>
      </c>
      <c r="F3154" s="38">
        <v>6556000</v>
      </c>
      <c r="G3154" s="39" t="s">
        <v>5528</v>
      </c>
      <c r="H3154" s="12"/>
      <c r="L3154" s="12"/>
    </row>
    <row r="3155" spans="1:12" ht="15.75" customHeight="1" x14ac:dyDescent="0.3">
      <c r="A3155" s="29" t="s">
        <v>793</v>
      </c>
      <c r="B3155" s="50" t="str">
        <f>VLOOKUP(A3155,'Sales Order'!A$2:B$1029,1,0)</f>
        <v>SO0555</v>
      </c>
      <c r="C3155" s="29" t="s">
        <v>83</v>
      </c>
      <c r="D3155" s="50" t="str">
        <f>VLOOKUP(C3155,Product!A$2:B$21,1,0)</f>
        <v>PD0020</v>
      </c>
      <c r="E3155" s="36">
        <v>130</v>
      </c>
      <c r="F3155" s="38">
        <v>32132100</v>
      </c>
      <c r="G3155" s="39" t="s">
        <v>5529</v>
      </c>
      <c r="H3155" s="12"/>
      <c r="L3155" s="12"/>
    </row>
    <row r="3156" spans="1:12" ht="15.75" customHeight="1" x14ac:dyDescent="0.3">
      <c r="A3156" s="29" t="s">
        <v>801</v>
      </c>
      <c r="B3156" s="50" t="str">
        <f>VLOOKUP(A3156,'Sales Order'!A$2:B$1029,1,0)</f>
        <v>SO0563</v>
      </c>
      <c r="C3156" s="29" t="s">
        <v>75</v>
      </c>
      <c r="D3156" s="50" t="str">
        <f>VLOOKUP(C3156,Product!A$2:B$21,1,0)</f>
        <v>PD0017</v>
      </c>
      <c r="E3156" s="36">
        <v>138</v>
      </c>
      <c r="F3156" s="38">
        <v>318159000</v>
      </c>
      <c r="G3156" s="39" t="s">
        <v>5530</v>
      </c>
      <c r="H3156" s="12"/>
      <c r="L3156" s="12"/>
    </row>
    <row r="3157" spans="1:12" ht="15.75" customHeight="1" x14ac:dyDescent="0.3">
      <c r="A3157" s="29" t="s">
        <v>801</v>
      </c>
      <c r="B3157" s="50" t="str">
        <f>VLOOKUP(A3157,'Sales Order'!A$2:B$1029,1,0)</f>
        <v>SO0563</v>
      </c>
      <c r="C3157" s="29" t="s">
        <v>81</v>
      </c>
      <c r="D3157" s="50" t="str">
        <f>VLOOKUP(C3157,Product!A$2:B$21,1,0)</f>
        <v>PD0019</v>
      </c>
      <c r="E3157" s="36">
        <v>75</v>
      </c>
      <c r="F3157" s="38">
        <v>151028250</v>
      </c>
      <c r="G3157" s="39" t="s">
        <v>5531</v>
      </c>
      <c r="H3157" s="12"/>
      <c r="L3157" s="12"/>
    </row>
    <row r="3158" spans="1:12" ht="15.75" customHeight="1" x14ac:dyDescent="0.3">
      <c r="A3158" s="29" t="s">
        <v>802</v>
      </c>
      <c r="B3158" s="50" t="str">
        <f>VLOOKUP(A3158,'Sales Order'!A$2:B$1029,1,0)</f>
        <v>SO0564</v>
      </c>
      <c r="C3158" s="29" t="s">
        <v>58</v>
      </c>
      <c r="D3158" s="50" t="str">
        <f>VLOOKUP(C3158,Product!A$2:B$21,1,0)</f>
        <v>PD0012</v>
      </c>
      <c r="E3158" s="36">
        <v>115</v>
      </c>
      <c r="F3158" s="38">
        <v>544727400</v>
      </c>
      <c r="G3158" s="39" t="s">
        <v>5532</v>
      </c>
      <c r="H3158" s="12"/>
      <c r="L3158" s="12"/>
    </row>
    <row r="3159" spans="1:12" ht="15.75" customHeight="1" x14ac:dyDescent="0.3">
      <c r="A3159" s="29" t="s">
        <v>802</v>
      </c>
      <c r="B3159" s="50" t="str">
        <f>VLOOKUP(A3159,'Sales Order'!A$2:B$1029,1,0)</f>
        <v>SO0564</v>
      </c>
      <c r="C3159" s="29" t="s">
        <v>75</v>
      </c>
      <c r="D3159" s="50" t="str">
        <f>VLOOKUP(C3159,Product!A$2:B$21,1,0)</f>
        <v>PD0017</v>
      </c>
      <c r="E3159" s="36">
        <v>42</v>
      </c>
      <c r="F3159" s="38">
        <v>86814000</v>
      </c>
      <c r="G3159" s="39" t="s">
        <v>5533</v>
      </c>
      <c r="H3159" s="12"/>
      <c r="L3159" s="12"/>
    </row>
    <row r="3160" spans="1:12" ht="15.75" customHeight="1" x14ac:dyDescent="0.3">
      <c r="A3160" s="29" t="s">
        <v>807</v>
      </c>
      <c r="B3160" s="50" t="str">
        <f>VLOOKUP(A3160,'Sales Order'!A$2:B$1029,1,0)</f>
        <v>SO0569</v>
      </c>
      <c r="C3160" s="29" t="s">
        <v>45</v>
      </c>
      <c r="D3160" s="50" t="str">
        <f>VLOOKUP(C3160,Product!A$2:B$21,1,0)</f>
        <v>PD0008</v>
      </c>
      <c r="E3160" s="36">
        <v>106</v>
      </c>
      <c r="F3160" s="38">
        <v>14688419.999999998</v>
      </c>
      <c r="G3160" s="39" t="s">
        <v>5534</v>
      </c>
      <c r="H3160" s="12"/>
      <c r="L3160" s="12"/>
    </row>
    <row r="3161" spans="1:12" ht="15.75" customHeight="1" x14ac:dyDescent="0.3">
      <c r="A3161" s="29" t="s">
        <v>807</v>
      </c>
      <c r="B3161" s="50" t="str">
        <f>VLOOKUP(A3161,'Sales Order'!A$2:B$1029,1,0)</f>
        <v>SO0569</v>
      </c>
      <c r="C3161" s="29" t="s">
        <v>40</v>
      </c>
      <c r="D3161" s="50" t="str">
        <f>VLOOKUP(C3161,Product!A$2:B$21,1,0)</f>
        <v>PD0006</v>
      </c>
      <c r="E3161" s="36">
        <v>43</v>
      </c>
      <c r="F3161" s="38">
        <v>8088300</v>
      </c>
      <c r="G3161" s="39" t="s">
        <v>5535</v>
      </c>
      <c r="H3161" s="12"/>
      <c r="L3161" s="12"/>
    </row>
    <row r="3162" spans="1:12" ht="15.75" customHeight="1" x14ac:dyDescent="0.3">
      <c r="A3162" s="17" t="s">
        <v>808</v>
      </c>
      <c r="B3162" s="50" t="str">
        <f>VLOOKUP(A3162,'Sales Order'!A$2:B$1029,1,0)</f>
        <v>SO0570</v>
      </c>
      <c r="C3162" s="29" t="s">
        <v>83</v>
      </c>
      <c r="D3162" s="50" t="str">
        <f>VLOOKUP(C3162,Product!A$2:B$21,1,0)</f>
        <v>PD0020</v>
      </c>
      <c r="E3162" s="36">
        <v>134</v>
      </c>
      <c r="F3162" s="38">
        <v>40433160</v>
      </c>
      <c r="G3162" s="39" t="s">
        <v>5536</v>
      </c>
      <c r="H3162" s="12"/>
      <c r="L3162" s="12"/>
    </row>
    <row r="3163" spans="1:12" ht="15.75" customHeight="1" x14ac:dyDescent="0.3">
      <c r="A3163" s="29" t="s">
        <v>808</v>
      </c>
      <c r="B3163" s="50" t="str">
        <f>VLOOKUP(A3163,'Sales Order'!A$2:B$1029,1,0)</f>
        <v>SO0570</v>
      </c>
      <c r="C3163" s="29" t="s">
        <v>72</v>
      </c>
      <c r="D3163" s="50" t="str">
        <f>VLOOKUP(C3163,Product!A$2:B$21,1,0)</f>
        <v>PD0016</v>
      </c>
      <c r="E3163" s="36">
        <v>130</v>
      </c>
      <c r="F3163" s="38">
        <v>28809300</v>
      </c>
      <c r="G3163" s="39" t="s">
        <v>5537</v>
      </c>
      <c r="H3163" s="12"/>
      <c r="L3163" s="12"/>
    </row>
    <row r="3164" spans="1:12" ht="15.75" customHeight="1" x14ac:dyDescent="0.3">
      <c r="A3164" s="29" t="s">
        <v>809</v>
      </c>
      <c r="B3164" s="50" t="str">
        <f>VLOOKUP(A3164,'Sales Order'!A$2:B$1029,1,0)</f>
        <v>SO0571</v>
      </c>
      <c r="C3164" s="29" t="s">
        <v>65</v>
      </c>
      <c r="D3164" s="50" t="str">
        <f>VLOOKUP(C3164,Product!A$2:B$21,1,0)</f>
        <v>PD0014</v>
      </c>
      <c r="E3164" s="36">
        <v>85</v>
      </c>
      <c r="F3164" s="38">
        <v>18609900</v>
      </c>
      <c r="G3164" s="39" t="s">
        <v>5538</v>
      </c>
      <c r="H3164" s="12"/>
      <c r="L3164" s="12"/>
    </row>
    <row r="3165" spans="1:12" ht="15.75" customHeight="1" x14ac:dyDescent="0.3">
      <c r="A3165" s="29" t="s">
        <v>809</v>
      </c>
      <c r="B3165" s="50" t="str">
        <f>VLOOKUP(A3165,'Sales Order'!A$2:B$1029,1,0)</f>
        <v>SO0571</v>
      </c>
      <c r="C3165" s="29" t="s">
        <v>45</v>
      </c>
      <c r="D3165" s="50" t="str">
        <f>VLOOKUP(C3165,Product!A$2:B$21,1,0)</f>
        <v>PD0008</v>
      </c>
      <c r="E3165" s="36">
        <v>101</v>
      </c>
      <c r="F3165" s="38">
        <v>13243120</v>
      </c>
      <c r="G3165" s="39" t="s">
        <v>5539</v>
      </c>
      <c r="H3165" s="12"/>
      <c r="L3165" s="12"/>
    </row>
    <row r="3166" spans="1:12" ht="15.75" customHeight="1" x14ac:dyDescent="0.3">
      <c r="A3166" s="29" t="s">
        <v>809</v>
      </c>
      <c r="B3166" s="50" t="str">
        <f>VLOOKUP(A3166,'Sales Order'!A$2:B$1029,1,0)</f>
        <v>SO0571</v>
      </c>
      <c r="C3166" s="29" t="s">
        <v>61</v>
      </c>
      <c r="D3166" s="50" t="str">
        <f>VLOOKUP(C3166,Product!A$2:B$21,1,0)</f>
        <v>PD0013</v>
      </c>
      <c r="E3166" s="36">
        <v>118</v>
      </c>
      <c r="F3166" s="38">
        <v>50304580</v>
      </c>
      <c r="G3166" s="39" t="s">
        <v>5540</v>
      </c>
      <c r="H3166" s="12"/>
      <c r="L3166" s="12"/>
    </row>
    <row r="3167" spans="1:12" ht="15.75" customHeight="1" x14ac:dyDescent="0.3">
      <c r="A3167" s="17" t="s">
        <v>812</v>
      </c>
      <c r="B3167" s="50" t="str">
        <f>VLOOKUP(A3167,'Sales Order'!A$2:B$1029,1,0)</f>
        <v>SO0574</v>
      </c>
      <c r="C3167" s="29" t="s">
        <v>81</v>
      </c>
      <c r="D3167" s="50" t="str">
        <f>VLOOKUP(C3167,Product!A$2:B$21,1,0)</f>
        <v>PD0019</v>
      </c>
      <c r="E3167" s="36">
        <v>120</v>
      </c>
      <c r="F3167" s="38">
        <v>256939200</v>
      </c>
      <c r="G3167" s="39" t="s">
        <v>5541</v>
      </c>
      <c r="H3167" s="12"/>
      <c r="L3167" s="12"/>
    </row>
    <row r="3168" spans="1:12" ht="15.75" customHeight="1" x14ac:dyDescent="0.3">
      <c r="A3168" s="29" t="s">
        <v>812</v>
      </c>
      <c r="B3168" s="50" t="str">
        <f>VLOOKUP(A3168,'Sales Order'!A$2:B$1029,1,0)</f>
        <v>SO0574</v>
      </c>
      <c r="C3168" s="29" t="s">
        <v>78</v>
      </c>
      <c r="D3168" s="50" t="str">
        <f>VLOOKUP(C3168,Product!A$2:B$21,1,0)</f>
        <v>PD0018</v>
      </c>
      <c r="E3168" s="36">
        <v>46</v>
      </c>
      <c r="F3168" s="38">
        <v>21780080</v>
      </c>
      <c r="G3168" s="39" t="s">
        <v>5542</v>
      </c>
      <c r="H3168" s="12"/>
      <c r="L3168" s="12"/>
    </row>
    <row r="3169" spans="1:12" ht="15.75" customHeight="1" x14ac:dyDescent="0.3">
      <c r="A3169" s="17" t="s">
        <v>813</v>
      </c>
      <c r="B3169" s="50" t="str">
        <f>VLOOKUP(A3169,'Sales Order'!A$2:B$1029,1,0)</f>
        <v>SO0575</v>
      </c>
      <c r="C3169" s="29" t="s">
        <v>40</v>
      </c>
      <c r="D3169" s="50" t="str">
        <f>VLOOKUP(C3169,Product!A$2:B$21,1,0)</f>
        <v>PD0006</v>
      </c>
      <c r="E3169" s="36">
        <v>95</v>
      </c>
      <c r="F3169" s="38">
        <v>16082550.000000002</v>
      </c>
      <c r="G3169" s="39" t="s">
        <v>5543</v>
      </c>
      <c r="H3169" s="12"/>
      <c r="L3169" s="12"/>
    </row>
    <row r="3170" spans="1:12" ht="15.75" customHeight="1" x14ac:dyDescent="0.3">
      <c r="A3170" s="29" t="s">
        <v>813</v>
      </c>
      <c r="B3170" s="50" t="str">
        <f>VLOOKUP(A3170,'Sales Order'!A$2:B$1029,1,0)</f>
        <v>SO0575</v>
      </c>
      <c r="C3170" s="29" t="s">
        <v>83</v>
      </c>
      <c r="D3170" s="50" t="str">
        <f>VLOOKUP(C3170,Product!A$2:B$21,1,0)</f>
        <v>PD0020</v>
      </c>
      <c r="E3170" s="36">
        <v>120</v>
      </c>
      <c r="F3170" s="38">
        <v>35053200</v>
      </c>
      <c r="G3170" s="39" t="s">
        <v>5544</v>
      </c>
      <c r="H3170" s="12"/>
      <c r="L3170" s="12"/>
    </row>
    <row r="3171" spans="1:12" ht="15.75" customHeight="1" x14ac:dyDescent="0.3">
      <c r="A3171" s="29" t="s">
        <v>815</v>
      </c>
      <c r="B3171" s="50" t="str">
        <f>VLOOKUP(A3171,'Sales Order'!A$2:B$1029,1,0)</f>
        <v>SO0577</v>
      </c>
      <c r="C3171" s="29" t="s">
        <v>83</v>
      </c>
      <c r="D3171" s="50" t="str">
        <f>VLOOKUP(C3171,Product!A$2:B$21,1,0)</f>
        <v>PD0020</v>
      </c>
      <c r="E3171" s="36">
        <v>68</v>
      </c>
      <c r="F3171" s="38">
        <v>16589280</v>
      </c>
      <c r="G3171" s="39" t="s">
        <v>5545</v>
      </c>
      <c r="H3171" s="12"/>
      <c r="L3171" s="12"/>
    </row>
    <row r="3172" spans="1:12" ht="15.75" customHeight="1" x14ac:dyDescent="0.3">
      <c r="A3172" s="29" t="s">
        <v>815</v>
      </c>
      <c r="B3172" s="50" t="str">
        <f>VLOOKUP(A3172,'Sales Order'!A$2:B$1029,1,0)</f>
        <v>SO0577</v>
      </c>
      <c r="C3172" s="29" t="s">
        <v>40</v>
      </c>
      <c r="D3172" s="50" t="str">
        <f>VLOOKUP(C3172,Product!A$2:B$21,1,0)</f>
        <v>PD0006</v>
      </c>
      <c r="E3172" s="36">
        <v>143</v>
      </c>
      <c r="F3172" s="38">
        <v>22415250</v>
      </c>
      <c r="G3172" s="39" t="s">
        <v>5546</v>
      </c>
      <c r="H3172" s="12"/>
      <c r="L3172" s="12"/>
    </row>
    <row r="3173" spans="1:12" ht="15.75" customHeight="1" x14ac:dyDescent="0.3">
      <c r="A3173" s="29" t="s">
        <v>834</v>
      </c>
      <c r="B3173" s="50" t="str">
        <f>VLOOKUP(A3173,'Sales Order'!A$2:B$1029,1,0)</f>
        <v>SO0596</v>
      </c>
      <c r="C3173" s="29" t="s">
        <v>83</v>
      </c>
      <c r="D3173" s="50" t="str">
        <f>VLOOKUP(C3173,Product!A$2:B$21,1,0)</f>
        <v>PD0020</v>
      </c>
      <c r="E3173" s="36">
        <v>103</v>
      </c>
      <c r="F3173" s="38">
        <v>31079220</v>
      </c>
      <c r="G3173" s="39" t="s">
        <v>5547</v>
      </c>
      <c r="H3173" s="12"/>
      <c r="L3173" s="12"/>
    </row>
    <row r="3174" spans="1:12" ht="15.75" customHeight="1" x14ac:dyDescent="0.3">
      <c r="A3174" s="29" t="s">
        <v>834</v>
      </c>
      <c r="B3174" s="50" t="str">
        <f>VLOOKUP(A3174,'Sales Order'!A$2:B$1029,1,0)</f>
        <v>SO0596</v>
      </c>
      <c r="C3174" s="29" t="s">
        <v>33</v>
      </c>
      <c r="D3174" s="50" t="str">
        <f>VLOOKUP(C3174,Product!A$2:B$21,1,0)</f>
        <v>PD0004</v>
      </c>
      <c r="E3174" s="36">
        <v>146</v>
      </c>
      <c r="F3174" s="38">
        <v>25696000</v>
      </c>
      <c r="G3174" s="39" t="s">
        <v>5548</v>
      </c>
      <c r="H3174" s="12"/>
      <c r="L3174" s="12"/>
    </row>
    <row r="3175" spans="1:12" ht="15.75" customHeight="1" x14ac:dyDescent="0.3">
      <c r="A3175" s="29" t="s">
        <v>834</v>
      </c>
      <c r="B3175" s="50" t="str">
        <f>VLOOKUP(A3175,'Sales Order'!A$2:B$1029,1,0)</f>
        <v>SO0596</v>
      </c>
      <c r="C3175" s="29" t="s">
        <v>35</v>
      </c>
      <c r="D3175" s="50" t="str">
        <f>VLOOKUP(C3175,Product!A$2:B$21,1,0)</f>
        <v>PD0005</v>
      </c>
      <c r="E3175" s="36">
        <v>78</v>
      </c>
      <c r="F3175" s="38">
        <v>128407500</v>
      </c>
      <c r="G3175" s="39" t="s">
        <v>5549</v>
      </c>
      <c r="H3175" s="12"/>
      <c r="L3175" s="12"/>
    </row>
    <row r="3176" spans="1:12" ht="15.75" customHeight="1" x14ac:dyDescent="0.3">
      <c r="A3176" s="29" t="s">
        <v>834</v>
      </c>
      <c r="B3176" s="50" t="str">
        <f>VLOOKUP(A3176,'Sales Order'!A$2:B$1029,1,0)</f>
        <v>SO0596</v>
      </c>
      <c r="C3176" s="29" t="s">
        <v>43</v>
      </c>
      <c r="D3176" s="50" t="str">
        <f>VLOOKUP(C3176,Product!A$2:B$21,1,0)</f>
        <v>PD0007</v>
      </c>
      <c r="E3176" s="36">
        <v>103</v>
      </c>
      <c r="F3176" s="38">
        <v>293344000</v>
      </c>
      <c r="G3176" s="39" t="s">
        <v>5550</v>
      </c>
      <c r="H3176" s="12"/>
      <c r="L3176" s="12"/>
    </row>
    <row r="3177" spans="1:12" ht="15.75" customHeight="1" x14ac:dyDescent="0.3">
      <c r="A3177" s="17" t="s">
        <v>835</v>
      </c>
      <c r="B3177" s="50" t="str">
        <f>VLOOKUP(A3177,'Sales Order'!A$2:B$1029,1,0)</f>
        <v>SO0597</v>
      </c>
      <c r="C3177" s="29" t="s">
        <v>78</v>
      </c>
      <c r="D3177" s="50" t="str">
        <f>VLOOKUP(C3177,Product!A$2:B$21,1,0)</f>
        <v>PD0018</v>
      </c>
      <c r="E3177" s="36">
        <v>108</v>
      </c>
      <c r="F3177" s="38">
        <v>54008640</v>
      </c>
      <c r="G3177" s="39" t="s">
        <v>5551</v>
      </c>
      <c r="H3177" s="12"/>
      <c r="L3177" s="12"/>
    </row>
    <row r="3178" spans="1:12" ht="15.75" customHeight="1" x14ac:dyDescent="0.3">
      <c r="A3178" s="29" t="s">
        <v>835</v>
      </c>
      <c r="B3178" s="50" t="str">
        <f>VLOOKUP(A3178,'Sales Order'!A$2:B$1029,1,0)</f>
        <v>SO0597</v>
      </c>
      <c r="C3178" s="29" t="s">
        <v>83</v>
      </c>
      <c r="D3178" s="50" t="str">
        <f>VLOOKUP(C3178,Product!A$2:B$21,1,0)</f>
        <v>PD0020</v>
      </c>
      <c r="E3178" s="36">
        <v>39</v>
      </c>
      <c r="F3178" s="38">
        <v>11267100</v>
      </c>
      <c r="G3178" s="39" t="s">
        <v>5552</v>
      </c>
      <c r="H3178" s="12"/>
      <c r="L3178" s="12"/>
    </row>
    <row r="3179" spans="1:12" ht="15.75" customHeight="1" x14ac:dyDescent="0.3">
      <c r="A3179" s="29" t="s">
        <v>835</v>
      </c>
      <c r="B3179" s="50" t="str">
        <f>VLOOKUP(A3179,'Sales Order'!A$2:B$1029,1,0)</f>
        <v>SO0597</v>
      </c>
      <c r="C3179" s="29" t="s">
        <v>75</v>
      </c>
      <c r="D3179" s="50" t="str">
        <f>VLOOKUP(C3179,Product!A$2:B$21,1,0)</f>
        <v>PD0017</v>
      </c>
      <c r="E3179" s="36">
        <v>94</v>
      </c>
      <c r="F3179" s="38">
        <v>216717000</v>
      </c>
      <c r="G3179" s="39" t="s">
        <v>5553</v>
      </c>
      <c r="H3179" s="12"/>
      <c r="L3179" s="12"/>
    </row>
    <row r="3180" spans="1:12" ht="15.75" customHeight="1" x14ac:dyDescent="0.3">
      <c r="A3180" s="29" t="s">
        <v>835</v>
      </c>
      <c r="B3180" s="50" t="str">
        <f>VLOOKUP(A3180,'Sales Order'!A$2:B$1029,1,0)</f>
        <v>SO0597</v>
      </c>
      <c r="C3180" s="29" t="s">
        <v>81</v>
      </c>
      <c r="D3180" s="50" t="str">
        <f>VLOOKUP(C3180,Product!A$2:B$21,1,0)</f>
        <v>PD0019</v>
      </c>
      <c r="E3180" s="36">
        <v>87</v>
      </c>
      <c r="F3180" s="38">
        <v>179628030</v>
      </c>
      <c r="G3180" s="39" t="s">
        <v>5554</v>
      </c>
      <c r="H3180" s="12"/>
      <c r="L3180" s="12"/>
    </row>
    <row r="3181" spans="1:12" ht="15.75" customHeight="1" x14ac:dyDescent="0.3">
      <c r="A3181" s="29" t="s">
        <v>841</v>
      </c>
      <c r="B3181" s="50" t="str">
        <f>VLOOKUP(A3181,'Sales Order'!A$2:B$1029,1,0)</f>
        <v>SO0603</v>
      </c>
      <c r="C3181" s="29" t="s">
        <v>78</v>
      </c>
      <c r="D3181" s="50" t="str">
        <f>VLOOKUP(C3181,Product!A$2:B$21,1,0)</f>
        <v>PD0018</v>
      </c>
      <c r="E3181" s="36">
        <v>131</v>
      </c>
      <c r="F3181" s="38">
        <v>57147440.000000007</v>
      </c>
      <c r="G3181" s="39" t="s">
        <v>5555</v>
      </c>
      <c r="H3181" s="12"/>
      <c r="L3181" s="12"/>
    </row>
    <row r="3182" spans="1:12" ht="15.75" customHeight="1" x14ac:dyDescent="0.3">
      <c r="A3182" s="29" t="s">
        <v>841</v>
      </c>
      <c r="B3182" s="50" t="str">
        <f>VLOOKUP(A3182,'Sales Order'!A$2:B$1029,1,0)</f>
        <v>SO0603</v>
      </c>
      <c r="C3182" s="29" t="s">
        <v>83</v>
      </c>
      <c r="D3182" s="50" t="str">
        <f>VLOOKUP(C3182,Product!A$2:B$21,1,0)</f>
        <v>PD0020</v>
      </c>
      <c r="E3182" s="36">
        <v>29</v>
      </c>
      <c r="F3182" s="38">
        <v>8471190</v>
      </c>
      <c r="G3182" s="39" t="s">
        <v>5556</v>
      </c>
      <c r="H3182" s="12"/>
      <c r="L3182" s="12"/>
    </row>
    <row r="3183" spans="1:12" ht="15.75" customHeight="1" x14ac:dyDescent="0.3">
      <c r="A3183" s="17" t="s">
        <v>845</v>
      </c>
      <c r="B3183" s="50" t="str">
        <f>VLOOKUP(A3183,'Sales Order'!A$2:B$1029,1,0)</f>
        <v>SO0607</v>
      </c>
      <c r="C3183" s="29" t="s">
        <v>55</v>
      </c>
      <c r="D3183" s="50" t="str">
        <f>VLOOKUP(C3183,Product!A$2:B$21,1,0)</f>
        <v>PD0011</v>
      </c>
      <c r="E3183" s="36">
        <v>39</v>
      </c>
      <c r="F3183" s="38">
        <v>75440820</v>
      </c>
      <c r="G3183" s="39" t="s">
        <v>5557</v>
      </c>
      <c r="H3183" s="12"/>
      <c r="L3183" s="12"/>
    </row>
    <row r="3184" spans="1:12" ht="15.75" customHeight="1" x14ac:dyDescent="0.3">
      <c r="A3184" s="29" t="s">
        <v>845</v>
      </c>
      <c r="B3184" s="50" t="str">
        <f>VLOOKUP(A3184,'Sales Order'!A$2:B$1029,1,0)</f>
        <v>SO0607</v>
      </c>
      <c r="C3184" s="29" t="s">
        <v>58</v>
      </c>
      <c r="D3184" s="50" t="str">
        <f>VLOOKUP(C3184,Product!A$2:B$21,1,0)</f>
        <v>PD0012</v>
      </c>
      <c r="E3184" s="36">
        <v>129</v>
      </c>
      <c r="F3184" s="38">
        <v>596493420</v>
      </c>
      <c r="G3184" s="39" t="s">
        <v>5558</v>
      </c>
      <c r="H3184" s="12"/>
      <c r="L3184" s="12"/>
    </row>
    <row r="3185" spans="1:12" ht="15.75" customHeight="1" x14ac:dyDescent="0.3">
      <c r="A3185" s="17" t="s">
        <v>853</v>
      </c>
      <c r="B3185" s="50" t="str">
        <f>VLOOKUP(A3185,'Sales Order'!A$2:B$1029,1,0)</f>
        <v>SO0615</v>
      </c>
      <c r="C3185" s="29" t="s">
        <v>65</v>
      </c>
      <c r="D3185" s="50" t="str">
        <f>VLOOKUP(C3185,Product!A$2:B$21,1,0)</f>
        <v>PD0014</v>
      </c>
      <c r="E3185" s="36">
        <v>127</v>
      </c>
      <c r="F3185" s="38">
        <v>29839920</v>
      </c>
      <c r="G3185" s="39" t="s">
        <v>5559</v>
      </c>
      <c r="H3185" s="12"/>
      <c r="L3185" s="12"/>
    </row>
    <row r="3186" spans="1:12" ht="15.75" customHeight="1" x14ac:dyDescent="0.3">
      <c r="A3186" s="29" t="s">
        <v>853</v>
      </c>
      <c r="B3186" s="50" t="str">
        <f>VLOOKUP(A3186,'Sales Order'!A$2:B$1029,1,0)</f>
        <v>SO0615</v>
      </c>
      <c r="C3186" s="29" t="s">
        <v>61</v>
      </c>
      <c r="D3186" s="50" t="str">
        <f>VLOOKUP(C3186,Product!A$2:B$21,1,0)</f>
        <v>PD0013</v>
      </c>
      <c r="E3186" s="36">
        <v>117</v>
      </c>
      <c r="F3186" s="38">
        <v>48196980</v>
      </c>
      <c r="G3186" s="39" t="s">
        <v>5560</v>
      </c>
      <c r="H3186" s="12"/>
      <c r="L3186" s="12"/>
    </row>
    <row r="3187" spans="1:12" ht="15.75" customHeight="1" x14ac:dyDescent="0.3">
      <c r="A3187" s="17" t="s">
        <v>858</v>
      </c>
      <c r="B3187" s="50" t="str">
        <f>VLOOKUP(A3187,'Sales Order'!A$2:B$1029,1,0)</f>
        <v>SO0620</v>
      </c>
      <c r="C3187" s="29" t="s">
        <v>52</v>
      </c>
      <c r="D3187" s="50" t="str">
        <f>VLOOKUP(C3187,Product!A$2:B$21,1,0)</f>
        <v>PD0010</v>
      </c>
      <c r="E3187" s="36">
        <v>91</v>
      </c>
      <c r="F3187" s="38">
        <v>23364250</v>
      </c>
      <c r="G3187" s="39" t="s">
        <v>5561</v>
      </c>
      <c r="H3187" s="12"/>
      <c r="L3187" s="12"/>
    </row>
    <row r="3188" spans="1:12" ht="15.75" customHeight="1" x14ac:dyDescent="0.3">
      <c r="A3188" s="29" t="s">
        <v>858</v>
      </c>
      <c r="B3188" s="50" t="str">
        <f>VLOOKUP(A3188,'Sales Order'!A$2:B$1029,1,0)</f>
        <v>SO0620</v>
      </c>
      <c r="C3188" s="29" t="s">
        <v>48</v>
      </c>
      <c r="D3188" s="50" t="str">
        <f>VLOOKUP(C3188,Product!A$2:B$21,1,0)</f>
        <v>PD0009</v>
      </c>
      <c r="E3188" s="36">
        <v>60</v>
      </c>
      <c r="F3188" s="38">
        <v>6966000</v>
      </c>
      <c r="G3188" s="39" t="s">
        <v>5562</v>
      </c>
      <c r="H3188" s="12"/>
      <c r="L3188" s="12"/>
    </row>
    <row r="3189" spans="1:12" ht="15.75" customHeight="1" x14ac:dyDescent="0.3">
      <c r="A3189" s="17" t="s">
        <v>859</v>
      </c>
      <c r="B3189" s="50" t="str">
        <f>VLOOKUP(A3189,'Sales Order'!A$2:B$1029,1,0)</f>
        <v>SO0621</v>
      </c>
      <c r="C3189" s="29" t="s">
        <v>48</v>
      </c>
      <c r="D3189" s="50" t="str">
        <f>VLOOKUP(C3189,Product!A$2:B$21,1,0)</f>
        <v>PD0009</v>
      </c>
      <c r="E3189" s="36">
        <v>103</v>
      </c>
      <c r="F3189" s="38">
        <v>11825430</v>
      </c>
      <c r="G3189" s="39" t="s">
        <v>5563</v>
      </c>
      <c r="H3189" s="12"/>
      <c r="L3189" s="12"/>
    </row>
    <row r="3190" spans="1:12" ht="15.75" customHeight="1" x14ac:dyDescent="0.3">
      <c r="A3190" s="29" t="s">
        <v>859</v>
      </c>
      <c r="B3190" s="50" t="str">
        <f>VLOOKUP(A3190,'Sales Order'!A$2:B$1029,1,0)</f>
        <v>SO0621</v>
      </c>
      <c r="C3190" s="29" t="s">
        <v>52</v>
      </c>
      <c r="D3190" s="50" t="str">
        <f>VLOOKUP(C3190,Product!A$2:B$21,1,0)</f>
        <v>PD0010</v>
      </c>
      <c r="E3190" s="36">
        <v>135</v>
      </c>
      <c r="F3190" s="38">
        <v>36416250</v>
      </c>
      <c r="G3190" s="39" t="s">
        <v>5564</v>
      </c>
      <c r="H3190" s="12"/>
      <c r="L3190" s="12"/>
    </row>
    <row r="3191" spans="1:12" ht="15.75" customHeight="1" x14ac:dyDescent="0.3">
      <c r="A3191" s="29" t="s">
        <v>860</v>
      </c>
      <c r="B3191" s="50" t="str">
        <f>VLOOKUP(A3191,'Sales Order'!A$2:B$1029,1,0)</f>
        <v>SO0622</v>
      </c>
      <c r="C3191" s="29" t="s">
        <v>25</v>
      </c>
      <c r="D3191" s="50" t="str">
        <f>VLOOKUP(C3191,Product!A$2:B$21,1,0)</f>
        <v>PD0002</v>
      </c>
      <c r="E3191" s="36">
        <v>35</v>
      </c>
      <c r="F3191" s="38">
        <v>602000</v>
      </c>
      <c r="G3191" s="39" t="s">
        <v>5565</v>
      </c>
      <c r="H3191" s="12"/>
      <c r="L3191" s="12"/>
    </row>
    <row r="3192" spans="1:12" ht="15.75" customHeight="1" x14ac:dyDescent="0.3">
      <c r="A3192" s="29" t="s">
        <v>860</v>
      </c>
      <c r="B3192" s="50" t="str">
        <f>VLOOKUP(A3192,'Sales Order'!A$2:B$1029,1,0)</f>
        <v>SO0622</v>
      </c>
      <c r="C3192" s="29" t="s">
        <v>19</v>
      </c>
      <c r="D3192" s="50" t="str">
        <f>VLOOKUP(C3192,Product!A$2:B$21,1,0)</f>
        <v>PD0001</v>
      </c>
      <c r="E3192" s="36">
        <v>122</v>
      </c>
      <c r="F3192" s="38">
        <v>23391060</v>
      </c>
      <c r="G3192" s="39" t="s">
        <v>5566</v>
      </c>
      <c r="H3192" s="12"/>
      <c r="L3192" s="12"/>
    </row>
    <row r="3193" spans="1:12" ht="15.75" customHeight="1" x14ac:dyDescent="0.3">
      <c r="A3193" s="17" t="s">
        <v>870</v>
      </c>
      <c r="B3193" s="50" t="str">
        <f>VLOOKUP(A3193,'Sales Order'!A$2:B$1029,1,0)</f>
        <v>SO0632</v>
      </c>
      <c r="C3193" s="29" t="s">
        <v>55</v>
      </c>
      <c r="D3193" s="50" t="str">
        <f>VLOOKUP(C3193,Product!A$2:B$21,1,0)</f>
        <v>PD0011</v>
      </c>
      <c r="E3193" s="36">
        <v>85</v>
      </c>
      <c r="F3193" s="38">
        <v>180463500</v>
      </c>
      <c r="G3193" s="39" t="s">
        <v>5567</v>
      </c>
      <c r="H3193" s="12"/>
      <c r="L3193" s="12"/>
    </row>
    <row r="3194" spans="1:12" ht="15.75" customHeight="1" x14ac:dyDescent="0.3">
      <c r="A3194" s="29" t="s">
        <v>870</v>
      </c>
      <c r="B3194" s="50" t="str">
        <f>VLOOKUP(A3194,'Sales Order'!A$2:B$1029,1,0)</f>
        <v>SO0632</v>
      </c>
      <c r="C3194" s="29" t="s">
        <v>58</v>
      </c>
      <c r="D3194" s="50" t="str">
        <f>VLOOKUP(C3194,Product!A$2:B$21,1,0)</f>
        <v>PD0012</v>
      </c>
      <c r="E3194" s="36">
        <v>86</v>
      </c>
      <c r="F3194" s="38">
        <v>426759520</v>
      </c>
      <c r="G3194" s="39" t="s">
        <v>5568</v>
      </c>
      <c r="H3194" s="12"/>
      <c r="L3194" s="12"/>
    </row>
    <row r="3195" spans="1:12" ht="15.75" customHeight="1" x14ac:dyDescent="0.3">
      <c r="A3195" s="17" t="s">
        <v>880</v>
      </c>
      <c r="B3195" s="50" t="str">
        <f>VLOOKUP(A3195,'Sales Order'!A$2:B$1029,1,0)</f>
        <v>SO0642</v>
      </c>
      <c r="C3195" s="29" t="s">
        <v>19</v>
      </c>
      <c r="D3195" s="50" t="str">
        <f>VLOOKUP(C3195,Product!A$2:B$21,1,0)</f>
        <v>PD0001</v>
      </c>
      <c r="E3195" s="36">
        <v>67</v>
      </c>
      <c r="F3195" s="38">
        <v>14847870</v>
      </c>
      <c r="G3195" s="39" t="s">
        <v>5569</v>
      </c>
      <c r="H3195" s="12"/>
      <c r="L3195" s="12"/>
    </row>
    <row r="3196" spans="1:12" ht="15.75" customHeight="1" x14ac:dyDescent="0.3">
      <c r="A3196" s="29" t="s">
        <v>880</v>
      </c>
      <c r="B3196" s="50" t="str">
        <f>VLOOKUP(A3196,'Sales Order'!A$2:B$1029,1,0)</f>
        <v>SO0642</v>
      </c>
      <c r="C3196" s="29" t="s">
        <v>45</v>
      </c>
      <c r="D3196" s="50" t="str">
        <f>VLOOKUP(C3196,Product!A$2:B$21,1,0)</f>
        <v>PD0008</v>
      </c>
      <c r="E3196" s="36">
        <v>29</v>
      </c>
      <c r="F3196" s="38">
        <v>3456800</v>
      </c>
      <c r="G3196" s="39" t="s">
        <v>5570</v>
      </c>
      <c r="H3196" s="12"/>
      <c r="L3196" s="12"/>
    </row>
    <row r="3197" spans="1:12" ht="15.75" customHeight="1" x14ac:dyDescent="0.3">
      <c r="A3197" s="17" t="s">
        <v>884</v>
      </c>
      <c r="B3197" s="50" t="str">
        <f>VLOOKUP(A3197,'Sales Order'!A$2:B$1029,1,0)</f>
        <v>SO0646</v>
      </c>
      <c r="C3197" s="29" t="s">
        <v>69</v>
      </c>
      <c r="D3197" s="50" t="str">
        <f>VLOOKUP(C3197,Product!A$2:B$21,1,0)</f>
        <v>PD0015</v>
      </c>
      <c r="E3197" s="36">
        <v>30</v>
      </c>
      <c r="F3197" s="38">
        <v>3098520</v>
      </c>
      <c r="G3197" s="39" t="s">
        <v>5571</v>
      </c>
      <c r="H3197" s="12"/>
      <c r="L3197" s="12"/>
    </row>
    <row r="3198" spans="1:12" ht="15.75" customHeight="1" x14ac:dyDescent="0.3">
      <c r="A3198" s="29" t="s">
        <v>884</v>
      </c>
      <c r="B3198" s="50" t="str">
        <f>VLOOKUP(A3198,'Sales Order'!A$2:B$1029,1,0)</f>
        <v>SO0646</v>
      </c>
      <c r="C3198" s="29" t="s">
        <v>72</v>
      </c>
      <c r="D3198" s="50" t="str">
        <f>VLOOKUP(C3198,Product!A$2:B$21,1,0)</f>
        <v>PD0016</v>
      </c>
      <c r="E3198" s="36">
        <v>108</v>
      </c>
      <c r="F3198" s="38">
        <v>24510600</v>
      </c>
      <c r="G3198" s="39" t="s">
        <v>5572</v>
      </c>
      <c r="H3198" s="12"/>
      <c r="L3198" s="12"/>
    </row>
    <row r="3199" spans="1:12" ht="15.75" customHeight="1" x14ac:dyDescent="0.3">
      <c r="A3199" s="29" t="s">
        <v>888</v>
      </c>
      <c r="B3199" s="50" t="str">
        <f>VLOOKUP(A3199,'Sales Order'!A$2:B$1029,1,0)</f>
        <v>SO0650</v>
      </c>
      <c r="C3199" s="29" t="s">
        <v>19</v>
      </c>
      <c r="D3199" s="50" t="str">
        <f>VLOOKUP(C3199,Product!A$2:B$21,1,0)</f>
        <v>PD0001</v>
      </c>
      <c r="E3199" s="36">
        <v>117</v>
      </c>
      <c r="F3199" s="38">
        <v>23306400</v>
      </c>
      <c r="G3199" s="39" t="s">
        <v>5573</v>
      </c>
      <c r="H3199" s="12"/>
      <c r="L3199" s="12"/>
    </row>
    <row r="3200" spans="1:12" ht="15.75" customHeight="1" x14ac:dyDescent="0.3">
      <c r="A3200" s="29" t="s">
        <v>888</v>
      </c>
      <c r="B3200" s="50" t="str">
        <f>VLOOKUP(A3200,'Sales Order'!A$2:B$1029,1,0)</f>
        <v>SO0650</v>
      </c>
      <c r="C3200" s="29" t="s">
        <v>25</v>
      </c>
      <c r="D3200" s="50" t="str">
        <f>VLOOKUP(C3200,Product!A$2:B$21,1,0)</f>
        <v>PD0002</v>
      </c>
      <c r="E3200" s="36">
        <v>35</v>
      </c>
      <c r="F3200" s="38">
        <v>567000</v>
      </c>
      <c r="G3200" s="39" t="s">
        <v>5574</v>
      </c>
      <c r="H3200" s="12"/>
      <c r="L3200" s="12"/>
    </row>
    <row r="3201" spans="1:12" ht="15.75" customHeight="1" x14ac:dyDescent="0.3">
      <c r="A3201" s="17" t="s">
        <v>890</v>
      </c>
      <c r="B3201" s="50" t="str">
        <f>VLOOKUP(A3201,'Sales Order'!A$2:B$1029,1,0)</f>
        <v>SO0652</v>
      </c>
      <c r="C3201" s="29" t="s">
        <v>35</v>
      </c>
      <c r="D3201" s="50" t="str">
        <f>VLOOKUP(C3201,Product!A$2:B$21,1,0)</f>
        <v>PD0005</v>
      </c>
      <c r="E3201" s="36">
        <v>81</v>
      </c>
      <c r="F3201" s="38">
        <v>142236000</v>
      </c>
      <c r="G3201" s="39" t="s">
        <v>5575</v>
      </c>
      <c r="H3201" s="12"/>
      <c r="L3201" s="12"/>
    </row>
    <row r="3202" spans="1:12" ht="15.75" customHeight="1" x14ac:dyDescent="0.3">
      <c r="A3202" s="29" t="s">
        <v>890</v>
      </c>
      <c r="B3202" s="50" t="str">
        <f>VLOOKUP(A3202,'Sales Order'!A$2:B$1029,1,0)</f>
        <v>SO0652</v>
      </c>
      <c r="C3202" s="29" t="s">
        <v>43</v>
      </c>
      <c r="D3202" s="50" t="str">
        <f>VLOOKUP(C3202,Product!A$2:B$21,1,0)</f>
        <v>PD0007</v>
      </c>
      <c r="E3202" s="36">
        <v>122</v>
      </c>
      <c r="F3202" s="38">
        <v>339648000</v>
      </c>
      <c r="G3202" s="39" t="s">
        <v>5576</v>
      </c>
      <c r="H3202" s="12"/>
      <c r="L3202" s="12"/>
    </row>
    <row r="3203" spans="1:12" ht="15.75" customHeight="1" x14ac:dyDescent="0.3">
      <c r="A3203" s="29" t="s">
        <v>895</v>
      </c>
      <c r="B3203" s="50" t="str">
        <f>VLOOKUP(A3203,'Sales Order'!A$2:B$1029,1,0)</f>
        <v>SO0657</v>
      </c>
      <c r="C3203" s="29" t="s">
        <v>45</v>
      </c>
      <c r="D3203" s="50" t="str">
        <f>VLOOKUP(C3203,Product!A$2:B$21,1,0)</f>
        <v>PD0008</v>
      </c>
      <c r="E3203" s="36">
        <v>66</v>
      </c>
      <c r="F3203" s="38">
        <v>8653920</v>
      </c>
      <c r="G3203" s="39" t="s">
        <v>5577</v>
      </c>
      <c r="H3203" s="12"/>
      <c r="L3203" s="12"/>
    </row>
    <row r="3204" spans="1:12" ht="15.75" customHeight="1" x14ac:dyDescent="0.3">
      <c r="A3204" s="29" t="s">
        <v>895</v>
      </c>
      <c r="B3204" s="50" t="str">
        <f>VLOOKUP(A3204,'Sales Order'!A$2:B$1029,1,0)</f>
        <v>SO0657</v>
      </c>
      <c r="C3204" s="29" t="s">
        <v>52</v>
      </c>
      <c r="D3204" s="50" t="str">
        <f>VLOOKUP(C3204,Product!A$2:B$21,1,0)</f>
        <v>PD0010</v>
      </c>
      <c r="E3204" s="36">
        <v>124</v>
      </c>
      <c r="F3204" s="38">
        <v>31837000</v>
      </c>
      <c r="G3204" s="39" t="s">
        <v>5578</v>
      </c>
      <c r="H3204" s="12"/>
      <c r="L3204" s="12"/>
    </row>
    <row r="3205" spans="1:12" ht="15.75" customHeight="1" x14ac:dyDescent="0.3">
      <c r="A3205" s="17" t="s">
        <v>897</v>
      </c>
      <c r="B3205" s="50" t="str">
        <f>VLOOKUP(A3205,'Sales Order'!A$2:B$1029,1,0)</f>
        <v>SO0659</v>
      </c>
      <c r="C3205" s="29" t="s">
        <v>72</v>
      </c>
      <c r="D3205" s="50" t="str">
        <f>VLOOKUP(C3205,Product!A$2:B$21,1,0)</f>
        <v>PD0016</v>
      </c>
      <c r="E3205" s="36">
        <v>128</v>
      </c>
      <c r="F3205" s="38">
        <v>31100160</v>
      </c>
      <c r="G3205" s="39" t="s">
        <v>5579</v>
      </c>
      <c r="H3205" s="12"/>
      <c r="L3205" s="12"/>
    </row>
    <row r="3206" spans="1:12" ht="15.75" customHeight="1" x14ac:dyDescent="0.3">
      <c r="A3206" s="29" t="s">
        <v>897</v>
      </c>
      <c r="B3206" s="50" t="str">
        <f>VLOOKUP(A3206,'Sales Order'!A$2:B$1029,1,0)</f>
        <v>SO0659</v>
      </c>
      <c r="C3206" s="29" t="s">
        <v>69</v>
      </c>
      <c r="D3206" s="50" t="str">
        <f>VLOOKUP(C3206,Product!A$2:B$21,1,0)</f>
        <v>PD0015</v>
      </c>
      <c r="E3206" s="36">
        <v>126</v>
      </c>
      <c r="F3206" s="38">
        <v>12842550</v>
      </c>
      <c r="G3206" s="39" t="s">
        <v>5580</v>
      </c>
      <c r="H3206" s="12"/>
      <c r="L3206" s="12"/>
    </row>
    <row r="3207" spans="1:12" ht="15.75" customHeight="1" x14ac:dyDescent="0.3">
      <c r="A3207" s="17" t="s">
        <v>899</v>
      </c>
      <c r="B3207" s="50" t="str">
        <f>VLOOKUP(A3207,'Sales Order'!A$2:B$1029,1,0)</f>
        <v>SO0661</v>
      </c>
      <c r="C3207" s="29" t="s">
        <v>55</v>
      </c>
      <c r="D3207" s="50" t="str">
        <f>VLOOKUP(C3207,Product!A$2:B$21,1,0)</f>
        <v>PD0011</v>
      </c>
      <c r="E3207" s="36">
        <v>111</v>
      </c>
      <c r="F3207" s="38">
        <v>222571650</v>
      </c>
      <c r="G3207" s="39" t="s">
        <v>5581</v>
      </c>
      <c r="H3207" s="12"/>
      <c r="L3207" s="12"/>
    </row>
    <row r="3208" spans="1:12" ht="15.75" customHeight="1" x14ac:dyDescent="0.3">
      <c r="A3208" s="29" t="s">
        <v>899</v>
      </c>
      <c r="B3208" s="50" t="str">
        <f>VLOOKUP(A3208,'Sales Order'!A$2:B$1029,1,0)</f>
        <v>SO0661</v>
      </c>
      <c r="C3208" s="29" t="s">
        <v>58</v>
      </c>
      <c r="D3208" s="50" t="str">
        <f>VLOOKUP(C3208,Product!A$2:B$21,1,0)</f>
        <v>PD0012</v>
      </c>
      <c r="E3208" s="36">
        <v>143</v>
      </c>
      <c r="F3208" s="38">
        <v>741866840</v>
      </c>
      <c r="G3208" s="39" t="s">
        <v>5582</v>
      </c>
      <c r="H3208" s="12"/>
      <c r="L3208" s="12"/>
    </row>
    <row r="3209" spans="1:12" ht="15.75" customHeight="1" x14ac:dyDescent="0.3">
      <c r="A3209" s="17" t="s">
        <v>900</v>
      </c>
      <c r="B3209" s="50" t="str">
        <f>VLOOKUP(A3209,'Sales Order'!A$2:B$1029,1,0)</f>
        <v>SO0662</v>
      </c>
      <c r="C3209" s="29" t="s">
        <v>65</v>
      </c>
      <c r="D3209" s="50" t="str">
        <f>VLOOKUP(C3209,Product!A$2:B$21,1,0)</f>
        <v>PD0014</v>
      </c>
      <c r="E3209" s="36">
        <v>28</v>
      </c>
      <c r="F3209" s="38">
        <v>6653640</v>
      </c>
      <c r="G3209" s="39" t="s">
        <v>5583</v>
      </c>
      <c r="H3209" s="12"/>
      <c r="L3209" s="12"/>
    </row>
    <row r="3210" spans="1:12" ht="15.75" customHeight="1" x14ac:dyDescent="0.3">
      <c r="A3210" s="29" t="s">
        <v>900</v>
      </c>
      <c r="B3210" s="50" t="str">
        <f>VLOOKUP(A3210,'Sales Order'!A$2:B$1029,1,0)</f>
        <v>SO0662</v>
      </c>
      <c r="C3210" s="29" t="s">
        <v>61</v>
      </c>
      <c r="D3210" s="50" t="str">
        <f>VLOOKUP(C3210,Product!A$2:B$21,1,0)</f>
        <v>PD0013</v>
      </c>
      <c r="E3210" s="36">
        <v>64</v>
      </c>
      <c r="F3210" s="38">
        <v>24524800</v>
      </c>
      <c r="G3210" s="39" t="s">
        <v>5584</v>
      </c>
      <c r="H3210" s="12"/>
      <c r="L3210" s="12"/>
    </row>
    <row r="3211" spans="1:12" ht="15.75" customHeight="1" x14ac:dyDescent="0.3">
      <c r="A3211" s="29" t="s">
        <v>900</v>
      </c>
      <c r="B3211" s="50" t="str">
        <f>VLOOKUP(A3211,'Sales Order'!A$2:B$1029,1,0)</f>
        <v>SO0662</v>
      </c>
      <c r="C3211" s="29" t="s">
        <v>48</v>
      </c>
      <c r="D3211" s="50" t="str">
        <f>VLOOKUP(C3211,Product!A$2:B$21,1,0)</f>
        <v>PD0009</v>
      </c>
      <c r="E3211" s="36">
        <v>96</v>
      </c>
      <c r="F3211" s="38">
        <v>9907200</v>
      </c>
      <c r="G3211" s="39" t="s">
        <v>5585</v>
      </c>
      <c r="H3211" s="12"/>
      <c r="L3211" s="12"/>
    </row>
    <row r="3212" spans="1:12" ht="15.75" customHeight="1" x14ac:dyDescent="0.3">
      <c r="A3212" s="29" t="s">
        <v>900</v>
      </c>
      <c r="B3212" s="50" t="str">
        <f>VLOOKUP(A3212,'Sales Order'!A$2:B$1029,1,0)</f>
        <v>SO0662</v>
      </c>
      <c r="C3212" s="29" t="s">
        <v>58</v>
      </c>
      <c r="D3212" s="50" t="str">
        <f>VLOOKUP(C3212,Product!A$2:B$21,1,0)</f>
        <v>PD0012</v>
      </c>
      <c r="E3212" s="36">
        <v>126</v>
      </c>
      <c r="F3212" s="38">
        <v>589726620</v>
      </c>
      <c r="G3212" s="39" t="s">
        <v>5586</v>
      </c>
      <c r="H3212" s="12"/>
      <c r="L3212" s="12"/>
    </row>
    <row r="3213" spans="1:12" ht="15.75" customHeight="1" x14ac:dyDescent="0.3">
      <c r="A3213" s="29" t="s">
        <v>904</v>
      </c>
      <c r="B3213" s="50" t="str">
        <f>VLOOKUP(A3213,'Sales Order'!A$2:B$1029,1,0)</f>
        <v>SO0666</v>
      </c>
      <c r="C3213" s="29" t="s">
        <v>28</v>
      </c>
      <c r="D3213" s="50" t="str">
        <f>VLOOKUP(C3213,Product!A$2:B$21,1,0)</f>
        <v>PD0003</v>
      </c>
      <c r="E3213" s="36">
        <v>104</v>
      </c>
      <c r="F3213" s="38">
        <v>84236880</v>
      </c>
      <c r="G3213" s="39" t="s">
        <v>5587</v>
      </c>
      <c r="H3213" s="12"/>
      <c r="L3213" s="12"/>
    </row>
    <row r="3214" spans="1:12" ht="15.75" customHeight="1" x14ac:dyDescent="0.3">
      <c r="A3214" s="29" t="s">
        <v>904</v>
      </c>
      <c r="B3214" s="50" t="str">
        <f>VLOOKUP(A3214,'Sales Order'!A$2:B$1029,1,0)</f>
        <v>SO0666</v>
      </c>
      <c r="C3214" s="29" t="s">
        <v>33</v>
      </c>
      <c r="D3214" s="50" t="str">
        <f>VLOOKUP(C3214,Product!A$2:B$21,1,0)</f>
        <v>PD0004</v>
      </c>
      <c r="E3214" s="36">
        <v>125</v>
      </c>
      <c r="F3214" s="38">
        <v>25300000</v>
      </c>
      <c r="G3214" s="39" t="s">
        <v>5588</v>
      </c>
      <c r="H3214" s="12"/>
      <c r="L3214" s="12"/>
    </row>
    <row r="3215" spans="1:12" ht="15.75" customHeight="1" x14ac:dyDescent="0.3">
      <c r="A3215" s="29" t="s">
        <v>907</v>
      </c>
      <c r="B3215" s="50" t="str">
        <f>VLOOKUP(A3215,'Sales Order'!A$2:B$1029,1,0)</f>
        <v>SO0669</v>
      </c>
      <c r="C3215" s="29" t="s">
        <v>45</v>
      </c>
      <c r="D3215" s="50" t="str">
        <f>VLOOKUP(C3215,Product!A$2:B$21,1,0)</f>
        <v>PD0008</v>
      </c>
      <c r="E3215" s="36">
        <v>94</v>
      </c>
      <c r="F3215" s="38">
        <v>12465340</v>
      </c>
      <c r="G3215" s="39" t="s">
        <v>5589</v>
      </c>
      <c r="H3215" s="12"/>
      <c r="L3215" s="12"/>
    </row>
    <row r="3216" spans="1:12" ht="15.75" customHeight="1" x14ac:dyDescent="0.3">
      <c r="A3216" s="29" t="s">
        <v>907</v>
      </c>
      <c r="B3216" s="50" t="str">
        <f>VLOOKUP(A3216,'Sales Order'!A$2:B$1029,1,0)</f>
        <v>SO0669</v>
      </c>
      <c r="C3216" s="29" t="s">
        <v>52</v>
      </c>
      <c r="D3216" s="50" t="str">
        <f>VLOOKUP(C3216,Product!A$2:B$21,1,0)</f>
        <v>PD0010</v>
      </c>
      <c r="E3216" s="36">
        <v>148</v>
      </c>
      <c r="F3216" s="38">
        <v>45695000</v>
      </c>
      <c r="G3216" s="39" t="s">
        <v>5590</v>
      </c>
      <c r="H3216" s="12"/>
      <c r="L3216" s="12"/>
    </row>
    <row r="3217" spans="1:12" ht="15.75" customHeight="1" x14ac:dyDescent="0.3">
      <c r="A3217" s="29" t="s">
        <v>913</v>
      </c>
      <c r="B3217" s="50" t="str">
        <f>VLOOKUP(A3217,'Sales Order'!A$2:B$1029,1,0)</f>
        <v>SO0675</v>
      </c>
      <c r="C3217" s="29" t="s">
        <v>19</v>
      </c>
      <c r="D3217" s="50" t="str">
        <f>VLOOKUP(C3217,Product!A$2:B$21,1,0)</f>
        <v>PD0001</v>
      </c>
      <c r="E3217" s="36">
        <v>135</v>
      </c>
      <c r="F3217" s="38">
        <v>31934250</v>
      </c>
      <c r="G3217" s="39" t="s">
        <v>5591</v>
      </c>
      <c r="H3217" s="12"/>
      <c r="L3217" s="12"/>
    </row>
    <row r="3218" spans="1:12" ht="15.75" customHeight="1" x14ac:dyDescent="0.3">
      <c r="A3218" s="29" t="s">
        <v>913</v>
      </c>
      <c r="B3218" s="50" t="str">
        <f>VLOOKUP(A3218,'Sales Order'!A$2:B$1029,1,0)</f>
        <v>SO0675</v>
      </c>
      <c r="C3218" s="29" t="s">
        <v>45</v>
      </c>
      <c r="D3218" s="50" t="str">
        <f>VLOOKUP(C3218,Product!A$2:B$21,1,0)</f>
        <v>PD0008</v>
      </c>
      <c r="E3218" s="36">
        <v>111</v>
      </c>
      <c r="F3218" s="38">
        <v>15050490</v>
      </c>
      <c r="G3218" s="39" t="s">
        <v>5592</v>
      </c>
      <c r="H3218" s="12"/>
      <c r="L3218" s="12"/>
    </row>
    <row r="3219" spans="1:12" ht="15.75" customHeight="1" x14ac:dyDescent="0.3">
      <c r="A3219" s="17" t="s">
        <v>915</v>
      </c>
      <c r="B3219" s="50" t="str">
        <f>VLOOKUP(A3219,'Sales Order'!A$2:B$1029,1,0)</f>
        <v>SO0677</v>
      </c>
      <c r="C3219" s="29" t="s">
        <v>19</v>
      </c>
      <c r="D3219" s="50" t="str">
        <f>VLOOKUP(C3219,Product!A$2:B$21,1,0)</f>
        <v>PD0001</v>
      </c>
      <c r="E3219" s="36">
        <v>106</v>
      </c>
      <c r="F3219" s="38">
        <v>24546420</v>
      </c>
      <c r="G3219" s="39" t="s">
        <v>5593</v>
      </c>
      <c r="H3219" s="12"/>
      <c r="L3219" s="12"/>
    </row>
    <row r="3220" spans="1:12" ht="15.75" customHeight="1" x14ac:dyDescent="0.3">
      <c r="A3220" s="29" t="s">
        <v>915</v>
      </c>
      <c r="B3220" s="50" t="str">
        <f>VLOOKUP(A3220,'Sales Order'!A$2:B$1029,1,0)</f>
        <v>SO0677</v>
      </c>
      <c r="C3220" s="29" t="s">
        <v>45</v>
      </c>
      <c r="D3220" s="50" t="str">
        <f>VLOOKUP(C3220,Product!A$2:B$21,1,0)</f>
        <v>PD0008</v>
      </c>
      <c r="E3220" s="36">
        <v>62</v>
      </c>
      <c r="F3220" s="38">
        <v>7944680</v>
      </c>
      <c r="G3220" s="39" t="s">
        <v>5594</v>
      </c>
      <c r="H3220" s="12"/>
      <c r="L3220" s="12"/>
    </row>
    <row r="3221" spans="1:12" ht="15.75" customHeight="1" x14ac:dyDescent="0.3">
      <c r="A3221" s="29" t="s">
        <v>916</v>
      </c>
      <c r="B3221" s="50" t="str">
        <f>VLOOKUP(A3221,'Sales Order'!A$2:B$1029,1,0)</f>
        <v>SO0678</v>
      </c>
      <c r="C3221" s="29" t="s">
        <v>81</v>
      </c>
      <c r="D3221" s="50" t="str">
        <f>VLOOKUP(C3221,Product!A$2:B$21,1,0)</f>
        <v>PD0019</v>
      </c>
      <c r="E3221" s="36">
        <v>133</v>
      </c>
      <c r="F3221" s="38">
        <v>264433260</v>
      </c>
      <c r="G3221" s="39" t="s">
        <v>5595</v>
      </c>
      <c r="H3221" s="12"/>
      <c r="L3221" s="12"/>
    </row>
    <row r="3222" spans="1:12" ht="15.75" customHeight="1" x14ac:dyDescent="0.3">
      <c r="A3222" s="29" t="s">
        <v>916</v>
      </c>
      <c r="B3222" s="50" t="str">
        <f>VLOOKUP(A3222,'Sales Order'!A$2:B$1029,1,0)</f>
        <v>SO0678</v>
      </c>
      <c r="C3222" s="29" t="s">
        <v>78</v>
      </c>
      <c r="D3222" s="50" t="str">
        <f>VLOOKUP(C3222,Product!A$2:B$21,1,0)</f>
        <v>PD0018</v>
      </c>
      <c r="E3222" s="36">
        <v>30</v>
      </c>
      <c r="F3222" s="38">
        <v>14523600</v>
      </c>
      <c r="G3222" s="39" t="s">
        <v>5596</v>
      </c>
      <c r="H3222" s="12"/>
      <c r="L3222" s="12"/>
    </row>
    <row r="3223" spans="1:12" ht="15.75" customHeight="1" x14ac:dyDescent="0.3">
      <c r="A3223" s="17" t="s">
        <v>922</v>
      </c>
      <c r="B3223" s="50" t="str">
        <f>VLOOKUP(A3223,'Sales Order'!A$2:B$1029,1,0)</f>
        <v>SO0684</v>
      </c>
      <c r="C3223" s="29" t="s">
        <v>83</v>
      </c>
      <c r="D3223" s="50" t="str">
        <f>VLOOKUP(C3223,Product!A$2:B$21,1,0)</f>
        <v>PD0020</v>
      </c>
      <c r="E3223" s="36">
        <v>144</v>
      </c>
      <c r="F3223" s="38">
        <v>42526080</v>
      </c>
      <c r="G3223" s="39" t="s">
        <v>5597</v>
      </c>
      <c r="H3223" s="12"/>
      <c r="L3223" s="12"/>
    </row>
    <row r="3224" spans="1:12" ht="15.75" customHeight="1" x14ac:dyDescent="0.3">
      <c r="A3224" s="29" t="s">
        <v>922</v>
      </c>
      <c r="B3224" s="50" t="str">
        <f>VLOOKUP(A3224,'Sales Order'!A$2:B$1029,1,0)</f>
        <v>SO0684</v>
      </c>
      <c r="C3224" s="29" t="s">
        <v>69</v>
      </c>
      <c r="D3224" s="50" t="str">
        <f>VLOOKUP(C3224,Product!A$2:B$21,1,0)</f>
        <v>PD0015</v>
      </c>
      <c r="E3224" s="36">
        <v>69</v>
      </c>
      <c r="F3224" s="38">
        <v>8345619</v>
      </c>
      <c r="G3224" s="39" t="s">
        <v>5598</v>
      </c>
      <c r="H3224" s="12"/>
      <c r="L3224" s="12"/>
    </row>
    <row r="3225" spans="1:12" ht="15.75" customHeight="1" x14ac:dyDescent="0.3">
      <c r="A3225" s="29" t="s">
        <v>922</v>
      </c>
      <c r="B3225" s="50" t="str">
        <f>VLOOKUP(A3225,'Sales Order'!A$2:B$1029,1,0)</f>
        <v>SO0684</v>
      </c>
      <c r="C3225" s="29" t="s">
        <v>45</v>
      </c>
      <c r="D3225" s="50" t="str">
        <f>VLOOKUP(C3225,Product!A$2:B$21,1,0)</f>
        <v>PD0008</v>
      </c>
      <c r="E3225" s="36">
        <v>59</v>
      </c>
      <c r="F3225" s="38">
        <v>7384440</v>
      </c>
      <c r="G3225" s="39" t="s">
        <v>5599</v>
      </c>
      <c r="H3225" s="12"/>
      <c r="L3225" s="12"/>
    </row>
    <row r="3226" spans="1:12" ht="15.75" customHeight="1" x14ac:dyDescent="0.3">
      <c r="A3226" s="29" t="s">
        <v>922</v>
      </c>
      <c r="B3226" s="50" t="str">
        <f>VLOOKUP(A3226,'Sales Order'!A$2:B$1029,1,0)</f>
        <v>SO0684</v>
      </c>
      <c r="C3226" s="29" t="s">
        <v>40</v>
      </c>
      <c r="D3226" s="50" t="str">
        <f>VLOOKUP(C3226,Product!A$2:B$21,1,0)</f>
        <v>PD0006</v>
      </c>
      <c r="E3226" s="36">
        <v>117</v>
      </c>
      <c r="F3226" s="38">
        <v>21763170</v>
      </c>
      <c r="G3226" s="39" t="s">
        <v>5600</v>
      </c>
      <c r="H3226" s="12"/>
      <c r="L3226" s="12"/>
    </row>
    <row r="3227" spans="1:12" ht="15.75" customHeight="1" x14ac:dyDescent="0.3">
      <c r="A3227" s="29" t="s">
        <v>924</v>
      </c>
      <c r="B3227" s="50" t="str">
        <f>VLOOKUP(A3227,'Sales Order'!A$2:B$1029,1,0)</f>
        <v>SO0686</v>
      </c>
      <c r="C3227" s="29" t="s">
        <v>81</v>
      </c>
      <c r="D3227" s="50" t="str">
        <f>VLOOKUP(C3227,Product!A$2:B$21,1,0)</f>
        <v>PD0019</v>
      </c>
      <c r="E3227" s="36">
        <v>75</v>
      </c>
      <c r="F3227" s="38">
        <v>162498750</v>
      </c>
      <c r="G3227" s="39" t="s">
        <v>5601</v>
      </c>
      <c r="H3227" s="12"/>
      <c r="L3227" s="12"/>
    </row>
    <row r="3228" spans="1:12" ht="15.75" customHeight="1" x14ac:dyDescent="0.3">
      <c r="A3228" s="29" t="s">
        <v>924</v>
      </c>
      <c r="B3228" s="50" t="str">
        <f>VLOOKUP(A3228,'Sales Order'!A$2:B$1029,1,0)</f>
        <v>SO0686</v>
      </c>
      <c r="C3228" s="29" t="s">
        <v>75</v>
      </c>
      <c r="D3228" s="50" t="str">
        <f>VLOOKUP(C3228,Product!A$2:B$21,1,0)</f>
        <v>PD0017</v>
      </c>
      <c r="E3228" s="36">
        <v>59</v>
      </c>
      <c r="F3228" s="38">
        <v>123516500</v>
      </c>
      <c r="G3228" s="39" t="s">
        <v>5602</v>
      </c>
      <c r="H3228" s="12"/>
      <c r="L3228" s="12"/>
    </row>
    <row r="3229" spans="1:12" ht="15.75" customHeight="1" x14ac:dyDescent="0.3">
      <c r="A3229" s="17" t="s">
        <v>926</v>
      </c>
      <c r="B3229" s="50" t="str">
        <f>VLOOKUP(A3229,'Sales Order'!A$2:B$1029,1,0)</f>
        <v>SO0688</v>
      </c>
      <c r="C3229" s="29" t="s">
        <v>33</v>
      </c>
      <c r="D3229" s="50" t="str">
        <f>VLOOKUP(C3229,Product!A$2:B$21,1,0)</f>
        <v>PD0004</v>
      </c>
      <c r="E3229" s="36">
        <v>121</v>
      </c>
      <c r="F3229" s="38">
        <v>22627000</v>
      </c>
      <c r="G3229" s="39" t="s">
        <v>5603</v>
      </c>
      <c r="H3229" s="12"/>
      <c r="L3229" s="12"/>
    </row>
    <row r="3230" spans="1:12" ht="15.75" customHeight="1" x14ac:dyDescent="0.3">
      <c r="A3230" s="29" t="s">
        <v>926</v>
      </c>
      <c r="B3230" s="50" t="str">
        <f>VLOOKUP(A3230,'Sales Order'!A$2:B$1029,1,0)</f>
        <v>SO0688</v>
      </c>
      <c r="C3230" s="29" t="s">
        <v>45</v>
      </c>
      <c r="D3230" s="50" t="str">
        <f>VLOOKUP(C3230,Product!A$2:B$21,1,0)</f>
        <v>PD0008</v>
      </c>
      <c r="E3230" s="36">
        <v>91</v>
      </c>
      <c r="F3230" s="38">
        <v>12609870</v>
      </c>
      <c r="G3230" s="39" t="s">
        <v>5604</v>
      </c>
      <c r="H3230" s="12"/>
      <c r="L3230" s="12"/>
    </row>
    <row r="3231" spans="1:12" ht="15.75" customHeight="1" x14ac:dyDescent="0.3">
      <c r="A3231" s="29" t="s">
        <v>931</v>
      </c>
      <c r="B3231" s="50" t="str">
        <f>VLOOKUP(A3231,'Sales Order'!A$2:B$1029,1,0)</f>
        <v>SO0693</v>
      </c>
      <c r="C3231" s="29" t="s">
        <v>81</v>
      </c>
      <c r="D3231" s="50" t="str">
        <f>VLOOKUP(C3231,Product!A$2:B$21,1,0)</f>
        <v>PD0019</v>
      </c>
      <c r="E3231" s="36">
        <v>96</v>
      </c>
      <c r="F3231" s="38">
        <v>185975040</v>
      </c>
      <c r="G3231" s="39" t="s">
        <v>5605</v>
      </c>
      <c r="H3231" s="12"/>
      <c r="L3231" s="12"/>
    </row>
    <row r="3232" spans="1:12" ht="15.75" customHeight="1" x14ac:dyDescent="0.3">
      <c r="A3232" s="29" t="s">
        <v>931</v>
      </c>
      <c r="B3232" s="50" t="str">
        <f>VLOOKUP(A3232,'Sales Order'!A$2:B$1029,1,0)</f>
        <v>SO0693</v>
      </c>
      <c r="C3232" s="29" t="s">
        <v>55</v>
      </c>
      <c r="D3232" s="50" t="str">
        <f>VLOOKUP(C3232,Product!A$2:B$21,1,0)</f>
        <v>PD0011</v>
      </c>
      <c r="E3232" s="36">
        <v>88</v>
      </c>
      <c r="F3232" s="38">
        <v>188908720</v>
      </c>
      <c r="G3232" s="39" t="s">
        <v>5606</v>
      </c>
      <c r="H3232" s="12"/>
      <c r="L3232" s="12"/>
    </row>
    <row r="3233" spans="1:12" ht="15.75" customHeight="1" x14ac:dyDescent="0.3">
      <c r="A3233" s="29" t="s">
        <v>933</v>
      </c>
      <c r="B3233" s="50" t="str">
        <f>VLOOKUP(A3233,'Sales Order'!A$2:B$1029,1,0)</f>
        <v>SO0695</v>
      </c>
      <c r="C3233" s="29" t="s">
        <v>33</v>
      </c>
      <c r="D3233" s="50" t="str">
        <f>VLOOKUP(C3233,Product!A$2:B$21,1,0)</f>
        <v>PD0004</v>
      </c>
      <c r="E3233" s="36">
        <v>37</v>
      </c>
      <c r="F3233" s="38">
        <v>7407400</v>
      </c>
      <c r="G3233" s="39" t="s">
        <v>5607</v>
      </c>
      <c r="H3233" s="12"/>
      <c r="L3233" s="12"/>
    </row>
    <row r="3234" spans="1:12" ht="15.75" customHeight="1" x14ac:dyDescent="0.3">
      <c r="A3234" s="29" t="s">
        <v>933</v>
      </c>
      <c r="B3234" s="50" t="str">
        <f>VLOOKUP(A3234,'Sales Order'!A$2:B$1029,1,0)</f>
        <v>SO0695</v>
      </c>
      <c r="C3234" s="29" t="s">
        <v>83</v>
      </c>
      <c r="D3234" s="50" t="str">
        <f>VLOOKUP(C3234,Product!A$2:B$21,1,0)</f>
        <v>PD0020</v>
      </c>
      <c r="E3234" s="36">
        <v>85</v>
      </c>
      <c r="F3234" s="38">
        <v>23465100</v>
      </c>
      <c r="G3234" s="39" t="s">
        <v>5608</v>
      </c>
      <c r="H3234" s="12"/>
      <c r="L3234" s="12"/>
    </row>
    <row r="3235" spans="1:12" ht="15.75" customHeight="1" x14ac:dyDescent="0.3">
      <c r="A3235" s="17" t="s">
        <v>937</v>
      </c>
      <c r="B3235" s="50" t="str">
        <f>VLOOKUP(A3235,'Sales Order'!A$2:B$1029,1,0)</f>
        <v>SO0699</v>
      </c>
      <c r="C3235" s="29" t="s">
        <v>83</v>
      </c>
      <c r="D3235" s="50" t="str">
        <f>VLOOKUP(C3235,Product!A$2:B$21,1,0)</f>
        <v>PD0020</v>
      </c>
      <c r="E3235" s="36">
        <v>114</v>
      </c>
      <c r="F3235" s="38">
        <v>31104900</v>
      </c>
      <c r="G3235" s="39" t="s">
        <v>5609</v>
      </c>
      <c r="H3235" s="12"/>
      <c r="L3235" s="12"/>
    </row>
    <row r="3236" spans="1:12" ht="15.75" customHeight="1" x14ac:dyDescent="0.3">
      <c r="A3236" s="29" t="s">
        <v>937</v>
      </c>
      <c r="B3236" s="50" t="str">
        <f>VLOOKUP(A3236,'Sales Order'!A$2:B$1029,1,0)</f>
        <v>SO0699</v>
      </c>
      <c r="C3236" s="29" t="s">
        <v>33</v>
      </c>
      <c r="D3236" s="50" t="str">
        <f>VLOOKUP(C3236,Product!A$2:B$21,1,0)</f>
        <v>PD0004</v>
      </c>
      <c r="E3236" s="36">
        <v>91</v>
      </c>
      <c r="F3236" s="38">
        <v>18418400</v>
      </c>
      <c r="G3236" s="39" t="s">
        <v>5610</v>
      </c>
      <c r="H3236" s="12"/>
      <c r="L3236" s="12"/>
    </row>
    <row r="3237" spans="1:12" ht="15.75" customHeight="1" x14ac:dyDescent="0.3">
      <c r="A3237" s="17" t="s">
        <v>941</v>
      </c>
      <c r="B3237" s="50" t="str">
        <f>VLOOKUP(A3237,'Sales Order'!A$2:B$1029,1,0)</f>
        <v>SO0703</v>
      </c>
      <c r="C3237" s="29" t="s">
        <v>48</v>
      </c>
      <c r="D3237" s="50" t="str">
        <f>VLOOKUP(C3237,Product!A$2:B$21,1,0)</f>
        <v>PD0009</v>
      </c>
      <c r="E3237" s="36">
        <v>64</v>
      </c>
      <c r="F3237" s="38">
        <v>6769920.0000000009</v>
      </c>
      <c r="G3237" s="39" t="s">
        <v>5611</v>
      </c>
      <c r="H3237" s="12"/>
      <c r="L3237" s="12"/>
    </row>
    <row r="3238" spans="1:12" ht="15.75" customHeight="1" x14ac:dyDescent="0.3">
      <c r="A3238" s="29" t="s">
        <v>941</v>
      </c>
      <c r="B3238" s="50" t="str">
        <f>VLOOKUP(A3238,'Sales Order'!A$2:B$1029,1,0)</f>
        <v>SO0703</v>
      </c>
      <c r="C3238" s="29" t="s">
        <v>52</v>
      </c>
      <c r="D3238" s="50" t="str">
        <f>VLOOKUP(C3238,Product!A$2:B$21,1,0)</f>
        <v>PD0010</v>
      </c>
      <c r="E3238" s="36">
        <v>128</v>
      </c>
      <c r="F3238" s="38">
        <v>39520000</v>
      </c>
      <c r="G3238" s="39" t="s">
        <v>5612</v>
      </c>
      <c r="H3238" s="12"/>
      <c r="L3238" s="12"/>
    </row>
    <row r="3239" spans="1:12" ht="15.75" customHeight="1" x14ac:dyDescent="0.3">
      <c r="A3239" s="29" t="s">
        <v>942</v>
      </c>
      <c r="B3239" s="50" t="str">
        <f>VLOOKUP(A3239,'Sales Order'!A$2:B$1029,1,0)</f>
        <v>SO0704</v>
      </c>
      <c r="C3239" s="29" t="s">
        <v>45</v>
      </c>
      <c r="D3239" s="50" t="str">
        <f>VLOOKUP(C3239,Product!A$2:B$21,1,0)</f>
        <v>PD0008</v>
      </c>
      <c r="E3239" s="36">
        <v>58</v>
      </c>
      <c r="F3239" s="38">
        <v>6827180</v>
      </c>
      <c r="G3239" s="39" t="s">
        <v>5613</v>
      </c>
      <c r="H3239" s="12"/>
      <c r="L3239" s="12"/>
    </row>
    <row r="3240" spans="1:12" ht="15.75" customHeight="1" x14ac:dyDescent="0.3">
      <c r="A3240" s="29" t="s">
        <v>942</v>
      </c>
      <c r="B3240" s="50" t="str">
        <f>VLOOKUP(A3240,'Sales Order'!A$2:B$1029,1,0)</f>
        <v>SO0704</v>
      </c>
      <c r="C3240" s="29" t="s">
        <v>52</v>
      </c>
      <c r="D3240" s="50" t="str">
        <f>VLOOKUP(C3240,Product!A$2:B$21,1,0)</f>
        <v>PD0010</v>
      </c>
      <c r="E3240" s="36">
        <v>82</v>
      </c>
      <c r="F3240" s="38">
        <v>21586500</v>
      </c>
      <c r="G3240" s="39" t="s">
        <v>5614</v>
      </c>
      <c r="H3240" s="12"/>
      <c r="L3240" s="12"/>
    </row>
    <row r="3241" spans="1:12" ht="15.75" customHeight="1" x14ac:dyDescent="0.3">
      <c r="A3241" s="29" t="s">
        <v>942</v>
      </c>
      <c r="B3241" s="50" t="str">
        <f>VLOOKUP(A3241,'Sales Order'!A$2:B$1029,1,0)</f>
        <v>SO0704</v>
      </c>
      <c r="C3241" s="29" t="s">
        <v>48</v>
      </c>
      <c r="D3241" s="50" t="str">
        <f>VLOOKUP(C3241,Product!A$2:B$21,1,0)</f>
        <v>PD0009</v>
      </c>
      <c r="E3241" s="36">
        <v>51</v>
      </c>
      <c r="F3241" s="38">
        <v>5263200</v>
      </c>
      <c r="G3241" s="39" t="s">
        <v>5615</v>
      </c>
      <c r="H3241" s="12"/>
      <c r="L3241" s="12"/>
    </row>
    <row r="3242" spans="1:12" ht="15.75" customHeight="1" x14ac:dyDescent="0.3">
      <c r="A3242" s="29" t="s">
        <v>959</v>
      </c>
      <c r="B3242" s="50" t="str">
        <f>VLOOKUP(A3242,'Sales Order'!A$2:B$1029,1,0)</f>
        <v>SO0721</v>
      </c>
      <c r="C3242" s="29" t="s">
        <v>81</v>
      </c>
      <c r="D3242" s="50" t="str">
        <f>VLOOKUP(C3242,Product!A$2:B$21,1,0)</f>
        <v>PD0019</v>
      </c>
      <c r="E3242" s="36">
        <v>92</v>
      </c>
      <c r="F3242" s="38">
        <v>194641640</v>
      </c>
      <c r="G3242" s="39" t="s">
        <v>5616</v>
      </c>
      <c r="H3242" s="12"/>
      <c r="L3242" s="12"/>
    </row>
    <row r="3243" spans="1:12" ht="15.75" customHeight="1" x14ac:dyDescent="0.3">
      <c r="A3243" s="29" t="s">
        <v>959</v>
      </c>
      <c r="B3243" s="50" t="str">
        <f>VLOOKUP(A3243,'Sales Order'!A$2:B$1029,1,0)</f>
        <v>SO0721</v>
      </c>
      <c r="C3243" s="29" t="s">
        <v>75</v>
      </c>
      <c r="D3243" s="50" t="str">
        <f>VLOOKUP(C3243,Product!A$2:B$21,1,0)</f>
        <v>PD0017</v>
      </c>
      <c r="E3243" s="36">
        <v>93</v>
      </c>
      <c r="F3243" s="38">
        <v>234127500</v>
      </c>
      <c r="G3243" s="39" t="s">
        <v>5617</v>
      </c>
      <c r="H3243" s="12"/>
      <c r="L3243" s="12"/>
    </row>
    <row r="3244" spans="1:12" ht="15.75" customHeight="1" x14ac:dyDescent="0.3">
      <c r="A3244" s="29" t="s">
        <v>963</v>
      </c>
      <c r="B3244" s="50" t="str">
        <f>VLOOKUP(A3244,'Sales Order'!A$2:B$1029,1,0)</f>
        <v>SO0725</v>
      </c>
      <c r="C3244" s="29" t="s">
        <v>33</v>
      </c>
      <c r="D3244" s="50" t="str">
        <f>VLOOKUP(C3244,Product!A$2:B$21,1,0)</f>
        <v>PD0004</v>
      </c>
      <c r="E3244" s="36">
        <v>25</v>
      </c>
      <c r="F3244" s="38">
        <v>4895000</v>
      </c>
      <c r="G3244" s="39" t="s">
        <v>5618</v>
      </c>
      <c r="H3244" s="12"/>
      <c r="L3244" s="12"/>
    </row>
    <row r="3245" spans="1:12" ht="15.75" customHeight="1" x14ac:dyDescent="0.3">
      <c r="A3245" s="29" t="s">
        <v>963</v>
      </c>
      <c r="B3245" s="50" t="str">
        <f>VLOOKUP(A3245,'Sales Order'!A$2:B$1029,1,0)</f>
        <v>SO0725</v>
      </c>
      <c r="C3245" s="29" t="s">
        <v>83</v>
      </c>
      <c r="D3245" s="50" t="str">
        <f>VLOOKUP(C3245,Product!A$2:B$21,1,0)</f>
        <v>PD0020</v>
      </c>
      <c r="E3245" s="36">
        <v>51</v>
      </c>
      <c r="F3245" s="38">
        <v>15552450</v>
      </c>
      <c r="G3245" s="39" t="s">
        <v>5619</v>
      </c>
      <c r="H3245" s="12"/>
      <c r="L3245" s="12"/>
    </row>
    <row r="3246" spans="1:12" ht="15.75" customHeight="1" x14ac:dyDescent="0.3">
      <c r="A3246" s="17" t="s">
        <v>964</v>
      </c>
      <c r="B3246" s="50" t="str">
        <f>VLOOKUP(A3246,'Sales Order'!A$2:B$1029,1,0)</f>
        <v>SO0726</v>
      </c>
      <c r="C3246" s="29" t="s">
        <v>55</v>
      </c>
      <c r="D3246" s="50" t="str">
        <f>VLOOKUP(C3246,Product!A$2:B$21,1,0)</f>
        <v>PD0011</v>
      </c>
      <c r="E3246" s="36">
        <v>30</v>
      </c>
      <c r="F3246" s="38">
        <v>53077500</v>
      </c>
      <c r="G3246" s="39" t="s">
        <v>5620</v>
      </c>
      <c r="H3246" s="12"/>
      <c r="L3246" s="12"/>
    </row>
    <row r="3247" spans="1:12" ht="15.75" customHeight="1" x14ac:dyDescent="0.3">
      <c r="A3247" s="29" t="s">
        <v>964</v>
      </c>
      <c r="B3247" s="50" t="str">
        <f>VLOOKUP(A3247,'Sales Order'!A$2:B$1029,1,0)</f>
        <v>SO0726</v>
      </c>
      <c r="C3247" s="29" t="s">
        <v>58</v>
      </c>
      <c r="D3247" s="50" t="str">
        <f>VLOOKUP(C3247,Product!A$2:B$21,1,0)</f>
        <v>PD0012</v>
      </c>
      <c r="E3247" s="36">
        <v>52</v>
      </c>
      <c r="F3247" s="38">
        <v>255108360</v>
      </c>
      <c r="G3247" s="39" t="s">
        <v>5621</v>
      </c>
      <c r="H3247" s="12"/>
      <c r="L3247" s="12"/>
    </row>
    <row r="3248" spans="1:12" ht="15.75" customHeight="1" x14ac:dyDescent="0.3">
      <c r="A3248" s="17" t="s">
        <v>965</v>
      </c>
      <c r="B3248" s="50" t="str">
        <f>VLOOKUP(A3248,'Sales Order'!A$2:B$1029,1,0)</f>
        <v>SO0727</v>
      </c>
      <c r="C3248" s="29" t="s">
        <v>65</v>
      </c>
      <c r="D3248" s="50" t="str">
        <f>VLOOKUP(C3248,Product!A$2:B$21,1,0)</f>
        <v>PD0014</v>
      </c>
      <c r="E3248" s="36">
        <v>106</v>
      </c>
      <c r="F3248" s="38">
        <v>21226500</v>
      </c>
      <c r="G3248" s="39" t="s">
        <v>5622</v>
      </c>
      <c r="H3248" s="12"/>
      <c r="L3248" s="12"/>
    </row>
    <row r="3249" spans="1:12" ht="15.75" customHeight="1" x14ac:dyDescent="0.3">
      <c r="A3249" s="29" t="s">
        <v>965</v>
      </c>
      <c r="B3249" s="50" t="str">
        <f>VLOOKUP(A3249,'Sales Order'!A$2:B$1029,1,0)</f>
        <v>SO0727</v>
      </c>
      <c r="C3249" s="29" t="s">
        <v>61</v>
      </c>
      <c r="D3249" s="50" t="str">
        <f>VLOOKUP(C3249,Product!A$2:B$21,1,0)</f>
        <v>PD0013</v>
      </c>
      <c r="E3249" s="36">
        <v>59</v>
      </c>
      <c r="F3249" s="38">
        <v>24869680</v>
      </c>
      <c r="G3249" s="39" t="s">
        <v>5623</v>
      </c>
      <c r="H3249" s="12"/>
      <c r="L3249" s="12"/>
    </row>
    <row r="3250" spans="1:12" ht="15.75" customHeight="1" x14ac:dyDescent="0.3">
      <c r="A3250" s="29" t="s">
        <v>967</v>
      </c>
      <c r="B3250" s="50" t="str">
        <f>VLOOKUP(A3250,'Sales Order'!A$2:B$1029,1,0)</f>
        <v>SO0729</v>
      </c>
      <c r="C3250" s="29" t="s">
        <v>83</v>
      </c>
      <c r="D3250" s="50" t="str">
        <f>VLOOKUP(C3250,Product!A$2:B$21,1,0)</f>
        <v>PD0020</v>
      </c>
      <c r="E3250" s="36">
        <v>60</v>
      </c>
      <c r="F3250" s="38">
        <v>14637600</v>
      </c>
      <c r="G3250" s="39" t="s">
        <v>5624</v>
      </c>
      <c r="H3250" s="12"/>
      <c r="L3250" s="12"/>
    </row>
    <row r="3251" spans="1:12" ht="15.75" customHeight="1" x14ac:dyDescent="0.3">
      <c r="A3251" s="29" t="s">
        <v>967</v>
      </c>
      <c r="B3251" s="50" t="str">
        <f>VLOOKUP(A3251,'Sales Order'!A$2:B$1029,1,0)</f>
        <v>SO0729</v>
      </c>
      <c r="C3251" s="29" t="s">
        <v>33</v>
      </c>
      <c r="D3251" s="50" t="str">
        <f>VLOOKUP(C3251,Product!A$2:B$21,1,0)</f>
        <v>PD0004</v>
      </c>
      <c r="E3251" s="36">
        <v>43</v>
      </c>
      <c r="F3251" s="38">
        <v>8230200</v>
      </c>
      <c r="G3251" s="39" t="s">
        <v>5625</v>
      </c>
      <c r="H3251" s="12"/>
      <c r="L3251" s="12"/>
    </row>
    <row r="3252" spans="1:12" ht="15.75" customHeight="1" x14ac:dyDescent="0.3">
      <c r="A3252" s="29" t="s">
        <v>971</v>
      </c>
      <c r="B3252" s="50" t="str">
        <f>VLOOKUP(A3252,'Sales Order'!A$2:B$1029,1,0)</f>
        <v>SO0733</v>
      </c>
      <c r="C3252" s="29" t="s">
        <v>19</v>
      </c>
      <c r="D3252" s="50" t="str">
        <f>VLOOKUP(C3252,Product!A$2:B$21,1,0)</f>
        <v>PD0001</v>
      </c>
      <c r="E3252" s="36">
        <v>66</v>
      </c>
      <c r="F3252" s="38">
        <v>15447960</v>
      </c>
      <c r="G3252" s="39" t="s">
        <v>5626</v>
      </c>
      <c r="H3252" s="12"/>
      <c r="L3252" s="12"/>
    </row>
    <row r="3253" spans="1:12" ht="15.75" customHeight="1" x14ac:dyDescent="0.3">
      <c r="A3253" s="29" t="s">
        <v>971</v>
      </c>
      <c r="B3253" s="50" t="str">
        <f>VLOOKUP(A3253,'Sales Order'!A$2:B$1029,1,0)</f>
        <v>SO0733</v>
      </c>
      <c r="C3253" s="29" t="s">
        <v>45</v>
      </c>
      <c r="D3253" s="50" t="str">
        <f>VLOOKUP(C3253,Product!A$2:B$21,1,0)</f>
        <v>PD0008</v>
      </c>
      <c r="E3253" s="36">
        <v>37</v>
      </c>
      <c r="F3253" s="38">
        <v>4300140</v>
      </c>
      <c r="G3253" s="39" t="s">
        <v>5627</v>
      </c>
      <c r="H3253" s="12"/>
      <c r="L3253" s="12"/>
    </row>
    <row r="3254" spans="1:12" ht="15.75" customHeight="1" x14ac:dyDescent="0.3">
      <c r="A3254" s="17" t="s">
        <v>978</v>
      </c>
      <c r="B3254" s="50" t="str">
        <f>VLOOKUP(A3254,'Sales Order'!A$2:B$1029,1,0)</f>
        <v>SO0740</v>
      </c>
      <c r="C3254" s="29" t="s">
        <v>19</v>
      </c>
      <c r="D3254" s="50" t="str">
        <f>VLOOKUP(C3254,Product!A$2:B$21,1,0)</f>
        <v>PD0001</v>
      </c>
      <c r="E3254" s="36">
        <v>149</v>
      </c>
      <c r="F3254" s="38">
        <v>31164840</v>
      </c>
      <c r="G3254" s="39" t="s">
        <v>5628</v>
      </c>
      <c r="H3254" s="12"/>
      <c r="L3254" s="12"/>
    </row>
    <row r="3255" spans="1:12" ht="15.75" customHeight="1" x14ac:dyDescent="0.3">
      <c r="A3255" s="29" t="s">
        <v>978</v>
      </c>
      <c r="B3255" s="50" t="str">
        <f>VLOOKUP(A3255,'Sales Order'!A$2:B$1029,1,0)</f>
        <v>SO0740</v>
      </c>
      <c r="C3255" s="29" t="s">
        <v>45</v>
      </c>
      <c r="D3255" s="50" t="str">
        <f>VLOOKUP(C3255,Product!A$2:B$21,1,0)</f>
        <v>PD0008</v>
      </c>
      <c r="E3255" s="36">
        <v>54</v>
      </c>
      <c r="F3255" s="38">
        <v>7563240</v>
      </c>
      <c r="G3255" s="39" t="s">
        <v>5629</v>
      </c>
      <c r="H3255" s="12"/>
      <c r="L3255" s="12"/>
    </row>
    <row r="3256" spans="1:12" ht="15.75" customHeight="1" x14ac:dyDescent="0.3">
      <c r="A3256" s="17" t="s">
        <v>980</v>
      </c>
      <c r="B3256" s="50" t="str">
        <f>VLOOKUP(A3256,'Sales Order'!A$2:B$1029,1,0)</f>
        <v>SO0742</v>
      </c>
      <c r="C3256" s="29" t="s">
        <v>19</v>
      </c>
      <c r="D3256" s="50" t="str">
        <f>VLOOKUP(C3256,Product!A$2:B$21,1,0)</f>
        <v>PD0001</v>
      </c>
      <c r="E3256" s="36">
        <v>119</v>
      </c>
      <c r="F3256" s="38">
        <v>26371590</v>
      </c>
      <c r="G3256" s="39" t="s">
        <v>5630</v>
      </c>
      <c r="H3256" s="12"/>
      <c r="L3256" s="12"/>
    </row>
    <row r="3257" spans="1:12" ht="15.75" customHeight="1" x14ac:dyDescent="0.3">
      <c r="A3257" s="29" t="s">
        <v>980</v>
      </c>
      <c r="B3257" s="50" t="str">
        <f>VLOOKUP(A3257,'Sales Order'!A$2:B$1029,1,0)</f>
        <v>SO0742</v>
      </c>
      <c r="C3257" s="29" t="s">
        <v>83</v>
      </c>
      <c r="D3257" s="50" t="str">
        <f>VLOOKUP(C3257,Product!A$2:B$21,1,0)</f>
        <v>PD0020</v>
      </c>
      <c r="E3257" s="36">
        <v>141</v>
      </c>
      <c r="F3257" s="38">
        <v>36208800</v>
      </c>
      <c r="G3257" s="39" t="s">
        <v>5631</v>
      </c>
      <c r="H3257" s="12"/>
      <c r="L3257" s="12"/>
    </row>
    <row r="3258" spans="1:12" ht="15.75" customHeight="1" x14ac:dyDescent="0.3">
      <c r="A3258" s="17" t="s">
        <v>988</v>
      </c>
      <c r="B3258" s="50" t="str">
        <f>VLOOKUP(A3258,'Sales Order'!A$2:B$1029,1,0)</f>
        <v>SO0750</v>
      </c>
      <c r="C3258" s="29" t="s">
        <v>83</v>
      </c>
      <c r="D3258" s="50" t="str">
        <f>VLOOKUP(C3258,Product!A$2:B$21,1,0)</f>
        <v>PD0020</v>
      </c>
      <c r="E3258" s="36">
        <v>134</v>
      </c>
      <c r="F3258" s="38">
        <v>36561900</v>
      </c>
      <c r="G3258" s="39" t="s">
        <v>5632</v>
      </c>
      <c r="H3258" s="12"/>
      <c r="L3258" s="12"/>
    </row>
    <row r="3259" spans="1:12" ht="15.75" customHeight="1" x14ac:dyDescent="0.3">
      <c r="A3259" s="29" t="s">
        <v>988</v>
      </c>
      <c r="B3259" s="50" t="str">
        <f>VLOOKUP(A3259,'Sales Order'!A$2:B$1029,1,0)</f>
        <v>SO0750</v>
      </c>
      <c r="C3259" s="29" t="s">
        <v>78</v>
      </c>
      <c r="D3259" s="50" t="str">
        <f>VLOOKUP(C3259,Product!A$2:B$21,1,0)</f>
        <v>PD0018</v>
      </c>
      <c r="E3259" s="36">
        <v>77</v>
      </c>
      <c r="F3259" s="38">
        <v>32771200</v>
      </c>
      <c r="G3259" s="39" t="s">
        <v>5633</v>
      </c>
      <c r="H3259" s="12"/>
      <c r="L3259" s="12"/>
    </row>
    <row r="3260" spans="1:12" ht="15.75" customHeight="1" x14ac:dyDescent="0.3">
      <c r="A3260" s="17" t="s">
        <v>989</v>
      </c>
      <c r="B3260" s="50" t="str">
        <f>VLOOKUP(A3260,'Sales Order'!A$2:B$1029,1,0)</f>
        <v>SO0751</v>
      </c>
      <c r="C3260" s="29" t="s">
        <v>33</v>
      </c>
      <c r="D3260" s="50" t="str">
        <f>VLOOKUP(C3260,Product!A$2:B$21,1,0)</f>
        <v>PD0004</v>
      </c>
      <c r="E3260" s="36">
        <v>27</v>
      </c>
      <c r="F3260" s="38">
        <v>5643000</v>
      </c>
      <c r="G3260" s="39" t="s">
        <v>5634</v>
      </c>
      <c r="H3260" s="12"/>
      <c r="L3260" s="12"/>
    </row>
    <row r="3261" spans="1:12" ht="15.75" customHeight="1" x14ac:dyDescent="0.3">
      <c r="A3261" s="29" t="s">
        <v>989</v>
      </c>
      <c r="B3261" s="50" t="str">
        <f>VLOOKUP(A3261,'Sales Order'!A$2:B$1029,1,0)</f>
        <v>SO0751</v>
      </c>
      <c r="C3261" s="29" t="s">
        <v>28</v>
      </c>
      <c r="D3261" s="50" t="str">
        <f>VLOOKUP(C3261,Product!A$2:B$21,1,0)</f>
        <v>PD0003</v>
      </c>
      <c r="E3261" s="36">
        <v>61</v>
      </c>
      <c r="F3261" s="38">
        <v>51111900</v>
      </c>
      <c r="G3261" s="39" t="s">
        <v>5635</v>
      </c>
      <c r="H3261" s="12"/>
      <c r="L3261" s="12"/>
    </row>
    <row r="3262" spans="1:12" ht="15.75" customHeight="1" x14ac:dyDescent="0.3">
      <c r="A3262" s="17" t="s">
        <v>990</v>
      </c>
      <c r="B3262" s="50" t="str">
        <f>VLOOKUP(A3262,'Sales Order'!A$2:B$1029,1,0)</f>
        <v>SO0752</v>
      </c>
      <c r="C3262" s="29" t="s">
        <v>33</v>
      </c>
      <c r="D3262" s="50" t="str">
        <f>VLOOKUP(C3262,Product!A$2:B$21,1,0)</f>
        <v>PD0004</v>
      </c>
      <c r="E3262" s="36">
        <v>89</v>
      </c>
      <c r="F3262" s="38">
        <v>15468200</v>
      </c>
      <c r="G3262" s="39" t="s">
        <v>5636</v>
      </c>
      <c r="H3262" s="12"/>
      <c r="L3262" s="12"/>
    </row>
    <row r="3263" spans="1:12" ht="15.75" customHeight="1" x14ac:dyDescent="0.3">
      <c r="A3263" s="29" t="s">
        <v>990</v>
      </c>
      <c r="B3263" s="50" t="str">
        <f>VLOOKUP(A3263,'Sales Order'!A$2:B$1029,1,0)</f>
        <v>SO0752</v>
      </c>
      <c r="C3263" s="29" t="s">
        <v>19</v>
      </c>
      <c r="D3263" s="50" t="str">
        <f>VLOOKUP(C3263,Product!A$2:B$21,1,0)</f>
        <v>PD0001</v>
      </c>
      <c r="E3263" s="36">
        <v>134</v>
      </c>
      <c r="F3263" s="38">
        <v>25691820</v>
      </c>
      <c r="G3263" s="39" t="s">
        <v>5637</v>
      </c>
      <c r="H3263" s="12"/>
      <c r="L3263" s="12"/>
    </row>
    <row r="3264" spans="1:12" ht="15.75" customHeight="1" x14ac:dyDescent="0.3">
      <c r="A3264" s="17" t="s">
        <v>992</v>
      </c>
      <c r="B3264" s="50" t="str">
        <f>VLOOKUP(A3264,'Sales Order'!A$2:B$1029,1,0)</f>
        <v>SO0754</v>
      </c>
      <c r="C3264" s="29" t="s">
        <v>81</v>
      </c>
      <c r="D3264" s="50" t="str">
        <f>VLOOKUP(C3264,Product!A$2:B$21,1,0)</f>
        <v>PD0019</v>
      </c>
      <c r="E3264" s="36">
        <v>30</v>
      </c>
      <c r="F3264" s="38">
        <v>63470100</v>
      </c>
      <c r="G3264" s="39" t="s">
        <v>5638</v>
      </c>
      <c r="H3264" s="12"/>
      <c r="L3264" s="12"/>
    </row>
    <row r="3265" spans="1:12" ht="15.75" customHeight="1" x14ac:dyDescent="0.3">
      <c r="A3265" s="29" t="s">
        <v>992</v>
      </c>
      <c r="B3265" s="50" t="str">
        <f>VLOOKUP(A3265,'Sales Order'!A$2:B$1029,1,0)</f>
        <v>SO0754</v>
      </c>
      <c r="C3265" s="29" t="s">
        <v>75</v>
      </c>
      <c r="D3265" s="50" t="str">
        <f>VLOOKUP(C3265,Product!A$2:B$21,1,0)</f>
        <v>PD0017</v>
      </c>
      <c r="E3265" s="36">
        <v>61</v>
      </c>
      <c r="F3265" s="38">
        <v>150334500</v>
      </c>
      <c r="G3265" s="39" t="s">
        <v>5639</v>
      </c>
      <c r="H3265" s="12"/>
      <c r="L3265" s="12"/>
    </row>
    <row r="3266" spans="1:12" ht="15.75" customHeight="1" x14ac:dyDescent="0.3">
      <c r="A3266" s="17" t="s">
        <v>1001</v>
      </c>
      <c r="B3266" s="50" t="str">
        <f>VLOOKUP(A3266,'Sales Order'!A$2:B$1029,1,0)</f>
        <v>SO0763</v>
      </c>
      <c r="C3266" s="29" t="s">
        <v>19</v>
      </c>
      <c r="D3266" s="50" t="str">
        <f>VLOOKUP(C3266,Product!A$2:B$21,1,0)</f>
        <v>PD0001</v>
      </c>
      <c r="E3266" s="36">
        <v>72</v>
      </c>
      <c r="F3266" s="38">
        <v>15955920</v>
      </c>
      <c r="G3266" s="39" t="s">
        <v>5640</v>
      </c>
      <c r="H3266" s="12"/>
      <c r="L3266" s="12"/>
    </row>
    <row r="3267" spans="1:12" ht="15.75" customHeight="1" x14ac:dyDescent="0.3">
      <c r="A3267" s="29" t="s">
        <v>1001</v>
      </c>
      <c r="B3267" s="50" t="str">
        <f>VLOOKUP(A3267,'Sales Order'!A$2:B$1029,1,0)</f>
        <v>SO0763</v>
      </c>
      <c r="C3267" s="29" t="s">
        <v>45</v>
      </c>
      <c r="D3267" s="50" t="str">
        <f>VLOOKUP(C3267,Product!A$2:B$21,1,0)</f>
        <v>PD0008</v>
      </c>
      <c r="E3267" s="36">
        <v>39</v>
      </c>
      <c r="F3267" s="38">
        <v>5171790</v>
      </c>
      <c r="G3267" s="39" t="s">
        <v>5641</v>
      </c>
      <c r="H3267" s="12"/>
      <c r="L3267" s="12"/>
    </row>
    <row r="3268" spans="1:12" ht="15.75" customHeight="1" x14ac:dyDescent="0.3">
      <c r="A3268" s="17" t="s">
        <v>1002</v>
      </c>
      <c r="B3268" s="50" t="str">
        <f>VLOOKUP(A3268,'Sales Order'!A$2:B$1029,1,0)</f>
        <v>SO0764</v>
      </c>
      <c r="C3268" s="29" t="s">
        <v>83</v>
      </c>
      <c r="D3268" s="50" t="str">
        <f>VLOOKUP(C3268,Product!A$2:B$21,1,0)</f>
        <v>PD0020</v>
      </c>
      <c r="E3268" s="36">
        <v>129</v>
      </c>
      <c r="F3268" s="38">
        <v>38096280</v>
      </c>
      <c r="G3268" s="39" t="s">
        <v>5642</v>
      </c>
      <c r="H3268" s="12"/>
      <c r="L3268" s="12"/>
    </row>
    <row r="3269" spans="1:12" ht="15.75" customHeight="1" x14ac:dyDescent="0.3">
      <c r="A3269" s="29" t="s">
        <v>1002</v>
      </c>
      <c r="B3269" s="50" t="str">
        <f>VLOOKUP(A3269,'Sales Order'!A$2:B$1029,1,0)</f>
        <v>SO0764</v>
      </c>
      <c r="C3269" s="29" t="s">
        <v>45</v>
      </c>
      <c r="D3269" s="50" t="str">
        <f>VLOOKUP(C3269,Product!A$2:B$21,1,0)</f>
        <v>PD0008</v>
      </c>
      <c r="E3269" s="36">
        <v>106</v>
      </c>
      <c r="F3269" s="38">
        <v>14056660</v>
      </c>
      <c r="G3269" s="39" t="s">
        <v>5643</v>
      </c>
      <c r="H3269" s="12"/>
      <c r="L3269" s="12"/>
    </row>
    <row r="3270" spans="1:12" ht="15.75" customHeight="1" x14ac:dyDescent="0.3">
      <c r="A3270" s="17" t="s">
        <v>1010</v>
      </c>
      <c r="B3270" s="50" t="str">
        <f>VLOOKUP(A3270,'Sales Order'!A$2:B$1029,1,0)</f>
        <v>SO0772</v>
      </c>
      <c r="C3270" s="29" t="s">
        <v>65</v>
      </c>
      <c r="D3270" s="50" t="str">
        <f>VLOOKUP(C3270,Product!A$2:B$21,1,0)</f>
        <v>PD0014</v>
      </c>
      <c r="E3270" s="36">
        <v>71</v>
      </c>
      <c r="F3270" s="38">
        <v>17250870</v>
      </c>
      <c r="G3270" s="39" t="s">
        <v>5644</v>
      </c>
      <c r="H3270" s="12"/>
      <c r="L3270" s="12"/>
    </row>
    <row r="3271" spans="1:12" ht="15.75" customHeight="1" x14ac:dyDescent="0.3">
      <c r="A3271" s="29" t="s">
        <v>1010</v>
      </c>
      <c r="B3271" s="50" t="str">
        <f>VLOOKUP(A3271,'Sales Order'!A$2:B$1029,1,0)</f>
        <v>SO0772</v>
      </c>
      <c r="C3271" s="29" t="s">
        <v>61</v>
      </c>
      <c r="D3271" s="50" t="str">
        <f>VLOOKUP(C3271,Product!A$2:B$21,1,0)</f>
        <v>PD0013</v>
      </c>
      <c r="E3271" s="36">
        <v>146</v>
      </c>
      <c r="F3271" s="38">
        <v>55947200</v>
      </c>
      <c r="G3271" s="39" t="s">
        <v>5645</v>
      </c>
      <c r="H3271" s="12"/>
      <c r="L3271" s="12"/>
    </row>
    <row r="3272" spans="1:12" ht="15.75" customHeight="1" x14ac:dyDescent="0.3">
      <c r="A3272" s="29" t="s">
        <v>1011</v>
      </c>
      <c r="B3272" s="50" t="str">
        <f>VLOOKUP(A3272,'Sales Order'!A$2:B$1029,1,0)</f>
        <v>SO0773</v>
      </c>
      <c r="C3272" s="29" t="s">
        <v>33</v>
      </c>
      <c r="D3272" s="50" t="str">
        <f>VLOOKUP(C3272,Product!A$2:B$21,1,0)</f>
        <v>PD0004</v>
      </c>
      <c r="E3272" s="36">
        <v>69</v>
      </c>
      <c r="F3272" s="38">
        <v>14421000</v>
      </c>
      <c r="G3272" s="39" t="s">
        <v>5646</v>
      </c>
      <c r="H3272" s="12"/>
      <c r="L3272" s="12"/>
    </row>
    <row r="3273" spans="1:12" ht="15.75" customHeight="1" x14ac:dyDescent="0.3">
      <c r="A3273" s="29" t="s">
        <v>1011</v>
      </c>
      <c r="B3273" s="50" t="str">
        <f>VLOOKUP(A3273,'Sales Order'!A$2:B$1029,1,0)</f>
        <v>SO0773</v>
      </c>
      <c r="C3273" s="29" t="s">
        <v>28</v>
      </c>
      <c r="D3273" s="50" t="str">
        <f>VLOOKUP(C3273,Product!A$2:B$21,1,0)</f>
        <v>PD0003</v>
      </c>
      <c r="E3273" s="36">
        <v>132</v>
      </c>
      <c r="F3273" s="38">
        <v>116747400</v>
      </c>
      <c r="G3273" s="39" t="s">
        <v>5647</v>
      </c>
      <c r="H3273" s="12"/>
      <c r="L3273" s="12"/>
    </row>
    <row r="3274" spans="1:12" ht="15.75" customHeight="1" x14ac:dyDescent="0.3">
      <c r="A3274" s="17" t="s">
        <v>1013</v>
      </c>
      <c r="B3274" s="50" t="str">
        <f>VLOOKUP(A3274,'Sales Order'!A$2:B$1029,1,0)</f>
        <v>SO0775</v>
      </c>
      <c r="C3274" s="29" t="s">
        <v>69</v>
      </c>
      <c r="D3274" s="50" t="str">
        <f>VLOOKUP(C3274,Product!A$2:B$21,1,0)</f>
        <v>PD0015</v>
      </c>
      <c r="E3274" s="36">
        <v>67</v>
      </c>
      <c r="F3274" s="38">
        <v>8012664</v>
      </c>
      <c r="G3274" s="39" t="s">
        <v>5648</v>
      </c>
      <c r="H3274" s="12"/>
      <c r="L3274" s="12"/>
    </row>
    <row r="3275" spans="1:12" ht="15.75" customHeight="1" x14ac:dyDescent="0.3">
      <c r="A3275" s="29" t="s">
        <v>1013</v>
      </c>
      <c r="B3275" s="50" t="str">
        <f>VLOOKUP(A3275,'Sales Order'!A$2:B$1029,1,0)</f>
        <v>SO0775</v>
      </c>
      <c r="C3275" s="29" t="s">
        <v>72</v>
      </c>
      <c r="D3275" s="50" t="str">
        <f>VLOOKUP(C3275,Product!A$2:B$21,1,0)</f>
        <v>PD0016</v>
      </c>
      <c r="E3275" s="36">
        <v>88</v>
      </c>
      <c r="F3275" s="38">
        <v>21381360</v>
      </c>
      <c r="G3275" s="39" t="s">
        <v>5649</v>
      </c>
      <c r="H3275" s="12"/>
      <c r="L3275" s="12"/>
    </row>
    <row r="3276" spans="1:12" ht="15.75" customHeight="1" x14ac:dyDescent="0.3">
      <c r="A3276" s="17" t="s">
        <v>1017</v>
      </c>
      <c r="B3276" s="50" t="str">
        <f>VLOOKUP(A3276,'Sales Order'!A$2:B$1029,1,0)</f>
        <v>SO0779</v>
      </c>
      <c r="C3276" s="29" t="s">
        <v>75</v>
      </c>
      <c r="D3276" s="50" t="str">
        <f>VLOOKUP(C3276,Product!A$2:B$21,1,0)</f>
        <v>PD0017</v>
      </c>
      <c r="E3276" s="36">
        <v>72</v>
      </c>
      <c r="F3276" s="38">
        <v>146916000</v>
      </c>
      <c r="G3276" s="39" t="s">
        <v>5650</v>
      </c>
      <c r="H3276" s="12"/>
      <c r="L3276" s="12"/>
    </row>
    <row r="3277" spans="1:12" ht="15.75" customHeight="1" x14ac:dyDescent="0.3">
      <c r="A3277" s="29" t="s">
        <v>1017</v>
      </c>
      <c r="B3277" s="50" t="str">
        <f>VLOOKUP(A3277,'Sales Order'!A$2:B$1029,1,0)</f>
        <v>SO0779</v>
      </c>
      <c r="C3277" s="29" t="s">
        <v>81</v>
      </c>
      <c r="D3277" s="50" t="str">
        <f>VLOOKUP(C3277,Product!A$2:B$21,1,0)</f>
        <v>PD0019</v>
      </c>
      <c r="E3277" s="36">
        <v>64</v>
      </c>
      <c r="F3277" s="38">
        <v>130508800</v>
      </c>
      <c r="G3277" s="39" t="s">
        <v>5651</v>
      </c>
      <c r="H3277" s="12"/>
      <c r="L3277" s="12"/>
    </row>
    <row r="3278" spans="1:12" ht="15.75" customHeight="1" x14ac:dyDescent="0.3">
      <c r="A3278" s="29" t="s">
        <v>1026</v>
      </c>
      <c r="B3278" s="50" t="str">
        <f>VLOOKUP(A3278,'Sales Order'!A$2:B$1029,1,0)</f>
        <v>SO0788</v>
      </c>
      <c r="C3278" s="29" t="s">
        <v>78</v>
      </c>
      <c r="D3278" s="50" t="str">
        <f>VLOOKUP(C3278,Product!A$2:B$21,1,0)</f>
        <v>PD0018</v>
      </c>
      <c r="E3278" s="36">
        <v>52</v>
      </c>
      <c r="F3278" s="38">
        <v>24344320</v>
      </c>
      <c r="G3278" s="39" t="s">
        <v>5652</v>
      </c>
      <c r="H3278" s="12"/>
      <c r="L3278" s="12"/>
    </row>
    <row r="3279" spans="1:12" ht="15.75" customHeight="1" x14ac:dyDescent="0.3">
      <c r="A3279" s="29" t="s">
        <v>1026</v>
      </c>
      <c r="B3279" s="50" t="str">
        <f>VLOOKUP(A3279,'Sales Order'!A$2:B$1029,1,0)</f>
        <v>SO0788</v>
      </c>
      <c r="C3279" s="29" t="s">
        <v>83</v>
      </c>
      <c r="D3279" s="50" t="str">
        <f>VLOOKUP(C3279,Product!A$2:B$21,1,0)</f>
        <v>PD0020</v>
      </c>
      <c r="E3279" s="36">
        <v>114</v>
      </c>
      <c r="F3279" s="38">
        <v>32202720</v>
      </c>
      <c r="G3279" s="39" t="s">
        <v>5653</v>
      </c>
      <c r="H3279" s="12"/>
      <c r="L3279" s="12"/>
    </row>
    <row r="3280" spans="1:12" ht="15.75" customHeight="1" x14ac:dyDescent="0.3">
      <c r="A3280" s="29" t="s">
        <v>1032</v>
      </c>
      <c r="B3280" s="50" t="str">
        <f>VLOOKUP(A3280,'Sales Order'!A$2:B$1029,1,0)</f>
        <v>SO0794</v>
      </c>
      <c r="C3280" s="29" t="s">
        <v>19</v>
      </c>
      <c r="D3280" s="50" t="str">
        <f>VLOOKUP(C3280,Product!A$2:B$21,1,0)</f>
        <v>PD0001</v>
      </c>
      <c r="E3280" s="36">
        <v>111</v>
      </c>
      <c r="F3280" s="38">
        <v>22940370</v>
      </c>
      <c r="G3280" s="39" t="s">
        <v>5654</v>
      </c>
      <c r="H3280" s="12"/>
      <c r="L3280" s="12"/>
    </row>
    <row r="3281" spans="1:12" ht="15.75" customHeight="1" x14ac:dyDescent="0.3">
      <c r="A3281" s="29" t="s">
        <v>1032</v>
      </c>
      <c r="B3281" s="50" t="str">
        <f>VLOOKUP(A3281,'Sales Order'!A$2:B$1029,1,0)</f>
        <v>SO0794</v>
      </c>
      <c r="C3281" s="29" t="s">
        <v>25</v>
      </c>
      <c r="D3281" s="50" t="str">
        <f>VLOOKUP(C3281,Product!A$2:B$21,1,0)</f>
        <v>PD0002</v>
      </c>
      <c r="E3281" s="36">
        <v>34</v>
      </c>
      <c r="F3281" s="38">
        <v>605200</v>
      </c>
      <c r="G3281" s="39" t="s">
        <v>5655</v>
      </c>
      <c r="H3281" s="12"/>
      <c r="L3281" s="12"/>
    </row>
    <row r="3282" spans="1:12" ht="15.75" customHeight="1" x14ac:dyDescent="0.3">
      <c r="A3282" s="17" t="s">
        <v>1034</v>
      </c>
      <c r="B3282" s="50" t="str">
        <f>VLOOKUP(A3282,'Sales Order'!A$2:B$1029,1,0)</f>
        <v>SO0796</v>
      </c>
      <c r="C3282" s="29" t="s">
        <v>83</v>
      </c>
      <c r="D3282" s="50" t="str">
        <f>VLOOKUP(C3282,Product!A$2:B$21,1,0)</f>
        <v>PD0020</v>
      </c>
      <c r="E3282" s="36">
        <v>107</v>
      </c>
      <c r="F3282" s="38">
        <v>28851480</v>
      </c>
      <c r="G3282" s="39" t="s">
        <v>5656</v>
      </c>
      <c r="H3282" s="12"/>
      <c r="L3282" s="12"/>
    </row>
    <row r="3283" spans="1:12" ht="15.75" customHeight="1" x14ac:dyDescent="0.3">
      <c r="A3283" s="29" t="s">
        <v>1034</v>
      </c>
      <c r="B3283" s="50" t="str">
        <f>VLOOKUP(A3283,'Sales Order'!A$2:B$1029,1,0)</f>
        <v>SO0796</v>
      </c>
      <c r="C3283" s="29" t="s">
        <v>78</v>
      </c>
      <c r="D3283" s="50" t="str">
        <f>VLOOKUP(C3283,Product!A$2:B$21,1,0)</f>
        <v>PD0018</v>
      </c>
      <c r="E3283" s="36">
        <v>120</v>
      </c>
      <c r="F3283" s="38">
        <v>50433600</v>
      </c>
      <c r="G3283" s="39" t="s">
        <v>5657</v>
      </c>
      <c r="H3283" s="12"/>
      <c r="L3283" s="12"/>
    </row>
    <row r="3284" spans="1:12" ht="15.75" customHeight="1" x14ac:dyDescent="0.3">
      <c r="A3284" s="17" t="s">
        <v>1036</v>
      </c>
      <c r="B3284" s="50" t="str">
        <f>VLOOKUP(A3284,'Sales Order'!A$2:B$1029,1,0)</f>
        <v>SO0798</v>
      </c>
      <c r="C3284" s="29" t="s">
        <v>83</v>
      </c>
      <c r="D3284" s="50" t="str">
        <f>VLOOKUP(C3284,Product!A$2:B$21,1,0)</f>
        <v>PD0020</v>
      </c>
      <c r="E3284" s="36">
        <v>120</v>
      </c>
      <c r="F3284" s="38">
        <v>31971600</v>
      </c>
      <c r="G3284" s="39" t="s">
        <v>5658</v>
      </c>
      <c r="H3284" s="12"/>
      <c r="L3284" s="12"/>
    </row>
    <row r="3285" spans="1:12" ht="15.75" customHeight="1" x14ac:dyDescent="0.3">
      <c r="A3285" s="29" t="s">
        <v>1036</v>
      </c>
      <c r="B3285" s="50" t="str">
        <f>VLOOKUP(A3285,'Sales Order'!A$2:B$1029,1,0)</f>
        <v>SO0798</v>
      </c>
      <c r="C3285" s="29" t="s">
        <v>72</v>
      </c>
      <c r="D3285" s="50" t="str">
        <f>VLOOKUP(C3285,Product!A$2:B$21,1,0)</f>
        <v>PD0016</v>
      </c>
      <c r="E3285" s="36">
        <v>59</v>
      </c>
      <c r="F3285" s="38">
        <v>13862640</v>
      </c>
      <c r="G3285" s="39" t="s">
        <v>5659</v>
      </c>
      <c r="H3285" s="12"/>
      <c r="L3285" s="12"/>
    </row>
    <row r="3286" spans="1:12" ht="15.75" customHeight="1" x14ac:dyDescent="0.3">
      <c r="A3286" s="29" t="s">
        <v>1037</v>
      </c>
      <c r="B3286" s="50" t="str">
        <f>VLOOKUP(A3286,'Sales Order'!A$2:B$1029,1,0)</f>
        <v>SO0799</v>
      </c>
      <c r="C3286" s="29" t="s">
        <v>78</v>
      </c>
      <c r="D3286" s="50" t="str">
        <f>VLOOKUP(C3286,Product!A$2:B$21,1,0)</f>
        <v>PD0018</v>
      </c>
      <c r="E3286" s="36">
        <v>64</v>
      </c>
      <c r="F3286" s="38">
        <v>29962240</v>
      </c>
      <c r="G3286" s="39" t="s">
        <v>5660</v>
      </c>
      <c r="H3286" s="12"/>
      <c r="L3286" s="12"/>
    </row>
    <row r="3287" spans="1:12" ht="15.75" customHeight="1" x14ac:dyDescent="0.3">
      <c r="A3287" s="29" t="s">
        <v>1037</v>
      </c>
      <c r="B3287" s="50" t="str">
        <f>VLOOKUP(A3287,'Sales Order'!A$2:B$1029,1,0)</f>
        <v>SO0799</v>
      </c>
      <c r="C3287" s="29" t="s">
        <v>52</v>
      </c>
      <c r="D3287" s="50" t="str">
        <f>VLOOKUP(C3287,Product!A$2:B$21,1,0)</f>
        <v>PD0010</v>
      </c>
      <c r="E3287" s="36">
        <v>95</v>
      </c>
      <c r="F3287" s="38">
        <v>28713749.999999996</v>
      </c>
      <c r="G3287" s="39" t="s">
        <v>5661</v>
      </c>
      <c r="H3287" s="12"/>
      <c r="L3287" s="12"/>
    </row>
    <row r="3288" spans="1:12" ht="15.75" customHeight="1" x14ac:dyDescent="0.3">
      <c r="A3288" s="29" t="s">
        <v>1041</v>
      </c>
      <c r="B3288" s="50" t="str">
        <f>VLOOKUP(A3288,'Sales Order'!A$2:B$1029,1,0)</f>
        <v>SO0803</v>
      </c>
      <c r="C3288" s="29" t="s">
        <v>55</v>
      </c>
      <c r="D3288" s="50" t="str">
        <f>VLOOKUP(C3288,Product!A$2:B$21,1,0)</f>
        <v>PD0011</v>
      </c>
      <c r="E3288" s="36">
        <v>122</v>
      </c>
      <c r="F3288" s="38">
        <v>250384260</v>
      </c>
      <c r="G3288" s="39" t="s">
        <v>5662</v>
      </c>
      <c r="H3288" s="12"/>
      <c r="L3288" s="12"/>
    </row>
    <row r="3289" spans="1:12" ht="15.75" customHeight="1" x14ac:dyDescent="0.3">
      <c r="A3289" s="29" t="s">
        <v>1041</v>
      </c>
      <c r="B3289" s="50" t="str">
        <f>VLOOKUP(A3289,'Sales Order'!A$2:B$1029,1,0)</f>
        <v>SO0803</v>
      </c>
      <c r="C3289" s="29" t="s">
        <v>52</v>
      </c>
      <c r="D3289" s="50" t="str">
        <f>VLOOKUP(C3289,Product!A$2:B$21,1,0)</f>
        <v>PD0010</v>
      </c>
      <c r="E3289" s="36">
        <v>44</v>
      </c>
      <c r="F3289" s="38">
        <v>12441000</v>
      </c>
      <c r="G3289" s="39" t="s">
        <v>5663</v>
      </c>
      <c r="H3289" s="12"/>
      <c r="L3289" s="12"/>
    </row>
    <row r="3290" spans="1:12" ht="15.75" customHeight="1" x14ac:dyDescent="0.3">
      <c r="A3290" s="17" t="s">
        <v>1046</v>
      </c>
      <c r="B3290" s="50" t="str">
        <f>VLOOKUP(A3290,'Sales Order'!A$2:B$1029,1,0)</f>
        <v>SO0808</v>
      </c>
      <c r="C3290" s="29" t="s">
        <v>45</v>
      </c>
      <c r="D3290" s="50" t="str">
        <f>VLOOKUP(C3290,Product!A$2:B$21,1,0)</f>
        <v>PD0008</v>
      </c>
      <c r="E3290" s="36">
        <v>129</v>
      </c>
      <c r="F3290" s="38">
        <v>17875530</v>
      </c>
      <c r="G3290" s="39" t="s">
        <v>5664</v>
      </c>
      <c r="H3290" s="12"/>
      <c r="L3290" s="12"/>
    </row>
    <row r="3291" spans="1:12" ht="15.75" customHeight="1" x14ac:dyDescent="0.3">
      <c r="A3291" s="29" t="s">
        <v>1046</v>
      </c>
      <c r="B3291" s="50" t="str">
        <f>VLOOKUP(A3291,'Sales Order'!A$2:B$1029,1,0)</f>
        <v>SO0808</v>
      </c>
      <c r="C3291" s="29" t="s">
        <v>25</v>
      </c>
      <c r="D3291" s="50" t="str">
        <f>VLOOKUP(C3291,Product!A$2:B$21,1,0)</f>
        <v>PD0002</v>
      </c>
      <c r="E3291" s="36">
        <v>131</v>
      </c>
      <c r="F3291" s="38">
        <v>2069800</v>
      </c>
      <c r="G3291" s="39" t="s">
        <v>5665</v>
      </c>
      <c r="H3291" s="12"/>
      <c r="L3291" s="12"/>
    </row>
    <row r="3292" spans="1:12" ht="15.75" customHeight="1" x14ac:dyDescent="0.3">
      <c r="A3292" s="29" t="s">
        <v>1056</v>
      </c>
      <c r="B3292" s="50" t="str">
        <f>VLOOKUP(A3292,'Sales Order'!A$2:B$1029,1,0)</f>
        <v>SO0818</v>
      </c>
      <c r="C3292" s="29" t="s">
        <v>45</v>
      </c>
      <c r="D3292" s="50" t="str">
        <f>VLOOKUP(C3292,Product!A$2:B$21,1,0)</f>
        <v>PD0008</v>
      </c>
      <c r="E3292" s="36">
        <v>67</v>
      </c>
      <c r="F3292" s="38">
        <v>9284190</v>
      </c>
      <c r="G3292" s="39" t="s">
        <v>5666</v>
      </c>
      <c r="H3292" s="12"/>
      <c r="L3292" s="12"/>
    </row>
    <row r="3293" spans="1:12" ht="15.75" customHeight="1" x14ac:dyDescent="0.3">
      <c r="A3293" s="29" t="s">
        <v>1056</v>
      </c>
      <c r="B3293" s="50" t="str">
        <f>VLOOKUP(A3293,'Sales Order'!A$2:B$1029,1,0)</f>
        <v>SO0818</v>
      </c>
      <c r="C3293" s="29" t="s">
        <v>25</v>
      </c>
      <c r="D3293" s="50" t="str">
        <f>VLOOKUP(C3293,Product!A$2:B$21,1,0)</f>
        <v>PD0002</v>
      </c>
      <c r="E3293" s="36">
        <v>67</v>
      </c>
      <c r="F3293" s="38">
        <v>1098800</v>
      </c>
      <c r="G3293" s="39" t="s">
        <v>5667</v>
      </c>
      <c r="H3293" s="12"/>
      <c r="L3293" s="12"/>
    </row>
    <row r="3294" spans="1:12" ht="15.75" customHeight="1" x14ac:dyDescent="0.3">
      <c r="A3294" s="17" t="s">
        <v>1062</v>
      </c>
      <c r="B3294" s="50" t="str">
        <f>VLOOKUP(A3294,'Sales Order'!A$2:B$1029,1,0)</f>
        <v>SO0824</v>
      </c>
      <c r="C3294" s="29" t="s">
        <v>55</v>
      </c>
      <c r="D3294" s="50" t="str">
        <f>VLOOKUP(C3294,Product!A$2:B$21,1,0)</f>
        <v>PD0011</v>
      </c>
      <c r="E3294" s="36">
        <v>127</v>
      </c>
      <c r="F3294" s="38">
        <v>236678470</v>
      </c>
      <c r="G3294" s="39" t="s">
        <v>5668</v>
      </c>
      <c r="H3294" s="12"/>
      <c r="L3294" s="12"/>
    </row>
    <row r="3295" spans="1:12" ht="15.75" customHeight="1" x14ac:dyDescent="0.3">
      <c r="A3295" s="29" t="s">
        <v>1062</v>
      </c>
      <c r="B3295" s="50" t="str">
        <f>VLOOKUP(A3295,'Sales Order'!A$2:B$1029,1,0)</f>
        <v>SO0824</v>
      </c>
      <c r="C3295" s="29" t="s">
        <v>58</v>
      </c>
      <c r="D3295" s="50" t="str">
        <f>VLOOKUP(C3295,Product!A$2:B$21,1,0)</f>
        <v>PD0012</v>
      </c>
      <c r="E3295" s="36">
        <v>147</v>
      </c>
      <c r="F3295" s="38">
        <v>696303720</v>
      </c>
      <c r="G3295" s="39" t="s">
        <v>5669</v>
      </c>
      <c r="H3295" s="12"/>
      <c r="L3295" s="12"/>
    </row>
    <row r="3296" spans="1:12" ht="15.75" customHeight="1" x14ac:dyDescent="0.3">
      <c r="A3296" s="29" t="s">
        <v>1063</v>
      </c>
      <c r="B3296" s="50" t="str">
        <f>VLOOKUP(A3296,'Sales Order'!A$2:B$1029,1,0)</f>
        <v>SO0825</v>
      </c>
      <c r="C3296" s="29" t="s">
        <v>19</v>
      </c>
      <c r="D3296" s="50" t="str">
        <f>VLOOKUP(C3296,Product!A$2:B$21,1,0)</f>
        <v>PD0001</v>
      </c>
      <c r="E3296" s="36">
        <v>108</v>
      </c>
      <c r="F3296" s="38">
        <v>24740640</v>
      </c>
      <c r="G3296" s="39" t="s">
        <v>5670</v>
      </c>
      <c r="H3296" s="12"/>
      <c r="L3296" s="12"/>
    </row>
    <row r="3297" spans="1:12" ht="15.75" customHeight="1" x14ac:dyDescent="0.3">
      <c r="A3297" s="29" t="s">
        <v>1063</v>
      </c>
      <c r="B3297" s="50" t="str">
        <f>VLOOKUP(A3297,'Sales Order'!A$2:B$1029,1,0)</f>
        <v>SO0825</v>
      </c>
      <c r="C3297" s="29" t="s">
        <v>25</v>
      </c>
      <c r="D3297" s="50" t="str">
        <f>VLOOKUP(C3297,Product!A$2:B$21,1,0)</f>
        <v>PD0002</v>
      </c>
      <c r="E3297" s="36">
        <v>71</v>
      </c>
      <c r="F3297" s="38">
        <v>1107600</v>
      </c>
      <c r="G3297" s="39" t="s">
        <v>5671</v>
      </c>
      <c r="H3297" s="12"/>
      <c r="L3297" s="12"/>
    </row>
    <row r="3298" spans="1:12" ht="15.75" customHeight="1" x14ac:dyDescent="0.3">
      <c r="A3298" s="29" t="s">
        <v>1068</v>
      </c>
      <c r="B3298" s="50" t="str">
        <f>VLOOKUP(A3298,'Sales Order'!A$2:B$1029,1,0)</f>
        <v>SO0830</v>
      </c>
      <c r="C3298" s="29" t="s">
        <v>55</v>
      </c>
      <c r="D3298" s="50" t="str">
        <f>VLOOKUP(C3298,Product!A$2:B$21,1,0)</f>
        <v>PD0011</v>
      </c>
      <c r="E3298" s="36">
        <v>47</v>
      </c>
      <c r="F3298" s="38">
        <v>92024590</v>
      </c>
      <c r="G3298" s="39" t="s">
        <v>5672</v>
      </c>
      <c r="H3298" s="12"/>
      <c r="L3298" s="12"/>
    </row>
    <row r="3299" spans="1:12" ht="15.75" customHeight="1" x14ac:dyDescent="0.3">
      <c r="A3299" s="29" t="s">
        <v>1068</v>
      </c>
      <c r="B3299" s="50" t="str">
        <f>VLOOKUP(A3299,'Sales Order'!A$2:B$1029,1,0)</f>
        <v>SO0830</v>
      </c>
      <c r="C3299" s="29" t="s">
        <v>58</v>
      </c>
      <c r="D3299" s="50" t="str">
        <f>VLOOKUP(C3299,Product!A$2:B$21,1,0)</f>
        <v>PD0012</v>
      </c>
      <c r="E3299" s="36">
        <v>62</v>
      </c>
      <c r="F3299" s="38">
        <v>279694400</v>
      </c>
      <c r="G3299" s="39" t="s">
        <v>5673</v>
      </c>
      <c r="H3299" s="12"/>
      <c r="L3299" s="12"/>
    </row>
    <row r="3300" spans="1:12" ht="15.75" customHeight="1" x14ac:dyDescent="0.3">
      <c r="A3300" s="17" t="s">
        <v>1070</v>
      </c>
      <c r="B3300" s="50" t="str">
        <f>VLOOKUP(A3300,'Sales Order'!A$2:B$1029,1,0)</f>
        <v>SO0832</v>
      </c>
      <c r="C3300" s="29" t="s">
        <v>69</v>
      </c>
      <c r="D3300" s="50" t="str">
        <f>VLOOKUP(C3300,Product!A$2:B$21,1,0)</f>
        <v>PD0015</v>
      </c>
      <c r="E3300" s="36">
        <v>84</v>
      </c>
      <c r="F3300" s="38">
        <v>8675856</v>
      </c>
      <c r="G3300" s="39" t="s">
        <v>5674</v>
      </c>
      <c r="H3300" s="12"/>
      <c r="L3300" s="12"/>
    </row>
    <row r="3301" spans="1:12" ht="15.75" customHeight="1" x14ac:dyDescent="0.3">
      <c r="A3301" s="29" t="s">
        <v>1070</v>
      </c>
      <c r="B3301" s="50" t="str">
        <f>VLOOKUP(A3301,'Sales Order'!A$2:B$1029,1,0)</f>
        <v>SO0832</v>
      </c>
      <c r="C3301" s="29" t="s">
        <v>83</v>
      </c>
      <c r="D3301" s="50" t="str">
        <f>VLOOKUP(C3301,Product!A$2:B$21,1,0)</f>
        <v>PD0020</v>
      </c>
      <c r="E3301" s="36">
        <v>139</v>
      </c>
      <c r="F3301" s="38">
        <v>39710910</v>
      </c>
      <c r="G3301" s="39" t="s">
        <v>5675</v>
      </c>
      <c r="H3301" s="12"/>
      <c r="L3301" s="12"/>
    </row>
    <row r="3302" spans="1:12" ht="15.75" customHeight="1" x14ac:dyDescent="0.3">
      <c r="A3302" s="17" t="s">
        <v>1076</v>
      </c>
      <c r="B3302" s="50" t="str">
        <f>VLOOKUP(A3302,'Sales Order'!A$2:B$1029,1,0)</f>
        <v>SO0838</v>
      </c>
      <c r="C3302" s="29" t="s">
        <v>33</v>
      </c>
      <c r="D3302" s="50" t="str">
        <f>VLOOKUP(C3302,Product!A$2:B$21,1,0)</f>
        <v>PD0004</v>
      </c>
      <c r="E3302" s="36">
        <v>129</v>
      </c>
      <c r="F3302" s="38">
        <v>23271600</v>
      </c>
      <c r="G3302" s="39" t="s">
        <v>5676</v>
      </c>
      <c r="H3302" s="12"/>
      <c r="L3302" s="12"/>
    </row>
    <row r="3303" spans="1:12" ht="15.75" customHeight="1" x14ac:dyDescent="0.3">
      <c r="A3303" s="29" t="s">
        <v>1076</v>
      </c>
      <c r="B3303" s="50" t="str">
        <f>VLOOKUP(A3303,'Sales Order'!A$2:B$1029,1,0)</f>
        <v>SO0838</v>
      </c>
      <c r="C3303" s="29" t="s">
        <v>83</v>
      </c>
      <c r="D3303" s="50" t="str">
        <f>VLOOKUP(C3303,Product!A$2:B$21,1,0)</f>
        <v>PD0020</v>
      </c>
      <c r="E3303" s="36">
        <v>27</v>
      </c>
      <c r="F3303" s="38">
        <v>7280280</v>
      </c>
      <c r="G3303" s="39" t="s">
        <v>5677</v>
      </c>
      <c r="H3303" s="12"/>
      <c r="L3303" s="12"/>
    </row>
    <row r="3304" spans="1:12" ht="15.75" customHeight="1" x14ac:dyDescent="0.3">
      <c r="A3304" s="29" t="s">
        <v>1082</v>
      </c>
      <c r="B3304" s="50" t="str">
        <f>VLOOKUP(A3304,'Sales Order'!A$2:B$1029,1,0)</f>
        <v>SO0844</v>
      </c>
      <c r="C3304" s="29" t="s">
        <v>33</v>
      </c>
      <c r="D3304" s="50" t="str">
        <f>VLOOKUP(C3304,Product!A$2:B$21,1,0)</f>
        <v>PD0004</v>
      </c>
      <c r="E3304" s="36">
        <v>142</v>
      </c>
      <c r="F3304" s="38">
        <v>24367200</v>
      </c>
      <c r="G3304" s="39" t="s">
        <v>5678</v>
      </c>
      <c r="H3304" s="12"/>
      <c r="L3304" s="12"/>
    </row>
    <row r="3305" spans="1:12" ht="15.75" customHeight="1" x14ac:dyDescent="0.3">
      <c r="A3305" s="29" t="s">
        <v>1082</v>
      </c>
      <c r="B3305" s="50" t="str">
        <f>VLOOKUP(A3305,'Sales Order'!A$2:B$1029,1,0)</f>
        <v>SO0844</v>
      </c>
      <c r="C3305" s="29" t="s">
        <v>83</v>
      </c>
      <c r="D3305" s="50" t="str">
        <f>VLOOKUP(C3305,Product!A$2:B$21,1,0)</f>
        <v>PD0020</v>
      </c>
      <c r="E3305" s="36">
        <v>46</v>
      </c>
      <c r="F3305" s="38">
        <v>11665140</v>
      </c>
      <c r="G3305" s="39" t="s">
        <v>5679</v>
      </c>
      <c r="H3305" s="12"/>
      <c r="L3305" s="12"/>
    </row>
    <row r="3306" spans="1:12" ht="15.75" customHeight="1" x14ac:dyDescent="0.3">
      <c r="A3306" s="29" t="s">
        <v>1090</v>
      </c>
      <c r="B3306" s="50" t="str">
        <f>VLOOKUP(A3306,'Sales Order'!A$2:B$1029,1,0)</f>
        <v>SO0852</v>
      </c>
      <c r="C3306" s="29" t="s">
        <v>52</v>
      </c>
      <c r="D3306" s="50" t="str">
        <f>VLOOKUP(C3306,Product!A$2:B$21,1,0)</f>
        <v>PD0010</v>
      </c>
      <c r="E3306" s="36">
        <v>45</v>
      </c>
      <c r="F3306" s="38">
        <v>11553750</v>
      </c>
      <c r="G3306" s="39" t="s">
        <v>5680</v>
      </c>
      <c r="H3306" s="12"/>
      <c r="L3306" s="12"/>
    </row>
    <row r="3307" spans="1:12" ht="15.75" customHeight="1" x14ac:dyDescent="0.3">
      <c r="A3307" s="29" t="s">
        <v>1090</v>
      </c>
      <c r="B3307" s="50" t="str">
        <f>VLOOKUP(A3307,'Sales Order'!A$2:B$1029,1,0)</f>
        <v>SO0852</v>
      </c>
      <c r="C3307" s="29" t="s">
        <v>48</v>
      </c>
      <c r="D3307" s="50" t="str">
        <f>VLOOKUP(C3307,Product!A$2:B$21,1,0)</f>
        <v>PD0009</v>
      </c>
      <c r="E3307" s="36">
        <v>37</v>
      </c>
      <c r="F3307" s="38">
        <v>4104780</v>
      </c>
      <c r="G3307" s="39" t="s">
        <v>5681</v>
      </c>
      <c r="H3307" s="12"/>
      <c r="L3307" s="12"/>
    </row>
    <row r="3308" spans="1:12" ht="15.75" customHeight="1" x14ac:dyDescent="0.3">
      <c r="A3308" s="17" t="s">
        <v>1092</v>
      </c>
      <c r="B3308" s="50" t="str">
        <f>VLOOKUP(A3308,'Sales Order'!A$2:B$1029,1,0)</f>
        <v>SO0854</v>
      </c>
      <c r="C3308" s="29" t="s">
        <v>19</v>
      </c>
      <c r="D3308" s="50" t="str">
        <f>VLOOKUP(C3308,Product!A$2:B$21,1,0)</f>
        <v>PD0001</v>
      </c>
      <c r="E3308" s="36">
        <v>49</v>
      </c>
      <c r="F3308" s="38">
        <v>9150750</v>
      </c>
      <c r="G3308" s="39" t="s">
        <v>5682</v>
      </c>
      <c r="H3308" s="12"/>
      <c r="L3308" s="12"/>
    </row>
    <row r="3309" spans="1:12" ht="15.75" customHeight="1" x14ac:dyDescent="0.3">
      <c r="A3309" s="29" t="s">
        <v>1092</v>
      </c>
      <c r="B3309" s="50" t="str">
        <f>VLOOKUP(A3309,'Sales Order'!A$2:B$1029,1,0)</f>
        <v>SO0854</v>
      </c>
      <c r="C3309" s="29" t="s">
        <v>83</v>
      </c>
      <c r="D3309" s="50" t="str">
        <f>VLOOKUP(C3309,Product!A$2:B$21,1,0)</f>
        <v>PD0020</v>
      </c>
      <c r="E3309" s="36">
        <v>32</v>
      </c>
      <c r="F3309" s="38">
        <v>8833920</v>
      </c>
      <c r="G3309" s="39" t="s">
        <v>5683</v>
      </c>
      <c r="H3309" s="12"/>
      <c r="L3309" s="12"/>
    </row>
    <row r="3310" spans="1:12" ht="15.75" customHeight="1" x14ac:dyDescent="0.3">
      <c r="A3310" s="29" t="s">
        <v>1093</v>
      </c>
      <c r="B3310" s="50" t="str">
        <f>VLOOKUP(A3310,'Sales Order'!A$2:B$1029,1,0)</f>
        <v>SO0855</v>
      </c>
      <c r="C3310" s="29" t="s">
        <v>72</v>
      </c>
      <c r="D3310" s="50" t="str">
        <f>VLOOKUP(C3310,Product!A$2:B$21,1,0)</f>
        <v>PD0016</v>
      </c>
      <c r="E3310" s="36">
        <v>145</v>
      </c>
      <c r="F3310" s="38">
        <v>31746300.000000004</v>
      </c>
      <c r="G3310" s="39" t="s">
        <v>5684</v>
      </c>
      <c r="H3310" s="12"/>
      <c r="L3310" s="12"/>
    </row>
    <row r="3311" spans="1:12" ht="15.75" customHeight="1" x14ac:dyDescent="0.3">
      <c r="A3311" s="29" t="s">
        <v>1093</v>
      </c>
      <c r="B3311" s="50" t="str">
        <f>VLOOKUP(A3311,'Sales Order'!A$2:B$1029,1,0)</f>
        <v>SO0855</v>
      </c>
      <c r="C3311" s="29" t="s">
        <v>69</v>
      </c>
      <c r="D3311" s="50" t="str">
        <f>VLOOKUP(C3311,Product!A$2:B$21,1,0)</f>
        <v>PD0015</v>
      </c>
      <c r="E3311" s="36">
        <v>139</v>
      </c>
      <c r="F3311" s="38">
        <v>14167575</v>
      </c>
      <c r="G3311" s="39" t="s">
        <v>5685</v>
      </c>
      <c r="H3311" s="12"/>
      <c r="L3311" s="12"/>
    </row>
    <row r="3312" spans="1:12" ht="15.75" customHeight="1" x14ac:dyDescent="0.3">
      <c r="A3312" s="17" t="s">
        <v>1098</v>
      </c>
      <c r="B3312" s="50" t="str">
        <f>VLOOKUP(A3312,'Sales Order'!A$2:B$1029,1,0)</f>
        <v>SO0860</v>
      </c>
      <c r="C3312" s="29" t="s">
        <v>33</v>
      </c>
      <c r="D3312" s="50" t="str">
        <f>VLOOKUP(C3312,Product!A$2:B$21,1,0)</f>
        <v>PD0004</v>
      </c>
      <c r="E3312" s="36">
        <v>38</v>
      </c>
      <c r="F3312" s="38">
        <v>6437200</v>
      </c>
      <c r="G3312" s="39" t="s">
        <v>5686</v>
      </c>
      <c r="H3312" s="12"/>
      <c r="L3312" s="12"/>
    </row>
    <row r="3313" spans="1:12" ht="15.75" customHeight="1" x14ac:dyDescent="0.3">
      <c r="A3313" s="29" t="s">
        <v>1098</v>
      </c>
      <c r="B3313" s="50" t="str">
        <f>VLOOKUP(A3313,'Sales Order'!A$2:B$1029,1,0)</f>
        <v>SO0860</v>
      </c>
      <c r="C3313" s="29" t="s">
        <v>83</v>
      </c>
      <c r="D3313" s="50" t="str">
        <f>VLOOKUP(C3313,Product!A$2:B$21,1,0)</f>
        <v>PD0020</v>
      </c>
      <c r="E3313" s="36">
        <v>124</v>
      </c>
      <c r="F3313" s="38">
        <v>31843200</v>
      </c>
      <c r="G3313" s="39" t="s">
        <v>5687</v>
      </c>
      <c r="H3313" s="12"/>
      <c r="L3313" s="12"/>
    </row>
    <row r="3314" spans="1:12" ht="15.75" customHeight="1" x14ac:dyDescent="0.3">
      <c r="A3314" s="29" t="s">
        <v>1100</v>
      </c>
      <c r="B3314" s="50" t="str">
        <f>VLOOKUP(A3314,'Sales Order'!A$2:B$1029,1,0)</f>
        <v>SO0862</v>
      </c>
      <c r="C3314" s="29" t="s">
        <v>65</v>
      </c>
      <c r="D3314" s="50" t="str">
        <f>VLOOKUP(C3314,Product!A$2:B$21,1,0)</f>
        <v>PD0014</v>
      </c>
      <c r="E3314" s="36">
        <v>64</v>
      </c>
      <c r="F3314" s="38">
        <v>15037440</v>
      </c>
      <c r="G3314" s="39" t="s">
        <v>5688</v>
      </c>
      <c r="H3314" s="12"/>
      <c r="L3314" s="12"/>
    </row>
    <row r="3315" spans="1:12" ht="15.75" customHeight="1" x14ac:dyDescent="0.3">
      <c r="A3315" s="29" t="s">
        <v>1100</v>
      </c>
      <c r="B3315" s="50" t="str">
        <f>VLOOKUP(A3315,'Sales Order'!A$2:B$1029,1,0)</f>
        <v>SO0862</v>
      </c>
      <c r="C3315" s="29" t="s">
        <v>61</v>
      </c>
      <c r="D3315" s="50" t="str">
        <f>VLOOKUP(C3315,Product!A$2:B$21,1,0)</f>
        <v>PD0013</v>
      </c>
      <c r="E3315" s="36">
        <v>128</v>
      </c>
      <c r="F3315" s="38">
        <v>47823360</v>
      </c>
      <c r="G3315" s="39" t="s">
        <v>5689</v>
      </c>
      <c r="H3315" s="12"/>
      <c r="L3315" s="12"/>
    </row>
    <row r="3316" spans="1:12" ht="15.75" customHeight="1" x14ac:dyDescent="0.3">
      <c r="A3316" s="17" t="s">
        <v>1104</v>
      </c>
      <c r="B3316" s="50" t="str">
        <f>VLOOKUP(A3316,'Sales Order'!A$2:B$1029,1,0)</f>
        <v>SO0866</v>
      </c>
      <c r="C3316" s="29" t="s">
        <v>19</v>
      </c>
      <c r="D3316" s="50" t="str">
        <f>VLOOKUP(C3316,Product!A$2:B$21,1,0)</f>
        <v>PD0001</v>
      </c>
      <c r="E3316" s="36">
        <v>78</v>
      </c>
      <c r="F3316" s="38">
        <v>18450900</v>
      </c>
      <c r="G3316" s="39" t="s">
        <v>5690</v>
      </c>
      <c r="H3316" s="12"/>
      <c r="L3316" s="12"/>
    </row>
    <row r="3317" spans="1:12" ht="15.75" customHeight="1" x14ac:dyDescent="0.3">
      <c r="A3317" s="29" t="s">
        <v>1104</v>
      </c>
      <c r="B3317" s="50" t="str">
        <f>VLOOKUP(A3317,'Sales Order'!A$2:B$1029,1,0)</f>
        <v>SO0866</v>
      </c>
      <c r="C3317" s="29" t="s">
        <v>83</v>
      </c>
      <c r="D3317" s="50" t="str">
        <f>VLOOKUP(C3317,Product!A$2:B$21,1,0)</f>
        <v>PD0020</v>
      </c>
      <c r="E3317" s="36">
        <v>133</v>
      </c>
      <c r="F3317" s="38">
        <v>33300540</v>
      </c>
      <c r="G3317" s="39" t="s">
        <v>5691</v>
      </c>
      <c r="H3317" s="12"/>
      <c r="L3317" s="12"/>
    </row>
    <row r="3318" spans="1:12" ht="15.75" customHeight="1" x14ac:dyDescent="0.3">
      <c r="A3318" s="29" t="s">
        <v>1104</v>
      </c>
      <c r="B3318" s="50" t="str">
        <f>VLOOKUP(A3318,'Sales Order'!A$2:B$1029,1,0)</f>
        <v>SO0866</v>
      </c>
      <c r="C3318" s="29" t="s">
        <v>52</v>
      </c>
      <c r="D3318" s="50" t="str">
        <f>VLOOKUP(C3318,Product!A$2:B$21,1,0)</f>
        <v>PD0010</v>
      </c>
      <c r="E3318" s="36">
        <v>142</v>
      </c>
      <c r="F3318" s="38">
        <v>38304500</v>
      </c>
      <c r="G3318" s="39" t="s">
        <v>5692</v>
      </c>
      <c r="H3318" s="12"/>
      <c r="L3318" s="12"/>
    </row>
    <row r="3319" spans="1:12" ht="15.75" customHeight="1" x14ac:dyDescent="0.3">
      <c r="A3319" s="29" t="s">
        <v>1104</v>
      </c>
      <c r="B3319" s="50" t="str">
        <f>VLOOKUP(A3319,'Sales Order'!A$2:B$1029,1,0)</f>
        <v>SO0866</v>
      </c>
      <c r="C3319" s="29" t="s">
        <v>48</v>
      </c>
      <c r="D3319" s="50" t="str">
        <f>VLOOKUP(C3319,Product!A$2:B$21,1,0)</f>
        <v>PD0009</v>
      </c>
      <c r="E3319" s="36">
        <v>72</v>
      </c>
      <c r="F3319" s="38">
        <v>7430400</v>
      </c>
      <c r="G3319" s="39" t="s">
        <v>5693</v>
      </c>
      <c r="H3319" s="12"/>
      <c r="L3319" s="12"/>
    </row>
    <row r="3320" spans="1:12" ht="15.75" customHeight="1" x14ac:dyDescent="0.3">
      <c r="A3320" s="29" t="s">
        <v>1104</v>
      </c>
      <c r="B3320" s="50" t="str">
        <f>VLOOKUP(A3320,'Sales Order'!A$2:B$1029,1,0)</f>
        <v>SO0866</v>
      </c>
      <c r="C3320" s="29" t="s">
        <v>43</v>
      </c>
      <c r="D3320" s="50" t="str">
        <f>VLOOKUP(C3320,Product!A$2:B$21,1,0)</f>
        <v>PD0007</v>
      </c>
      <c r="E3320" s="36">
        <v>50</v>
      </c>
      <c r="F3320" s="38">
        <v>142400000</v>
      </c>
      <c r="G3320" s="39" t="s">
        <v>5694</v>
      </c>
      <c r="H3320" s="12"/>
      <c r="L3320" s="12"/>
    </row>
    <row r="3321" spans="1:12" ht="15.75" customHeight="1" x14ac:dyDescent="0.3">
      <c r="A3321" s="29" t="s">
        <v>1104</v>
      </c>
      <c r="B3321" s="50" t="str">
        <f>VLOOKUP(A3321,'Sales Order'!A$2:B$1029,1,0)</f>
        <v>SO0866</v>
      </c>
      <c r="C3321" s="29" t="s">
        <v>35</v>
      </c>
      <c r="D3321" s="50" t="str">
        <f>VLOOKUP(C3321,Product!A$2:B$21,1,0)</f>
        <v>PD0005</v>
      </c>
      <c r="E3321" s="36">
        <v>29</v>
      </c>
      <c r="F3321" s="38">
        <v>57289500</v>
      </c>
      <c r="G3321" s="39" t="s">
        <v>5695</v>
      </c>
      <c r="H3321" s="12"/>
      <c r="L3321" s="12"/>
    </row>
    <row r="3322" spans="1:12" ht="15.75" customHeight="1" x14ac:dyDescent="0.3">
      <c r="A3322" s="29" t="s">
        <v>1106</v>
      </c>
      <c r="B3322" s="50" t="str">
        <f>VLOOKUP(A3322,'Sales Order'!A$2:B$1029,1,0)</f>
        <v>SO0868</v>
      </c>
      <c r="C3322" s="29" t="s">
        <v>83</v>
      </c>
      <c r="D3322" s="50" t="str">
        <f>VLOOKUP(C3322,Product!A$2:B$21,1,0)</f>
        <v>PD0020</v>
      </c>
      <c r="E3322" s="36">
        <v>91</v>
      </c>
      <c r="F3322" s="38">
        <v>22784580</v>
      </c>
      <c r="G3322" s="39" t="s">
        <v>5696</v>
      </c>
      <c r="H3322" s="12"/>
      <c r="L3322" s="12"/>
    </row>
    <row r="3323" spans="1:12" ht="15.75" customHeight="1" x14ac:dyDescent="0.3">
      <c r="A3323" s="29" t="s">
        <v>1106</v>
      </c>
      <c r="B3323" s="50" t="str">
        <f>VLOOKUP(A3323,'Sales Order'!A$2:B$1029,1,0)</f>
        <v>SO0868</v>
      </c>
      <c r="C3323" s="29" t="s">
        <v>40</v>
      </c>
      <c r="D3323" s="50" t="str">
        <f>VLOOKUP(C3323,Product!A$2:B$21,1,0)</f>
        <v>PD0006</v>
      </c>
      <c r="E3323" s="36">
        <v>81</v>
      </c>
      <c r="F3323" s="38">
        <v>13373910</v>
      </c>
      <c r="G3323" s="39" t="s">
        <v>5697</v>
      </c>
      <c r="H3323" s="12"/>
      <c r="L3323" s="12"/>
    </row>
    <row r="3324" spans="1:12" ht="15.75" customHeight="1" x14ac:dyDescent="0.3">
      <c r="A3324" s="17" t="s">
        <v>1118</v>
      </c>
      <c r="B3324" s="50" t="str">
        <f>VLOOKUP(A3324,'Sales Order'!A$2:B$1029,1,0)</f>
        <v>SO0880</v>
      </c>
      <c r="C3324" s="29" t="s">
        <v>25</v>
      </c>
      <c r="D3324" s="50" t="str">
        <f>VLOOKUP(C3324,Product!A$2:B$21,1,0)</f>
        <v>PD0002</v>
      </c>
      <c r="E3324" s="36">
        <v>121</v>
      </c>
      <c r="F3324" s="38">
        <v>2129600</v>
      </c>
      <c r="G3324" s="39" t="s">
        <v>5698</v>
      </c>
      <c r="H3324" s="12"/>
      <c r="L3324" s="12"/>
    </row>
    <row r="3325" spans="1:12" ht="15.75" customHeight="1" x14ac:dyDescent="0.3">
      <c r="A3325" s="29" t="s">
        <v>1118</v>
      </c>
      <c r="B3325" s="50" t="str">
        <f>VLOOKUP(A3325,'Sales Order'!A$2:B$1029,1,0)</f>
        <v>SO0880</v>
      </c>
      <c r="C3325" s="29" t="s">
        <v>83</v>
      </c>
      <c r="D3325" s="50" t="str">
        <f>VLOOKUP(C3325,Product!A$2:B$21,1,0)</f>
        <v>PD0020</v>
      </c>
      <c r="E3325" s="36">
        <v>142</v>
      </c>
      <c r="F3325" s="38">
        <v>40567980</v>
      </c>
      <c r="G3325" s="39" t="s">
        <v>5699</v>
      </c>
      <c r="H3325" s="12"/>
      <c r="L3325" s="12"/>
    </row>
    <row r="3326" spans="1:12" ht="15.75" customHeight="1" x14ac:dyDescent="0.3">
      <c r="A3326" s="29" t="s">
        <v>1119</v>
      </c>
      <c r="B3326" s="50" t="str">
        <f>VLOOKUP(A3326,'Sales Order'!A$2:B$1029,1,0)</f>
        <v>SO0881</v>
      </c>
      <c r="C3326" s="29" t="s">
        <v>52</v>
      </c>
      <c r="D3326" s="50" t="str">
        <f>VLOOKUP(C3326,Product!A$2:B$21,1,0)</f>
        <v>PD0010</v>
      </c>
      <c r="E3326" s="36">
        <v>130</v>
      </c>
      <c r="F3326" s="38">
        <v>38025000</v>
      </c>
      <c r="G3326" s="39" t="s">
        <v>5700</v>
      </c>
      <c r="H3326" s="12"/>
      <c r="L3326" s="12"/>
    </row>
    <row r="3327" spans="1:12" ht="15.75" customHeight="1" x14ac:dyDescent="0.3">
      <c r="A3327" s="29" t="s">
        <v>1119</v>
      </c>
      <c r="B3327" s="50" t="str">
        <f>VLOOKUP(A3327,'Sales Order'!A$2:B$1029,1,0)</f>
        <v>SO0881</v>
      </c>
      <c r="C3327" s="29" t="s">
        <v>48</v>
      </c>
      <c r="D3327" s="50" t="str">
        <f>VLOOKUP(C3327,Product!A$2:B$21,1,0)</f>
        <v>PD0009</v>
      </c>
      <c r="E3327" s="36">
        <v>70</v>
      </c>
      <c r="F3327" s="38">
        <v>8127000</v>
      </c>
      <c r="G3327" s="39" t="s">
        <v>5701</v>
      </c>
      <c r="H3327" s="12"/>
      <c r="L3327" s="12"/>
    </row>
    <row r="3328" spans="1:12" ht="15.75" customHeight="1" x14ac:dyDescent="0.3">
      <c r="A3328" s="17" t="s">
        <v>1130</v>
      </c>
      <c r="B3328" s="50" t="str">
        <f>VLOOKUP(A3328,'Sales Order'!A$2:B$1029,1,0)</f>
        <v>SO0892</v>
      </c>
      <c r="C3328" s="29" t="s">
        <v>40</v>
      </c>
      <c r="D3328" s="50" t="str">
        <f>VLOOKUP(C3328,Product!A$2:B$21,1,0)</f>
        <v>PD0006</v>
      </c>
      <c r="E3328" s="36">
        <v>108</v>
      </c>
      <c r="F3328" s="38">
        <v>20991960</v>
      </c>
      <c r="G3328" s="39" t="s">
        <v>5702</v>
      </c>
      <c r="H3328" s="12"/>
      <c r="L3328" s="12"/>
    </row>
    <row r="3329" spans="1:12" ht="15.75" customHeight="1" x14ac:dyDescent="0.3">
      <c r="A3329" s="29" t="s">
        <v>1130</v>
      </c>
      <c r="B3329" s="50" t="str">
        <f>VLOOKUP(A3329,'Sales Order'!A$2:B$1029,1,0)</f>
        <v>SO0892</v>
      </c>
      <c r="C3329" s="29" t="s">
        <v>45</v>
      </c>
      <c r="D3329" s="50" t="str">
        <f>VLOOKUP(C3329,Product!A$2:B$21,1,0)</f>
        <v>PD0008</v>
      </c>
      <c r="E3329" s="36">
        <v>85</v>
      </c>
      <c r="F3329" s="38">
        <v>11778450</v>
      </c>
      <c r="G3329" s="39" t="s">
        <v>5703</v>
      </c>
      <c r="H3329" s="12"/>
      <c r="L3329" s="12"/>
    </row>
    <row r="3330" spans="1:12" ht="15.75" customHeight="1" x14ac:dyDescent="0.3">
      <c r="A3330" s="29" t="s">
        <v>1135</v>
      </c>
      <c r="B3330" s="50" t="str">
        <f>VLOOKUP(A3330,'Sales Order'!A$2:B$1029,1,0)</f>
        <v>SO0897</v>
      </c>
      <c r="C3330" s="29" t="s">
        <v>48</v>
      </c>
      <c r="D3330" s="50" t="str">
        <f>VLOOKUP(C3330,Product!A$2:B$21,1,0)</f>
        <v>PD0009</v>
      </c>
      <c r="E3330" s="36">
        <v>52</v>
      </c>
      <c r="F3330" s="38">
        <v>5299320</v>
      </c>
      <c r="G3330" s="39" t="s">
        <v>5704</v>
      </c>
      <c r="H3330" s="12"/>
      <c r="L3330" s="12"/>
    </row>
    <row r="3331" spans="1:12" ht="15.75" customHeight="1" x14ac:dyDescent="0.3">
      <c r="A3331" s="29" t="s">
        <v>1135</v>
      </c>
      <c r="B3331" s="50" t="str">
        <f>VLOOKUP(A3331,'Sales Order'!A$2:B$1029,1,0)</f>
        <v>SO0897</v>
      </c>
      <c r="C3331" s="29" t="s">
        <v>69</v>
      </c>
      <c r="D3331" s="50" t="str">
        <f>VLOOKUP(C3331,Product!A$2:B$21,1,0)</f>
        <v>PD0015</v>
      </c>
      <c r="E3331" s="36">
        <v>66</v>
      </c>
      <c r="F3331" s="38">
        <v>8341541.9999999991</v>
      </c>
      <c r="G3331" s="39" t="s">
        <v>5705</v>
      </c>
      <c r="H3331" s="12"/>
      <c r="L3331" s="12"/>
    </row>
    <row r="3332" spans="1:12" ht="15.75" customHeight="1" x14ac:dyDescent="0.3">
      <c r="A3332" s="17" t="s">
        <v>1137</v>
      </c>
      <c r="B3332" s="50" t="str">
        <f>VLOOKUP(A3332,'Sales Order'!A$2:B$1029,1,0)</f>
        <v>SO0899</v>
      </c>
      <c r="C3332" s="29" t="s">
        <v>33</v>
      </c>
      <c r="D3332" s="50" t="str">
        <f>VLOOKUP(C3332,Product!A$2:B$21,1,0)</f>
        <v>PD0004</v>
      </c>
      <c r="E3332" s="36">
        <v>127</v>
      </c>
      <c r="F3332" s="38">
        <v>26543000</v>
      </c>
      <c r="G3332" s="39" t="s">
        <v>5706</v>
      </c>
      <c r="H3332" s="12"/>
      <c r="L3332" s="12"/>
    </row>
    <row r="3333" spans="1:12" ht="15.75" customHeight="1" x14ac:dyDescent="0.3">
      <c r="A3333" s="29" t="s">
        <v>1137</v>
      </c>
      <c r="B3333" s="50" t="str">
        <f>VLOOKUP(A3333,'Sales Order'!A$2:B$1029,1,0)</f>
        <v>SO0899</v>
      </c>
      <c r="C3333" s="29" t="s">
        <v>83</v>
      </c>
      <c r="D3333" s="50" t="str">
        <f>VLOOKUP(C3333,Product!A$2:B$21,1,0)</f>
        <v>PD0020</v>
      </c>
      <c r="E3333" s="36">
        <v>105</v>
      </c>
      <c r="F3333" s="38">
        <v>30334500</v>
      </c>
      <c r="G3333" s="39" t="s">
        <v>5707</v>
      </c>
      <c r="H3333" s="12"/>
      <c r="L3333" s="12"/>
    </row>
    <row r="3334" spans="1:12" ht="15.75" customHeight="1" x14ac:dyDescent="0.3">
      <c r="A3334" s="29" t="s">
        <v>1139</v>
      </c>
      <c r="B3334" s="50" t="str">
        <f>VLOOKUP(A3334,'Sales Order'!A$2:B$1029,1,0)</f>
        <v>SO0901</v>
      </c>
      <c r="C3334" s="29" t="s">
        <v>78</v>
      </c>
      <c r="D3334" s="50" t="str">
        <f>VLOOKUP(C3334,Product!A$2:B$21,1,0)</f>
        <v>PD0018</v>
      </c>
      <c r="E3334" s="36">
        <v>83</v>
      </c>
      <c r="F3334" s="38">
        <v>35766360</v>
      </c>
      <c r="G3334" s="39" t="s">
        <v>5708</v>
      </c>
      <c r="H3334" s="12"/>
      <c r="L3334" s="12"/>
    </row>
    <row r="3335" spans="1:12" ht="15.75" customHeight="1" x14ac:dyDescent="0.3">
      <c r="A3335" s="29" t="s">
        <v>1139</v>
      </c>
      <c r="B3335" s="50" t="str">
        <f>VLOOKUP(A3335,'Sales Order'!A$2:B$1029,1,0)</f>
        <v>SO0901</v>
      </c>
      <c r="C3335" s="29" t="s">
        <v>83</v>
      </c>
      <c r="D3335" s="50" t="str">
        <f>VLOOKUP(C3335,Product!A$2:B$21,1,0)</f>
        <v>PD0020</v>
      </c>
      <c r="E3335" s="36">
        <v>47</v>
      </c>
      <c r="F3335" s="38">
        <v>12220470</v>
      </c>
      <c r="G3335" s="39" t="s">
        <v>5709</v>
      </c>
      <c r="H3335" s="12"/>
      <c r="L3335" s="12"/>
    </row>
    <row r="3336" spans="1:12" ht="15.75" customHeight="1" x14ac:dyDescent="0.3">
      <c r="A3336" s="29" t="s">
        <v>1139</v>
      </c>
      <c r="B3336" s="50" t="str">
        <f>VLOOKUP(A3336,'Sales Order'!A$2:B$1029,1,0)</f>
        <v>SO0901</v>
      </c>
      <c r="C3336" s="29" t="s">
        <v>61</v>
      </c>
      <c r="D3336" s="50" t="str">
        <f>VLOOKUP(C3336,Product!A$2:B$21,1,0)</f>
        <v>PD0013</v>
      </c>
      <c r="E3336" s="36">
        <v>50</v>
      </c>
      <c r="F3336" s="38">
        <v>20357500</v>
      </c>
      <c r="G3336" s="39" t="s">
        <v>5710</v>
      </c>
      <c r="H3336" s="12"/>
      <c r="L3336" s="12"/>
    </row>
    <row r="3337" spans="1:12" ht="15.75" customHeight="1" x14ac:dyDescent="0.3">
      <c r="A3337" s="29" t="s">
        <v>1139</v>
      </c>
      <c r="B3337" s="50" t="str">
        <f>VLOOKUP(A3337,'Sales Order'!A$2:B$1029,1,0)</f>
        <v>SO0901</v>
      </c>
      <c r="C3337" s="29" t="s">
        <v>45</v>
      </c>
      <c r="D3337" s="50" t="str">
        <f>VLOOKUP(C3337,Product!A$2:B$21,1,0)</f>
        <v>PD0008</v>
      </c>
      <c r="E3337" s="36">
        <v>85</v>
      </c>
      <c r="F3337" s="38">
        <v>11778450</v>
      </c>
      <c r="G3337" s="39" t="s">
        <v>5711</v>
      </c>
      <c r="H3337" s="12"/>
      <c r="L3337" s="12"/>
    </row>
    <row r="3338" spans="1:12" ht="15.75" customHeight="1" x14ac:dyDescent="0.3">
      <c r="A3338" s="17" t="s">
        <v>1140</v>
      </c>
      <c r="B3338" s="50" t="str">
        <f>VLOOKUP(A3338,'Sales Order'!A$2:B$1029,1,0)</f>
        <v>SO0902</v>
      </c>
      <c r="C3338" s="29" t="s">
        <v>52</v>
      </c>
      <c r="D3338" s="50" t="str">
        <f>VLOOKUP(C3338,Product!A$2:B$21,1,0)</f>
        <v>PD0010</v>
      </c>
      <c r="E3338" s="36">
        <v>27</v>
      </c>
      <c r="F3338" s="38">
        <v>6844500</v>
      </c>
      <c r="G3338" s="39" t="s">
        <v>5712</v>
      </c>
      <c r="H3338" s="12"/>
      <c r="L3338" s="12"/>
    </row>
    <row r="3339" spans="1:12" ht="15.75" customHeight="1" x14ac:dyDescent="0.3">
      <c r="A3339" s="29" t="s">
        <v>1140</v>
      </c>
      <c r="B3339" s="50" t="str">
        <f>VLOOKUP(A3339,'Sales Order'!A$2:B$1029,1,0)</f>
        <v>SO0902</v>
      </c>
      <c r="C3339" s="29" t="s">
        <v>83</v>
      </c>
      <c r="D3339" s="50" t="str">
        <f>VLOOKUP(C3339,Product!A$2:B$21,1,0)</f>
        <v>PD0020</v>
      </c>
      <c r="E3339" s="36">
        <v>86</v>
      </c>
      <c r="F3339" s="38">
        <v>24569340</v>
      </c>
      <c r="G3339" s="39" t="s">
        <v>5713</v>
      </c>
      <c r="H3339" s="12"/>
      <c r="L3339" s="12"/>
    </row>
    <row r="3340" spans="1:12" ht="15.75" customHeight="1" x14ac:dyDescent="0.3">
      <c r="A3340" s="29" t="s">
        <v>1141</v>
      </c>
      <c r="B3340" s="50" t="str">
        <f>VLOOKUP(A3340,'Sales Order'!A$2:B$1029,1,0)</f>
        <v>SO0903</v>
      </c>
      <c r="C3340" s="29" t="s">
        <v>40</v>
      </c>
      <c r="D3340" s="50" t="str">
        <f>VLOOKUP(C3340,Product!A$2:B$21,1,0)</f>
        <v>PD0006</v>
      </c>
      <c r="E3340" s="36">
        <v>87</v>
      </c>
      <c r="F3340" s="38">
        <v>15091890</v>
      </c>
      <c r="G3340" s="39" t="s">
        <v>5714</v>
      </c>
      <c r="H3340" s="12"/>
      <c r="L3340" s="12"/>
    </row>
    <row r="3341" spans="1:12" ht="15.75" customHeight="1" x14ac:dyDescent="0.3">
      <c r="A3341" s="29" t="s">
        <v>1141</v>
      </c>
      <c r="B3341" s="50" t="str">
        <f>VLOOKUP(A3341,'Sales Order'!A$2:B$1029,1,0)</f>
        <v>SO0903</v>
      </c>
      <c r="C3341" s="29" t="s">
        <v>83</v>
      </c>
      <c r="D3341" s="50" t="str">
        <f>VLOOKUP(C3341,Product!A$2:B$21,1,0)</f>
        <v>PD0020</v>
      </c>
      <c r="E3341" s="36">
        <v>115</v>
      </c>
      <c r="F3341" s="38">
        <v>32116050</v>
      </c>
      <c r="G3341" s="39" t="s">
        <v>5715</v>
      </c>
      <c r="H3341" s="12"/>
      <c r="L3341" s="12"/>
    </row>
    <row r="3342" spans="1:12" ht="15.75" customHeight="1" x14ac:dyDescent="0.3">
      <c r="A3342" s="17" t="s">
        <v>1144</v>
      </c>
      <c r="B3342" s="50" t="str">
        <f>VLOOKUP(A3342,'Sales Order'!A$2:B$1029,1,0)</f>
        <v>SO0906</v>
      </c>
      <c r="C3342" s="29" t="s">
        <v>83</v>
      </c>
      <c r="D3342" s="50" t="str">
        <f>VLOOKUP(C3342,Product!A$2:B$21,1,0)</f>
        <v>PD0020</v>
      </c>
      <c r="E3342" s="36">
        <v>107</v>
      </c>
      <c r="F3342" s="38">
        <v>32286180</v>
      </c>
      <c r="G3342" s="39" t="s">
        <v>5716</v>
      </c>
      <c r="H3342" s="12"/>
      <c r="L3342" s="12"/>
    </row>
    <row r="3343" spans="1:12" ht="15.75" customHeight="1" x14ac:dyDescent="0.3">
      <c r="A3343" s="29" t="s">
        <v>1144</v>
      </c>
      <c r="B3343" s="50" t="str">
        <f>VLOOKUP(A3343,'Sales Order'!A$2:B$1029,1,0)</f>
        <v>SO0906</v>
      </c>
      <c r="C3343" s="29" t="s">
        <v>78</v>
      </c>
      <c r="D3343" s="50" t="str">
        <f>VLOOKUP(C3343,Product!A$2:B$21,1,0)</f>
        <v>PD0018</v>
      </c>
      <c r="E3343" s="36">
        <v>57</v>
      </c>
      <c r="F3343" s="38">
        <v>28807800</v>
      </c>
      <c r="G3343" s="39" t="s">
        <v>5717</v>
      </c>
      <c r="H3343" s="12"/>
      <c r="L3343" s="12"/>
    </row>
    <row r="3344" spans="1:12" ht="15.75" customHeight="1" x14ac:dyDescent="0.3">
      <c r="A3344" s="29" t="s">
        <v>1145</v>
      </c>
      <c r="B3344" s="50" t="str">
        <f>VLOOKUP(A3344,'Sales Order'!A$2:B$1029,1,0)</f>
        <v>SO0907</v>
      </c>
      <c r="C3344" s="29" t="s">
        <v>81</v>
      </c>
      <c r="D3344" s="50" t="str">
        <f>VLOOKUP(C3344,Product!A$2:B$21,1,0)</f>
        <v>PD0019</v>
      </c>
      <c r="E3344" s="36">
        <v>49</v>
      </c>
      <c r="F3344" s="38">
        <v>108663870</v>
      </c>
      <c r="G3344" s="39" t="s">
        <v>5718</v>
      </c>
      <c r="H3344" s="12"/>
      <c r="L3344" s="12"/>
    </row>
    <row r="3345" spans="1:12" ht="15.75" customHeight="1" x14ac:dyDescent="0.3">
      <c r="A3345" s="29" t="s">
        <v>1145</v>
      </c>
      <c r="B3345" s="50" t="str">
        <f>VLOOKUP(A3345,'Sales Order'!A$2:B$1029,1,0)</f>
        <v>SO0907</v>
      </c>
      <c r="C3345" s="29" t="s">
        <v>75</v>
      </c>
      <c r="D3345" s="50" t="str">
        <f>VLOOKUP(C3345,Product!A$2:B$21,1,0)</f>
        <v>PD0017</v>
      </c>
      <c r="E3345" s="36">
        <v>132</v>
      </c>
      <c r="F3345" s="38">
        <v>283338000</v>
      </c>
      <c r="G3345" s="39" t="s">
        <v>5719</v>
      </c>
      <c r="H3345" s="12"/>
      <c r="L3345" s="12"/>
    </row>
    <row r="3346" spans="1:12" ht="15.75" customHeight="1" x14ac:dyDescent="0.3">
      <c r="A3346" s="29" t="s">
        <v>1149</v>
      </c>
      <c r="B3346" s="50" t="str">
        <f>VLOOKUP(A3346,'Sales Order'!A$2:B$1029,1,0)</f>
        <v>SO0911</v>
      </c>
      <c r="C3346" s="29" t="s">
        <v>43</v>
      </c>
      <c r="D3346" s="50" t="str">
        <f>VLOOKUP(C3346,Product!A$2:B$21,1,0)</f>
        <v>PD0007</v>
      </c>
      <c r="E3346" s="36">
        <v>107</v>
      </c>
      <c r="F3346" s="38">
        <v>287616000</v>
      </c>
      <c r="G3346" s="39" t="s">
        <v>5720</v>
      </c>
      <c r="H3346" s="12"/>
      <c r="L3346" s="12"/>
    </row>
    <row r="3347" spans="1:12" ht="15.75" customHeight="1" x14ac:dyDescent="0.3">
      <c r="A3347" s="29" t="s">
        <v>1149</v>
      </c>
      <c r="B3347" s="50" t="str">
        <f>VLOOKUP(A3347,'Sales Order'!A$2:B$1029,1,0)</f>
        <v>SO0911</v>
      </c>
      <c r="C3347" s="29" t="s">
        <v>35</v>
      </c>
      <c r="D3347" s="50" t="str">
        <f>VLOOKUP(C3347,Product!A$2:B$21,1,0)</f>
        <v>PD0005</v>
      </c>
      <c r="E3347" s="36">
        <v>96</v>
      </c>
      <c r="F3347" s="38">
        <v>162254400</v>
      </c>
      <c r="G3347" s="39" t="s">
        <v>5721</v>
      </c>
      <c r="H3347" s="12"/>
      <c r="L3347" s="12"/>
    </row>
    <row r="3348" spans="1:12" ht="15.75" customHeight="1" x14ac:dyDescent="0.3">
      <c r="A3348" s="17" t="s">
        <v>1151</v>
      </c>
      <c r="B3348" s="50" t="str">
        <f>VLOOKUP(A3348,'Sales Order'!A$2:B$1029,1,0)</f>
        <v>SO0913</v>
      </c>
      <c r="C3348" s="29" t="s">
        <v>43</v>
      </c>
      <c r="D3348" s="50" t="str">
        <f>VLOOKUP(C3348,Product!A$2:B$21,1,0)</f>
        <v>PD0007</v>
      </c>
      <c r="E3348" s="36">
        <v>126</v>
      </c>
      <c r="F3348" s="38">
        <v>379008000</v>
      </c>
      <c r="G3348" s="39" t="s">
        <v>5722</v>
      </c>
      <c r="H3348" s="12"/>
      <c r="L3348" s="12"/>
    </row>
    <row r="3349" spans="1:12" ht="15.75" customHeight="1" x14ac:dyDescent="0.3">
      <c r="A3349" s="29" t="s">
        <v>1151</v>
      </c>
      <c r="B3349" s="50" t="str">
        <f>VLOOKUP(A3349,'Sales Order'!A$2:B$1029,1,0)</f>
        <v>SO0913</v>
      </c>
      <c r="C3349" s="29" t="s">
        <v>35</v>
      </c>
      <c r="D3349" s="50" t="str">
        <f>VLOOKUP(C3349,Product!A$2:B$21,1,0)</f>
        <v>PD0005</v>
      </c>
      <c r="E3349" s="36">
        <v>58</v>
      </c>
      <c r="F3349" s="38">
        <v>95482500</v>
      </c>
      <c r="G3349" s="39" t="s">
        <v>5723</v>
      </c>
      <c r="H3349" s="12"/>
      <c r="L3349" s="12"/>
    </row>
    <row r="3350" spans="1:12" ht="15.75" customHeight="1" x14ac:dyDescent="0.3">
      <c r="A3350" s="17" t="s">
        <v>1158</v>
      </c>
      <c r="B3350" s="50" t="str">
        <f>VLOOKUP(A3350,'Sales Order'!A$2:B$1029,1,0)</f>
        <v>SO0920</v>
      </c>
      <c r="C3350" s="29" t="s">
        <v>81</v>
      </c>
      <c r="D3350" s="50" t="str">
        <f>VLOOKUP(C3350,Product!A$2:B$21,1,0)</f>
        <v>PD0019</v>
      </c>
      <c r="E3350" s="36">
        <v>74</v>
      </c>
      <c r="F3350" s="38">
        <v>162218360</v>
      </c>
      <c r="G3350" s="39" t="s">
        <v>5724</v>
      </c>
      <c r="H3350" s="12"/>
      <c r="L3350" s="12"/>
    </row>
    <row r="3351" spans="1:12" ht="15.75" customHeight="1" x14ac:dyDescent="0.3">
      <c r="A3351" s="29" t="s">
        <v>1158</v>
      </c>
      <c r="B3351" s="50" t="str">
        <f>VLOOKUP(A3351,'Sales Order'!A$2:B$1029,1,0)</f>
        <v>SO0920</v>
      </c>
      <c r="C3351" s="29" t="s">
        <v>43</v>
      </c>
      <c r="D3351" s="50" t="str">
        <f>VLOOKUP(C3351,Product!A$2:B$21,1,0)</f>
        <v>PD0007</v>
      </c>
      <c r="E3351" s="36">
        <v>96</v>
      </c>
      <c r="F3351" s="38">
        <v>261120000</v>
      </c>
      <c r="G3351" s="39" t="s">
        <v>5725</v>
      </c>
      <c r="H3351" s="12"/>
      <c r="L3351" s="12"/>
    </row>
    <row r="3352" spans="1:12" ht="15.75" customHeight="1" x14ac:dyDescent="0.3">
      <c r="A3352" s="17" t="s">
        <v>1160</v>
      </c>
      <c r="B3352" s="50" t="str">
        <f>VLOOKUP(A3352,'Sales Order'!A$2:B$1029,1,0)</f>
        <v>SO0922</v>
      </c>
      <c r="C3352" s="29" t="s">
        <v>25</v>
      </c>
      <c r="D3352" s="50" t="str">
        <f>VLOOKUP(C3352,Product!A$2:B$21,1,0)</f>
        <v>PD0002</v>
      </c>
      <c r="E3352" s="36">
        <v>104</v>
      </c>
      <c r="F3352" s="38">
        <v>1809600</v>
      </c>
      <c r="G3352" s="39" t="s">
        <v>5726</v>
      </c>
      <c r="H3352" s="12"/>
      <c r="L3352" s="12"/>
    </row>
    <row r="3353" spans="1:12" ht="15.75" customHeight="1" x14ac:dyDescent="0.3">
      <c r="A3353" s="29" t="s">
        <v>1160</v>
      </c>
      <c r="B3353" s="50" t="str">
        <f>VLOOKUP(A3353,'Sales Order'!A$2:B$1029,1,0)</f>
        <v>SO0922</v>
      </c>
      <c r="C3353" s="29" t="s">
        <v>83</v>
      </c>
      <c r="D3353" s="50" t="str">
        <f>VLOOKUP(C3353,Product!A$2:B$21,1,0)</f>
        <v>PD0020</v>
      </c>
      <c r="E3353" s="36">
        <v>55</v>
      </c>
      <c r="F3353" s="38">
        <v>16066050</v>
      </c>
      <c r="G3353" s="39" t="s">
        <v>5727</v>
      </c>
      <c r="H3353" s="12"/>
      <c r="L3353" s="12"/>
    </row>
    <row r="3354" spans="1:12" ht="15.75" customHeight="1" x14ac:dyDescent="0.3">
      <c r="A3354" s="17" t="s">
        <v>1165</v>
      </c>
      <c r="B3354" s="50" t="str">
        <f>VLOOKUP(A3354,'Sales Order'!A$2:B$1029,1,0)</f>
        <v>SO0927</v>
      </c>
      <c r="C3354" s="29" t="s">
        <v>72</v>
      </c>
      <c r="D3354" s="50" t="str">
        <f>VLOOKUP(C3354,Product!A$2:B$21,1,0)</f>
        <v>PD0016</v>
      </c>
      <c r="E3354" s="36">
        <v>54</v>
      </c>
      <c r="F3354" s="38">
        <v>13552920</v>
      </c>
      <c r="G3354" s="39" t="s">
        <v>5728</v>
      </c>
      <c r="H3354" s="12"/>
      <c r="L3354" s="12"/>
    </row>
    <row r="3355" spans="1:12" ht="15.75" customHeight="1" x14ac:dyDescent="0.3">
      <c r="A3355" s="29" t="s">
        <v>1165</v>
      </c>
      <c r="B3355" s="50" t="str">
        <f>VLOOKUP(A3355,'Sales Order'!A$2:B$1029,1,0)</f>
        <v>SO0927</v>
      </c>
      <c r="C3355" s="29" t="s">
        <v>83</v>
      </c>
      <c r="D3355" s="50" t="str">
        <f>VLOOKUP(C3355,Product!A$2:B$21,1,0)</f>
        <v>PD0020</v>
      </c>
      <c r="E3355" s="36">
        <v>141</v>
      </c>
      <c r="F3355" s="38">
        <v>34850970</v>
      </c>
      <c r="G3355" s="39" t="s">
        <v>5729</v>
      </c>
      <c r="H3355" s="12"/>
      <c r="L3355" s="12"/>
    </row>
    <row r="3356" spans="1:12" ht="15.75" customHeight="1" x14ac:dyDescent="0.3">
      <c r="A3356" s="29" t="s">
        <v>1176</v>
      </c>
      <c r="B3356" s="50" t="str">
        <f>VLOOKUP(A3356,'Sales Order'!A$2:B$1029,1,0)</f>
        <v>SO0938</v>
      </c>
      <c r="C3356" s="29" t="s">
        <v>83</v>
      </c>
      <c r="D3356" s="50" t="str">
        <f>VLOOKUP(C3356,Product!A$2:B$21,1,0)</f>
        <v>PD0020</v>
      </c>
      <c r="E3356" s="36">
        <v>69</v>
      </c>
      <c r="F3356" s="38">
        <v>18605160</v>
      </c>
      <c r="G3356" s="39" t="s">
        <v>5730</v>
      </c>
      <c r="H3356" s="12"/>
      <c r="L3356" s="12"/>
    </row>
    <row r="3357" spans="1:12" ht="15.75" customHeight="1" x14ac:dyDescent="0.3">
      <c r="A3357" s="29" t="s">
        <v>1176</v>
      </c>
      <c r="B3357" s="50" t="str">
        <f>VLOOKUP(A3357,'Sales Order'!A$2:B$1029,1,0)</f>
        <v>SO0938</v>
      </c>
      <c r="C3357" s="29" t="s">
        <v>40</v>
      </c>
      <c r="D3357" s="50" t="str">
        <f>VLOOKUP(C3357,Product!A$2:B$21,1,0)</f>
        <v>PD0006</v>
      </c>
      <c r="E3357" s="36">
        <v>35</v>
      </c>
      <c r="F3357" s="38">
        <v>5998300</v>
      </c>
      <c r="G3357" s="39" t="s">
        <v>5731</v>
      </c>
      <c r="H3357" s="12"/>
      <c r="L3357" s="12"/>
    </row>
    <row r="3358" spans="1:12" ht="15.75" customHeight="1" x14ac:dyDescent="0.3">
      <c r="A3358" s="17" t="s">
        <v>1180</v>
      </c>
      <c r="B3358" s="50" t="str">
        <f>VLOOKUP(A3358,'Sales Order'!A$2:B$1029,1,0)</f>
        <v>SO0942</v>
      </c>
      <c r="C3358" s="29" t="s">
        <v>83</v>
      </c>
      <c r="D3358" s="50" t="str">
        <f>VLOOKUP(C3358,Product!A$2:B$21,1,0)</f>
        <v>PD0020</v>
      </c>
      <c r="E3358" s="36">
        <v>119</v>
      </c>
      <c r="F3358" s="38">
        <v>32087160</v>
      </c>
      <c r="G3358" s="39" t="s">
        <v>5732</v>
      </c>
      <c r="H3358" s="12"/>
      <c r="L3358" s="12"/>
    </row>
    <row r="3359" spans="1:12" ht="15.75" customHeight="1" x14ac:dyDescent="0.3">
      <c r="A3359" s="29" t="s">
        <v>1180</v>
      </c>
      <c r="B3359" s="50" t="str">
        <f>VLOOKUP(A3359,'Sales Order'!A$2:B$1029,1,0)</f>
        <v>SO0942</v>
      </c>
      <c r="C3359" s="29" t="s">
        <v>33</v>
      </c>
      <c r="D3359" s="50" t="str">
        <f>VLOOKUP(C3359,Product!A$2:B$21,1,0)</f>
        <v>PD0004</v>
      </c>
      <c r="E3359" s="36">
        <v>133</v>
      </c>
      <c r="F3359" s="38">
        <v>26334000</v>
      </c>
      <c r="G3359" s="39" t="s">
        <v>5733</v>
      </c>
      <c r="H3359" s="12"/>
      <c r="L3359" s="12"/>
    </row>
    <row r="3360" spans="1:12" ht="15.75" customHeight="1" x14ac:dyDescent="0.3">
      <c r="A3360" s="17" t="s">
        <v>1183</v>
      </c>
      <c r="B3360" s="50" t="str">
        <f>VLOOKUP(A3360,'Sales Order'!A$2:B$1029,1,0)</f>
        <v>SO0945</v>
      </c>
      <c r="C3360" s="29" t="s">
        <v>35</v>
      </c>
      <c r="D3360" s="50" t="str">
        <f>VLOOKUP(C3360,Product!A$2:B$21,1,0)</f>
        <v>PD0005</v>
      </c>
      <c r="E3360" s="36">
        <v>61</v>
      </c>
      <c r="F3360" s="38">
        <v>111132850</v>
      </c>
      <c r="G3360" s="39" t="s">
        <v>5734</v>
      </c>
      <c r="H3360" s="12"/>
      <c r="L3360" s="12"/>
    </row>
    <row r="3361" spans="1:12" ht="15.75" customHeight="1" x14ac:dyDescent="0.3">
      <c r="A3361" s="29" t="s">
        <v>1183</v>
      </c>
      <c r="B3361" s="50" t="str">
        <f>VLOOKUP(A3361,'Sales Order'!A$2:B$1029,1,0)</f>
        <v>SO0945</v>
      </c>
      <c r="C3361" s="29" t="s">
        <v>43</v>
      </c>
      <c r="D3361" s="50" t="str">
        <f>VLOOKUP(C3361,Product!A$2:B$21,1,0)</f>
        <v>PD0007</v>
      </c>
      <c r="E3361" s="36">
        <v>105</v>
      </c>
      <c r="F3361" s="38">
        <v>292320000</v>
      </c>
      <c r="G3361" s="39" t="s">
        <v>5735</v>
      </c>
      <c r="H3361" s="12"/>
      <c r="L3361" s="12"/>
    </row>
    <row r="3362" spans="1:12" ht="15.75" customHeight="1" x14ac:dyDescent="0.3">
      <c r="A3362" s="17" t="s">
        <v>1186</v>
      </c>
      <c r="B3362" s="50" t="str">
        <f>VLOOKUP(A3362,'Sales Order'!A$2:B$1029,1,0)</f>
        <v>SO0948</v>
      </c>
      <c r="C3362" s="29" t="s">
        <v>55</v>
      </c>
      <c r="D3362" s="50" t="str">
        <f>VLOOKUP(C3362,Product!A$2:B$21,1,0)</f>
        <v>PD0011</v>
      </c>
      <c r="E3362" s="36">
        <v>110</v>
      </c>
      <c r="F3362" s="38">
        <v>199807300</v>
      </c>
      <c r="G3362" s="39" t="s">
        <v>5736</v>
      </c>
      <c r="H3362" s="12"/>
      <c r="L3362" s="12"/>
    </row>
    <row r="3363" spans="1:12" ht="15.75" customHeight="1" x14ac:dyDescent="0.3">
      <c r="A3363" s="29" t="s">
        <v>1186</v>
      </c>
      <c r="B3363" s="50" t="str">
        <f>VLOOKUP(A3363,'Sales Order'!A$2:B$1029,1,0)</f>
        <v>SO0948</v>
      </c>
      <c r="C3363" s="29" t="s">
        <v>58</v>
      </c>
      <c r="D3363" s="50" t="str">
        <f>VLOOKUP(C3363,Product!A$2:B$21,1,0)</f>
        <v>PD0012</v>
      </c>
      <c r="E3363" s="36">
        <v>93</v>
      </c>
      <c r="F3363" s="38">
        <v>477228570</v>
      </c>
      <c r="G3363" s="39" t="s">
        <v>5737</v>
      </c>
      <c r="H3363" s="12"/>
      <c r="L3363" s="12"/>
    </row>
    <row r="3364" spans="1:12" ht="15.75" customHeight="1" x14ac:dyDescent="0.3">
      <c r="A3364" s="17" t="s">
        <v>1190</v>
      </c>
      <c r="B3364" s="50" t="str">
        <f>VLOOKUP(A3364,'Sales Order'!A$2:B$1029,1,0)</f>
        <v>SO0952</v>
      </c>
      <c r="C3364" s="29" t="s">
        <v>65</v>
      </c>
      <c r="D3364" s="50" t="str">
        <f>VLOOKUP(C3364,Product!A$2:B$21,1,0)</f>
        <v>PD0014</v>
      </c>
      <c r="E3364" s="36">
        <v>40</v>
      </c>
      <c r="F3364" s="38">
        <v>8330400</v>
      </c>
      <c r="G3364" s="39" t="s">
        <v>5738</v>
      </c>
      <c r="H3364" s="12"/>
      <c r="L3364" s="12"/>
    </row>
    <row r="3365" spans="1:12" ht="15.75" customHeight="1" x14ac:dyDescent="0.3">
      <c r="A3365" s="29" t="s">
        <v>1190</v>
      </c>
      <c r="B3365" s="50" t="str">
        <f>VLOOKUP(A3365,'Sales Order'!A$2:B$1029,1,0)</f>
        <v>SO0952</v>
      </c>
      <c r="C3365" s="29" t="s">
        <v>61</v>
      </c>
      <c r="D3365" s="50" t="str">
        <f>VLOOKUP(C3365,Product!A$2:B$21,1,0)</f>
        <v>PD0013</v>
      </c>
      <c r="E3365" s="36">
        <v>38</v>
      </c>
      <c r="F3365" s="38">
        <v>16199780</v>
      </c>
      <c r="G3365" s="39" t="s">
        <v>5739</v>
      </c>
      <c r="H3365" s="12"/>
      <c r="L3365" s="12"/>
    </row>
    <row r="3366" spans="1:12" ht="15.75" customHeight="1" x14ac:dyDescent="0.3">
      <c r="A3366" s="29" t="s">
        <v>1200</v>
      </c>
      <c r="B3366" s="50" t="str">
        <f>VLOOKUP(A3366,'Sales Order'!A$2:B$1029,1,0)</f>
        <v>SO0962</v>
      </c>
      <c r="C3366" s="29" t="s">
        <v>45</v>
      </c>
      <c r="D3366" s="50" t="str">
        <f>VLOOKUP(C3366,Product!A$2:B$21,1,0)</f>
        <v>PD0008</v>
      </c>
      <c r="E3366" s="36">
        <v>126</v>
      </c>
      <c r="F3366" s="38">
        <v>14268240</v>
      </c>
      <c r="G3366" s="39" t="s">
        <v>5740</v>
      </c>
      <c r="H3366" s="12"/>
      <c r="L3366" s="12"/>
    </row>
    <row r="3367" spans="1:12" ht="15.75" customHeight="1" x14ac:dyDescent="0.3">
      <c r="A3367" s="29" t="s">
        <v>1200</v>
      </c>
      <c r="B3367" s="50" t="str">
        <f>VLOOKUP(A3367,'Sales Order'!A$2:B$1029,1,0)</f>
        <v>SO0962</v>
      </c>
      <c r="C3367" s="29" t="s">
        <v>40</v>
      </c>
      <c r="D3367" s="50" t="str">
        <f>VLOOKUP(C3367,Product!A$2:B$21,1,0)</f>
        <v>PD0006</v>
      </c>
      <c r="E3367" s="36">
        <v>58</v>
      </c>
      <c r="F3367" s="38">
        <v>10788580</v>
      </c>
      <c r="G3367" s="39" t="s">
        <v>5741</v>
      </c>
      <c r="H3367" s="12"/>
      <c r="L3367" s="12"/>
    </row>
    <row r="3368" spans="1:12" ht="15.75" customHeight="1" x14ac:dyDescent="0.3">
      <c r="A3368" s="17" t="s">
        <v>1203</v>
      </c>
      <c r="B3368" s="50" t="str">
        <f>VLOOKUP(A3368,'Sales Order'!A$2:B$1029,1,0)</f>
        <v>SO0965</v>
      </c>
      <c r="C3368" s="29" t="s">
        <v>61</v>
      </c>
      <c r="D3368" s="50" t="str">
        <f>VLOOKUP(C3368,Product!A$2:B$21,1,0)</f>
        <v>PD0013</v>
      </c>
      <c r="E3368" s="36">
        <v>97</v>
      </c>
      <c r="F3368" s="38">
        <v>41352070</v>
      </c>
      <c r="G3368" s="39" t="s">
        <v>5742</v>
      </c>
      <c r="H3368" s="12"/>
      <c r="L3368" s="12"/>
    </row>
    <row r="3369" spans="1:12" ht="15.75" customHeight="1" x14ac:dyDescent="0.3">
      <c r="A3369" s="29" t="s">
        <v>1203</v>
      </c>
      <c r="B3369" s="50" t="str">
        <f>VLOOKUP(A3369,'Sales Order'!A$2:B$1029,1,0)</f>
        <v>SO0965</v>
      </c>
      <c r="C3369" s="29" t="s">
        <v>65</v>
      </c>
      <c r="D3369" s="50" t="str">
        <f>VLOOKUP(C3369,Product!A$2:B$21,1,0)</f>
        <v>PD0014</v>
      </c>
      <c r="E3369" s="36">
        <v>41</v>
      </c>
      <c r="F3369" s="38">
        <v>10399650</v>
      </c>
      <c r="G3369" s="39" t="s">
        <v>5743</v>
      </c>
      <c r="H3369" s="12"/>
      <c r="L3369" s="12"/>
    </row>
    <row r="3370" spans="1:12" ht="15.75" customHeight="1" x14ac:dyDescent="0.3">
      <c r="A3370" s="29" t="s">
        <v>1211</v>
      </c>
      <c r="B3370" s="50" t="str">
        <f>VLOOKUP(A3370,'Sales Order'!A$2:B$1029,1,0)</f>
        <v>SO0973</v>
      </c>
      <c r="C3370" s="29" t="s">
        <v>19</v>
      </c>
      <c r="D3370" s="50" t="str">
        <f>VLOOKUP(C3370,Product!A$2:B$21,1,0)</f>
        <v>PD0001</v>
      </c>
      <c r="E3370" s="36">
        <v>35</v>
      </c>
      <c r="F3370" s="38">
        <v>7407750</v>
      </c>
      <c r="G3370" s="39" t="s">
        <v>5744</v>
      </c>
      <c r="H3370" s="12"/>
      <c r="L3370" s="12"/>
    </row>
    <row r="3371" spans="1:12" ht="15.75" customHeight="1" x14ac:dyDescent="0.3">
      <c r="A3371" s="29" t="s">
        <v>1211</v>
      </c>
      <c r="B3371" s="50" t="str">
        <f>VLOOKUP(A3371,'Sales Order'!A$2:B$1029,1,0)</f>
        <v>SO0973</v>
      </c>
      <c r="C3371" s="29" t="s">
        <v>83</v>
      </c>
      <c r="D3371" s="50" t="str">
        <f>VLOOKUP(C3371,Product!A$2:B$21,1,0)</f>
        <v>PD0020</v>
      </c>
      <c r="E3371" s="36">
        <v>50</v>
      </c>
      <c r="F3371" s="38">
        <v>12358500</v>
      </c>
      <c r="G3371" s="39" t="s">
        <v>5745</v>
      </c>
      <c r="H3371" s="12"/>
      <c r="L3371" s="12"/>
    </row>
    <row r="3372" spans="1:12" ht="15.75" customHeight="1" x14ac:dyDescent="0.3">
      <c r="A3372" s="17" t="s">
        <v>1216</v>
      </c>
      <c r="B3372" s="50" t="str">
        <f>VLOOKUP(A3372,'Sales Order'!A$2:B$1029,1,0)</f>
        <v>SO0978</v>
      </c>
      <c r="C3372" s="29" t="s">
        <v>52</v>
      </c>
      <c r="D3372" s="50" t="str">
        <f>VLOOKUP(C3372,Product!A$2:B$21,1,0)</f>
        <v>PD0010</v>
      </c>
      <c r="E3372" s="36">
        <v>89</v>
      </c>
      <c r="F3372" s="38">
        <v>26321750</v>
      </c>
      <c r="G3372" s="39" t="s">
        <v>5746</v>
      </c>
      <c r="H3372" s="12"/>
      <c r="L3372" s="12"/>
    </row>
    <row r="3373" spans="1:12" ht="15.75" customHeight="1" x14ac:dyDescent="0.3">
      <c r="A3373" s="29" t="s">
        <v>1216</v>
      </c>
      <c r="B3373" s="50" t="str">
        <f>VLOOKUP(A3373,'Sales Order'!A$2:B$1029,1,0)</f>
        <v>SO0978</v>
      </c>
      <c r="C3373" s="29" t="s">
        <v>83</v>
      </c>
      <c r="D3373" s="50" t="str">
        <f>VLOOKUP(C3373,Product!A$2:B$21,1,0)</f>
        <v>PD0020</v>
      </c>
      <c r="E3373" s="36">
        <v>40</v>
      </c>
      <c r="F3373" s="38">
        <v>10015200</v>
      </c>
      <c r="G3373" s="39" t="s">
        <v>5747</v>
      </c>
      <c r="H3373" s="12"/>
      <c r="L3373" s="12"/>
    </row>
    <row r="3374" spans="1:12" ht="15.75" customHeight="1" x14ac:dyDescent="0.3">
      <c r="A3374" s="29" t="s">
        <v>1217</v>
      </c>
      <c r="B3374" s="50" t="str">
        <f>VLOOKUP(A3374,'Sales Order'!A$2:B$1029,1,0)</f>
        <v>SO0979</v>
      </c>
      <c r="C3374" s="29" t="s">
        <v>83</v>
      </c>
      <c r="D3374" s="50" t="str">
        <f>VLOOKUP(C3374,Product!A$2:B$21,1,0)</f>
        <v>PD0020</v>
      </c>
      <c r="E3374" s="36">
        <v>47</v>
      </c>
      <c r="F3374" s="38">
        <v>12673080</v>
      </c>
      <c r="G3374" s="39" t="s">
        <v>5748</v>
      </c>
      <c r="H3374" s="12"/>
      <c r="L3374" s="12"/>
    </row>
    <row r="3375" spans="1:12" ht="15.75" customHeight="1" x14ac:dyDescent="0.3">
      <c r="A3375" s="29" t="s">
        <v>1217</v>
      </c>
      <c r="B3375" s="50" t="str">
        <f>VLOOKUP(A3375,'Sales Order'!A$2:B$1029,1,0)</f>
        <v>SO0979</v>
      </c>
      <c r="C3375" s="29" t="s">
        <v>78</v>
      </c>
      <c r="D3375" s="50" t="str">
        <f>VLOOKUP(C3375,Product!A$2:B$21,1,0)</f>
        <v>PD0018</v>
      </c>
      <c r="E3375" s="36">
        <v>54</v>
      </c>
      <c r="F3375" s="38">
        <v>26142480</v>
      </c>
      <c r="G3375" s="39" t="s">
        <v>5749</v>
      </c>
      <c r="H3375" s="12"/>
      <c r="L3375" s="12"/>
    </row>
    <row r="3376" spans="1:12" ht="15.75" customHeight="1" x14ac:dyDescent="0.3">
      <c r="A3376" s="29" t="s">
        <v>1230</v>
      </c>
      <c r="B3376" s="50" t="str">
        <f>VLOOKUP(A3376,'Sales Order'!A$2:B$1029,1,0)</f>
        <v>SO0992</v>
      </c>
      <c r="C3376" s="29" t="s">
        <v>83</v>
      </c>
      <c r="D3376" s="50" t="str">
        <f>VLOOKUP(C3376,Product!A$2:B$21,1,0)</f>
        <v>PD0020</v>
      </c>
      <c r="E3376" s="36">
        <v>100</v>
      </c>
      <c r="F3376" s="38">
        <v>30174000</v>
      </c>
      <c r="G3376" s="39" t="s">
        <v>5750</v>
      </c>
      <c r="H3376" s="12"/>
      <c r="L3376" s="12"/>
    </row>
    <row r="3377" spans="1:12" ht="15.75" customHeight="1" x14ac:dyDescent="0.3">
      <c r="A3377" s="29" t="s">
        <v>1230</v>
      </c>
      <c r="B3377" s="50" t="str">
        <f>VLOOKUP(A3377,'Sales Order'!A$2:B$1029,1,0)</f>
        <v>SO0992</v>
      </c>
      <c r="C3377" s="29" t="s">
        <v>45</v>
      </c>
      <c r="D3377" s="50" t="str">
        <f>VLOOKUP(C3377,Product!A$2:B$21,1,0)</f>
        <v>PD0008</v>
      </c>
      <c r="E3377" s="36">
        <v>103</v>
      </c>
      <c r="F3377" s="38">
        <v>11510250</v>
      </c>
      <c r="G3377" s="39" t="s">
        <v>5751</v>
      </c>
      <c r="H3377" s="12"/>
      <c r="L3377" s="12"/>
    </row>
    <row r="3378" spans="1:12" ht="15.75" customHeight="1" x14ac:dyDescent="0.3">
      <c r="A3378" s="29" t="s">
        <v>1236</v>
      </c>
      <c r="B3378" s="50" t="str">
        <f>VLOOKUP(A3378,'Sales Order'!A$2:B$1029,1,0)</f>
        <v>SO0998</v>
      </c>
      <c r="C3378" s="29" t="s">
        <v>65</v>
      </c>
      <c r="D3378" s="50" t="str">
        <f>VLOOKUP(C3378,Product!A$2:B$21,1,0)</f>
        <v>PD0014</v>
      </c>
      <c r="E3378" s="36">
        <v>56</v>
      </c>
      <c r="F3378" s="38">
        <v>13755840</v>
      </c>
      <c r="G3378" s="39" t="s">
        <v>5752</v>
      </c>
      <c r="H3378" s="12"/>
      <c r="L3378" s="12"/>
    </row>
    <row r="3379" spans="1:12" ht="15.75" customHeight="1" x14ac:dyDescent="0.3">
      <c r="A3379" s="29" t="s">
        <v>1236</v>
      </c>
      <c r="B3379" s="50" t="str">
        <f>VLOOKUP(A3379,'Sales Order'!A$2:B$1029,1,0)</f>
        <v>SO0998</v>
      </c>
      <c r="C3379" s="29" t="s">
        <v>61</v>
      </c>
      <c r="D3379" s="50" t="str">
        <f>VLOOKUP(C3379,Product!A$2:B$21,1,0)</f>
        <v>PD0013</v>
      </c>
      <c r="E3379" s="36">
        <v>72</v>
      </c>
      <c r="F3379" s="38">
        <v>29659680</v>
      </c>
      <c r="G3379" s="39" t="s">
        <v>5753</v>
      </c>
      <c r="H3379" s="12"/>
      <c r="L3379" s="12"/>
    </row>
    <row r="3380" spans="1:12" ht="15.75" customHeight="1" x14ac:dyDescent="0.3">
      <c r="A3380" s="29" t="s">
        <v>1240</v>
      </c>
      <c r="B3380" s="50" t="str">
        <f>VLOOKUP(A3380,'Sales Order'!A$2:B$1029,1,0)</f>
        <v>SO1002</v>
      </c>
      <c r="C3380" s="29" t="s">
        <v>81</v>
      </c>
      <c r="D3380" s="50" t="str">
        <f>VLOOKUP(C3380,Product!A$2:B$21,1,0)</f>
        <v>PD0019</v>
      </c>
      <c r="E3380" s="36">
        <v>41</v>
      </c>
      <c r="F3380" s="38">
        <v>82562110</v>
      </c>
      <c r="G3380" s="39" t="s">
        <v>5754</v>
      </c>
      <c r="H3380" s="12"/>
      <c r="L3380" s="12"/>
    </row>
    <row r="3381" spans="1:12" ht="15.75" customHeight="1" x14ac:dyDescent="0.3">
      <c r="A3381" s="29" t="s">
        <v>1240</v>
      </c>
      <c r="B3381" s="50" t="str">
        <f>VLOOKUP(A3381,'Sales Order'!A$2:B$1029,1,0)</f>
        <v>SO1002</v>
      </c>
      <c r="C3381" s="29" t="s">
        <v>75</v>
      </c>
      <c r="D3381" s="50" t="str">
        <f>VLOOKUP(C3381,Product!A$2:B$21,1,0)</f>
        <v>PD0017</v>
      </c>
      <c r="E3381" s="36">
        <v>130</v>
      </c>
      <c r="F3381" s="38">
        <v>327275000</v>
      </c>
      <c r="G3381" s="39" t="s">
        <v>5755</v>
      </c>
      <c r="H3381" s="12"/>
      <c r="L3381" s="12"/>
    </row>
    <row r="3382" spans="1:12" ht="15.75" customHeight="1" x14ac:dyDescent="0.3">
      <c r="A3382" s="29" t="s">
        <v>1241</v>
      </c>
      <c r="B3382" s="50" t="str">
        <f>VLOOKUP(A3382,'Sales Order'!A$2:B$1029,1,0)</f>
        <v>SO1003</v>
      </c>
      <c r="C3382" s="29" t="s">
        <v>33</v>
      </c>
      <c r="D3382" s="50" t="str">
        <f>VLOOKUP(C3382,Product!A$2:B$21,1,0)</f>
        <v>PD0004</v>
      </c>
      <c r="E3382" s="36">
        <v>86</v>
      </c>
      <c r="F3382" s="38">
        <v>17217200</v>
      </c>
      <c r="G3382" s="39" t="s">
        <v>5756</v>
      </c>
      <c r="H3382" s="12"/>
      <c r="L3382" s="12"/>
    </row>
    <row r="3383" spans="1:12" ht="15.75" customHeight="1" x14ac:dyDescent="0.3">
      <c r="A3383" s="29" t="s">
        <v>1241</v>
      </c>
      <c r="B3383" s="50" t="str">
        <f>VLOOKUP(A3383,'Sales Order'!A$2:B$1029,1,0)</f>
        <v>SO1003</v>
      </c>
      <c r="C3383" s="29" t="s">
        <v>83</v>
      </c>
      <c r="D3383" s="50" t="str">
        <f>VLOOKUP(C3383,Product!A$2:B$21,1,0)</f>
        <v>PD0020</v>
      </c>
      <c r="E3383" s="36">
        <v>98</v>
      </c>
      <c r="F3383" s="38">
        <v>25166400</v>
      </c>
      <c r="G3383" s="39" t="s">
        <v>5757</v>
      </c>
      <c r="H3383" s="12"/>
      <c r="L3383" s="12"/>
    </row>
    <row r="3384" spans="1:12" ht="15.75" customHeight="1" x14ac:dyDescent="0.3">
      <c r="A3384" s="29" t="s">
        <v>1242</v>
      </c>
      <c r="B3384" s="50" t="str">
        <f>VLOOKUP(A3384,'Sales Order'!A$2:B$1029,1,0)</f>
        <v>SO1004</v>
      </c>
      <c r="C3384" s="29" t="s">
        <v>65</v>
      </c>
      <c r="D3384" s="50" t="str">
        <f>VLOOKUP(C3384,Product!A$2:B$21,1,0)</f>
        <v>PD0014</v>
      </c>
      <c r="E3384" s="36">
        <v>70</v>
      </c>
      <c r="F3384" s="38">
        <v>15512700</v>
      </c>
      <c r="G3384" s="39" t="s">
        <v>5758</v>
      </c>
      <c r="H3384" s="12"/>
      <c r="L3384" s="12"/>
    </row>
    <row r="3385" spans="1:12" ht="15.75" customHeight="1" x14ac:dyDescent="0.3">
      <c r="A3385" s="29" t="s">
        <v>1242</v>
      </c>
      <c r="B3385" s="50" t="str">
        <f>VLOOKUP(A3385,'Sales Order'!A$2:B$1029,1,0)</f>
        <v>SO1004</v>
      </c>
      <c r="C3385" s="29" t="s">
        <v>45</v>
      </c>
      <c r="D3385" s="50" t="str">
        <f>VLOOKUP(C3385,Product!A$2:B$21,1,0)</f>
        <v>PD0008</v>
      </c>
      <c r="E3385" s="36">
        <v>83</v>
      </c>
      <c r="F3385" s="38">
        <v>10140940</v>
      </c>
      <c r="G3385" s="39" t="s">
        <v>5759</v>
      </c>
      <c r="H3385" s="12"/>
      <c r="L3385" s="12"/>
    </row>
    <row r="3386" spans="1:12" ht="15.75" customHeight="1" x14ac:dyDescent="0.3">
      <c r="A3386" s="17" t="s">
        <v>1249</v>
      </c>
      <c r="B3386" s="50" t="str">
        <f>VLOOKUP(A3386,'Sales Order'!A$2:B$1029,1,0)</f>
        <v>SO1011</v>
      </c>
      <c r="C3386" s="29" t="s">
        <v>83</v>
      </c>
      <c r="D3386" s="50" t="str">
        <f>VLOOKUP(C3386,Product!A$2:B$21,1,0)</f>
        <v>PD0020</v>
      </c>
      <c r="E3386" s="36">
        <v>140</v>
      </c>
      <c r="F3386" s="38">
        <v>38199000</v>
      </c>
      <c r="G3386" s="39" t="s">
        <v>5760</v>
      </c>
      <c r="H3386" s="12"/>
      <c r="L3386" s="12"/>
    </row>
    <row r="3387" spans="1:12" ht="15.75" customHeight="1" x14ac:dyDescent="0.3">
      <c r="A3387" s="29" t="s">
        <v>1249</v>
      </c>
      <c r="B3387" s="50" t="str">
        <f>VLOOKUP(A3387,'Sales Order'!A$2:B$1029,1,0)</f>
        <v>SO1011</v>
      </c>
      <c r="C3387" s="29" t="s">
        <v>78</v>
      </c>
      <c r="D3387" s="50" t="str">
        <f>VLOOKUP(C3387,Product!A$2:B$21,1,0)</f>
        <v>PD0018</v>
      </c>
      <c r="E3387" s="36">
        <v>100</v>
      </c>
      <c r="F3387" s="38">
        <v>47348000</v>
      </c>
      <c r="G3387" s="39" t="s">
        <v>5761</v>
      </c>
      <c r="H3387" s="12"/>
      <c r="L3387" s="12"/>
    </row>
    <row r="3388" spans="1:12" ht="15.75" customHeight="1" x14ac:dyDescent="0.3">
      <c r="A3388" s="29" t="s">
        <v>1251</v>
      </c>
      <c r="B3388" s="50" t="str">
        <f>VLOOKUP(A3388,'Sales Order'!A$2:B$1029,1,0)</f>
        <v>SO1013</v>
      </c>
      <c r="C3388" s="29" t="s">
        <v>72</v>
      </c>
      <c r="D3388" s="50" t="str">
        <f>VLOOKUP(C3388,Product!A$2:B$21,1,0)</f>
        <v>PD0016</v>
      </c>
      <c r="E3388" s="36">
        <v>77</v>
      </c>
      <c r="F3388" s="38">
        <v>17063970</v>
      </c>
      <c r="G3388" s="39" t="s">
        <v>5762</v>
      </c>
      <c r="H3388" s="12"/>
      <c r="L3388" s="12"/>
    </row>
    <row r="3389" spans="1:12" ht="15.75" customHeight="1" x14ac:dyDescent="0.3">
      <c r="A3389" s="29" t="s">
        <v>1251</v>
      </c>
      <c r="B3389" s="50" t="str">
        <f>VLOOKUP(A3389,'Sales Order'!A$2:B$1029,1,0)</f>
        <v>SO1013</v>
      </c>
      <c r="C3389" s="29" t="s">
        <v>69</v>
      </c>
      <c r="D3389" s="50" t="str">
        <f>VLOOKUP(C3389,Product!A$2:B$21,1,0)</f>
        <v>PD0015</v>
      </c>
      <c r="E3389" s="36">
        <v>28</v>
      </c>
      <c r="F3389" s="38">
        <v>3196368</v>
      </c>
      <c r="G3389" s="39" t="s">
        <v>5763</v>
      </c>
      <c r="H3389" s="12"/>
      <c r="L3389" s="12"/>
    </row>
    <row r="3390" spans="1:12" ht="15.75" customHeight="1" x14ac:dyDescent="0.3">
      <c r="A3390" s="29" t="s">
        <v>1256</v>
      </c>
      <c r="B3390" s="50" t="str">
        <f>VLOOKUP(A3390,'Sales Order'!A$2:B$1029,1,0)</f>
        <v>SO1018</v>
      </c>
      <c r="C3390" s="29" t="s">
        <v>65</v>
      </c>
      <c r="D3390" s="50" t="str">
        <f>VLOOKUP(C3390,Product!A$2:B$21,1,0)</f>
        <v>PD0014</v>
      </c>
      <c r="E3390" s="36">
        <v>63</v>
      </c>
      <c r="F3390" s="38">
        <v>14129640</v>
      </c>
      <c r="G3390" s="39" t="s">
        <v>5764</v>
      </c>
      <c r="H3390" s="12"/>
      <c r="L3390" s="12"/>
    </row>
    <row r="3391" spans="1:12" ht="15.75" customHeight="1" x14ac:dyDescent="0.3">
      <c r="A3391" s="29" t="s">
        <v>1256</v>
      </c>
      <c r="B3391" s="50" t="str">
        <f>VLOOKUP(A3391,'Sales Order'!A$2:B$1029,1,0)</f>
        <v>SO1018</v>
      </c>
      <c r="C3391" s="29" t="s">
        <v>61</v>
      </c>
      <c r="D3391" s="50" t="str">
        <f>VLOOKUP(C3391,Product!A$2:B$21,1,0)</f>
        <v>PD0013</v>
      </c>
      <c r="E3391" s="36">
        <v>137</v>
      </c>
      <c r="F3391" s="38">
        <v>54467090</v>
      </c>
      <c r="G3391" s="39" t="s">
        <v>5765</v>
      </c>
      <c r="H3391" s="12"/>
      <c r="L3391" s="12"/>
    </row>
    <row r="3392" spans="1:12" ht="15.75" customHeight="1" x14ac:dyDescent="0.3">
      <c r="A3392" s="17" t="s">
        <v>1265</v>
      </c>
      <c r="B3392" s="50" t="str">
        <f>VLOOKUP(A3392,'Sales Order'!A$2:B$1029,1,0)</f>
        <v>SO1027</v>
      </c>
      <c r="C3392" s="29" t="s">
        <v>35</v>
      </c>
      <c r="D3392" s="50" t="str">
        <f>VLOOKUP(C3392,Product!A$2:B$21,1,0)</f>
        <v>PD0005</v>
      </c>
      <c r="E3392" s="36">
        <v>87</v>
      </c>
      <c r="F3392" s="38">
        <v>175687800</v>
      </c>
      <c r="G3392" s="39" t="s">
        <v>5766</v>
      </c>
      <c r="H3392" s="12"/>
      <c r="L3392" s="12"/>
    </row>
    <row r="3393" spans="1:12" ht="15.75" customHeight="1" x14ac:dyDescent="0.3">
      <c r="A3393" s="29" t="s">
        <v>1265</v>
      </c>
      <c r="B3393" s="50" t="str">
        <f>VLOOKUP(A3393,'Sales Order'!A$2:B$1029,1,0)</f>
        <v>SO1027</v>
      </c>
      <c r="C3393" s="29" t="s">
        <v>43</v>
      </c>
      <c r="D3393" s="50" t="str">
        <f>VLOOKUP(C3393,Product!A$2:B$21,1,0)</f>
        <v>PD0007</v>
      </c>
      <c r="E3393" s="36">
        <v>121</v>
      </c>
      <c r="F3393" s="38">
        <v>367840000</v>
      </c>
      <c r="G3393" s="39" t="s">
        <v>5767</v>
      </c>
      <c r="H3393" s="12"/>
      <c r="L3393" s="12"/>
    </row>
    <row r="3394" spans="1:12" ht="15.75" customHeight="1" x14ac:dyDescent="0.3">
      <c r="A3394" s="12"/>
      <c r="B3394" s="12"/>
    </row>
    <row r="3395" spans="1:12" ht="15.75" customHeight="1" x14ac:dyDescent="0.3">
      <c r="A3395" s="12"/>
      <c r="B3395" s="12"/>
      <c r="F3395" s="41">
        <f>SUM(F2:F3393)</f>
        <v>296769900803</v>
      </c>
    </row>
    <row r="3396" spans="1:12" ht="15.75" customHeight="1" x14ac:dyDescent="0.3">
      <c r="F3396" s="16"/>
    </row>
    <row r="3397" spans="1:12" ht="15.75" customHeight="1" x14ac:dyDescent="0.3">
      <c r="F3397" s="16"/>
    </row>
    <row r="3398" spans="1:12" ht="15.75" customHeight="1" x14ac:dyDescent="0.3">
      <c r="F3398" s="16"/>
    </row>
    <row r="3399" spans="1:12" ht="15.75" customHeight="1" x14ac:dyDescent="0.3">
      <c r="F3399" s="16"/>
    </row>
    <row r="3400" spans="1:12" ht="15.75" customHeight="1" x14ac:dyDescent="0.3">
      <c r="F3400" s="16"/>
    </row>
    <row r="3401" spans="1:12" ht="15.75" customHeight="1" x14ac:dyDescent="0.3">
      <c r="F3401" s="16"/>
    </row>
    <row r="3402" spans="1:12" ht="15.75" customHeight="1" x14ac:dyDescent="0.3">
      <c r="F3402" s="16"/>
    </row>
    <row r="3403" spans="1:12" ht="15.75" customHeight="1" x14ac:dyDescent="0.3"/>
    <row r="3404" spans="1:12" ht="15.75" customHeight="1" x14ac:dyDescent="0.3"/>
    <row r="3405" spans="1:12" ht="15.75" customHeight="1" x14ac:dyDescent="0.3"/>
    <row r="3406" spans="1:12" ht="15.75" customHeight="1" x14ac:dyDescent="0.3"/>
    <row r="3407" spans="1:12" ht="15.75" customHeight="1" x14ac:dyDescent="0.3"/>
    <row r="3408" spans="1:12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</sheetData>
  <autoFilter ref="A1:G3393" xr:uid="{00000000-0001-0000-0600-000000000000}">
    <sortState xmlns:xlrd2="http://schemas.microsoft.com/office/spreadsheetml/2017/richdata2" ref="A2:G3393">
      <sortCondition sortBy="cellColor" ref="G1:G3393" dxfId="5"/>
    </sortState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38"/>
  <sheetViews>
    <sheetView topLeftCell="B2" workbookViewId="0">
      <selection activeCell="I2" sqref="I2"/>
    </sheetView>
  </sheetViews>
  <sheetFormatPr defaultColWidth="14.44140625" defaultRowHeight="15" customHeight="1" x14ac:dyDescent="0.3"/>
  <cols>
    <col min="1" max="1" width="12.109375" customWidth="1"/>
    <col min="2" max="3" width="14.88671875" customWidth="1"/>
    <col min="4" max="4" width="17" customWidth="1"/>
    <col min="5" max="5" width="21.109375" customWidth="1"/>
    <col min="6" max="6" width="18.44140625" customWidth="1"/>
    <col min="7" max="7" width="15.33203125" customWidth="1"/>
    <col min="8" max="8" width="12.6640625" customWidth="1"/>
    <col min="9" max="9" width="43.5546875" customWidth="1"/>
    <col min="10" max="10" width="23.33203125" bestFit="1" customWidth="1"/>
    <col min="11" max="11" width="18.77734375" customWidth="1"/>
    <col min="12" max="12" width="11.44140625" customWidth="1"/>
    <col min="13" max="27" width="8.6640625" customWidth="1"/>
  </cols>
  <sheetData>
    <row r="1" spans="1:11" ht="14.4" x14ac:dyDescent="0.3">
      <c r="A1" s="13" t="s">
        <v>1268</v>
      </c>
      <c r="B1" s="13" t="s">
        <v>1</v>
      </c>
      <c r="C1" s="13" t="s">
        <v>5777</v>
      </c>
      <c r="D1" s="13" t="s">
        <v>1269</v>
      </c>
      <c r="E1" s="13" t="s">
        <v>1270</v>
      </c>
      <c r="F1" s="13" t="s">
        <v>1271</v>
      </c>
      <c r="G1" s="13" t="s">
        <v>1272</v>
      </c>
      <c r="H1" s="13" t="s">
        <v>1273</v>
      </c>
      <c r="I1" s="44" t="s">
        <v>5772</v>
      </c>
      <c r="J1" s="49" t="s">
        <v>5773</v>
      </c>
    </row>
    <row r="2" spans="1:11" ht="14.4" x14ac:dyDescent="0.3">
      <c r="A2" s="40" t="s">
        <v>1274</v>
      </c>
      <c r="B2" s="40" t="s">
        <v>233</v>
      </c>
      <c r="C2" s="51" t="str">
        <f>VLOOKUP(B2,'Sales Order'!A$2:B$1029,1,0)</f>
        <v>SO0001</v>
      </c>
      <c r="D2" s="17" t="s">
        <v>1275</v>
      </c>
      <c r="E2" s="24" t="s">
        <v>2314</v>
      </c>
      <c r="F2" s="17" t="s">
        <v>1276</v>
      </c>
      <c r="G2" s="18">
        <v>808800</v>
      </c>
      <c r="H2" s="43">
        <v>0.11</v>
      </c>
      <c r="I2" s="37">
        <v>128061060.36</v>
      </c>
      <c r="J2" s="42">
        <f>'Sales Order'!H2+('Sales Order'!H2*0.11)+Invoice!G2</f>
        <v>128061060.36</v>
      </c>
      <c r="K2" s="41"/>
    </row>
    <row r="3" spans="1:11" ht="14.4" x14ac:dyDescent="0.3">
      <c r="A3" s="40" t="s">
        <v>1277</v>
      </c>
      <c r="B3" s="40" t="s">
        <v>235</v>
      </c>
      <c r="C3" s="51" t="str">
        <f>VLOOKUP(B3,'Sales Order'!A$2:B$1029,1,0)</f>
        <v>SO0002</v>
      </c>
      <c r="D3" s="17" t="s">
        <v>1275</v>
      </c>
      <c r="E3" s="17" t="s">
        <v>2313</v>
      </c>
      <c r="F3" s="17" t="s">
        <v>1276</v>
      </c>
      <c r="G3" s="18">
        <v>808800</v>
      </c>
      <c r="H3" s="43">
        <v>0.11</v>
      </c>
      <c r="I3" s="37">
        <v>50615576.700000003</v>
      </c>
      <c r="J3" s="42">
        <f>'Sales Order'!H3+('Sales Order'!H3*0.11)+Invoice!G3</f>
        <v>50615576.700000003</v>
      </c>
      <c r="K3" s="41"/>
    </row>
    <row r="4" spans="1:11" ht="14.4" x14ac:dyDescent="0.3">
      <c r="A4" s="40" t="s">
        <v>1278</v>
      </c>
      <c r="B4" s="40" t="s">
        <v>236</v>
      </c>
      <c r="C4" s="51" t="str">
        <f>VLOOKUP(B4,'Sales Order'!A$2:B$1029,1,0)</f>
        <v>SO0003</v>
      </c>
      <c r="D4" s="17" t="s">
        <v>1279</v>
      </c>
      <c r="E4" s="17" t="s">
        <v>118</v>
      </c>
      <c r="F4" s="17" t="s">
        <v>1280</v>
      </c>
      <c r="G4" s="18">
        <v>8088</v>
      </c>
      <c r="H4" s="43">
        <v>0.11</v>
      </c>
      <c r="I4" s="37">
        <v>1223012803.5</v>
      </c>
      <c r="J4" s="42">
        <f>'Sales Order'!H4+('Sales Order'!H4*0.11)+Invoice!G4</f>
        <v>1223012803.5</v>
      </c>
      <c r="K4" s="41"/>
    </row>
    <row r="5" spans="1:11" ht="14.4" x14ac:dyDescent="0.3">
      <c r="A5" s="40" t="s">
        <v>1281</v>
      </c>
      <c r="B5" s="40" t="s">
        <v>239</v>
      </c>
      <c r="C5" s="51" t="str">
        <f>VLOOKUP(B5,'Sales Order'!A$2:B$1029,1,0)</f>
        <v>SO0004</v>
      </c>
      <c r="D5" s="17" t="s">
        <v>1275</v>
      </c>
      <c r="E5" s="17" t="s">
        <v>2313</v>
      </c>
      <c r="F5" s="17" t="s">
        <v>1276</v>
      </c>
      <c r="G5" s="18">
        <v>808800</v>
      </c>
      <c r="H5" s="43">
        <v>0.11</v>
      </c>
      <c r="I5" s="37">
        <v>12683633.279999999</v>
      </c>
      <c r="J5" s="42">
        <f>'Sales Order'!H5+('Sales Order'!H5*0.11)+Invoice!G5</f>
        <v>12683633.279999999</v>
      </c>
      <c r="K5" s="41"/>
    </row>
    <row r="6" spans="1:11" ht="14.4" x14ac:dyDescent="0.3">
      <c r="A6" s="40" t="s">
        <v>1282</v>
      </c>
      <c r="B6" s="40" t="s">
        <v>240</v>
      </c>
      <c r="C6" s="51" t="str">
        <f>VLOOKUP(B6,'Sales Order'!A$2:B$1029,1,0)</f>
        <v>SO0005</v>
      </c>
      <c r="D6" s="17" t="s">
        <v>1279</v>
      </c>
      <c r="E6" s="17" t="s">
        <v>118</v>
      </c>
      <c r="F6" s="17" t="s">
        <v>1280</v>
      </c>
      <c r="G6" s="18">
        <v>8088</v>
      </c>
      <c r="H6" s="43">
        <v>0.11</v>
      </c>
      <c r="I6" s="37">
        <v>278129688</v>
      </c>
      <c r="J6" s="42">
        <f>'Sales Order'!H6+('Sales Order'!H6*0.11)+Invoice!G6</f>
        <v>278129688</v>
      </c>
      <c r="K6" s="41"/>
    </row>
    <row r="7" spans="1:11" ht="14.4" x14ac:dyDescent="0.3">
      <c r="A7" s="40" t="s">
        <v>1283</v>
      </c>
      <c r="B7" s="40" t="s">
        <v>241</v>
      </c>
      <c r="C7" s="51" t="str">
        <f>VLOOKUP(B7,'Sales Order'!A$2:B$1029,1,0)</f>
        <v>SO0006</v>
      </c>
      <c r="D7" s="17" t="s">
        <v>1275</v>
      </c>
      <c r="E7" s="17" t="s">
        <v>2313</v>
      </c>
      <c r="F7" s="17" t="s">
        <v>1276</v>
      </c>
      <c r="G7" s="18">
        <v>808800</v>
      </c>
      <c r="H7" s="43">
        <v>0.11</v>
      </c>
      <c r="I7" s="37">
        <v>13317878.4</v>
      </c>
      <c r="J7" s="42">
        <f>'Sales Order'!H7+('Sales Order'!H7*0.11)+Invoice!G7</f>
        <v>13317878.4</v>
      </c>
      <c r="K7" s="41"/>
    </row>
    <row r="8" spans="1:11" ht="14.4" x14ac:dyDescent="0.3">
      <c r="A8" s="40" t="s">
        <v>1284</v>
      </c>
      <c r="B8" s="40" t="s">
        <v>242</v>
      </c>
      <c r="C8" s="51" t="str">
        <f>VLOOKUP(B8,'Sales Order'!A$2:B$1029,1,0)</f>
        <v>SO0007</v>
      </c>
      <c r="D8" s="17" t="s">
        <v>1279</v>
      </c>
      <c r="E8" s="17" t="s">
        <v>118</v>
      </c>
      <c r="F8" s="17" t="s">
        <v>1285</v>
      </c>
      <c r="G8" s="18">
        <v>8088</v>
      </c>
      <c r="H8" s="43">
        <v>0.11</v>
      </c>
      <c r="I8" s="37">
        <v>474008923.80000001</v>
      </c>
      <c r="J8" s="42">
        <f>'Sales Order'!H8+('Sales Order'!H8*0.11)+Invoice!G8</f>
        <v>474008923.80000001</v>
      </c>
      <c r="K8" s="41"/>
    </row>
    <row r="9" spans="1:11" ht="14.4" x14ac:dyDescent="0.3">
      <c r="A9" s="40" t="s">
        <v>1286</v>
      </c>
      <c r="B9" s="40" t="s">
        <v>243</v>
      </c>
      <c r="C9" s="51" t="str">
        <f>VLOOKUP(B9,'Sales Order'!A$2:B$1029,1,0)</f>
        <v>SO0008</v>
      </c>
      <c r="D9" s="17" t="s">
        <v>1275</v>
      </c>
      <c r="E9" s="17" t="s">
        <v>2315</v>
      </c>
      <c r="F9" s="17" t="s">
        <v>1285</v>
      </c>
      <c r="G9" s="18">
        <v>556050</v>
      </c>
      <c r="H9" s="43">
        <v>0.11</v>
      </c>
      <c r="I9" s="37">
        <v>682225853.39999998</v>
      </c>
      <c r="J9" s="42">
        <f>'Sales Order'!H9+('Sales Order'!H9*0.11)+Invoice!G9</f>
        <v>682225853.39999998</v>
      </c>
      <c r="K9" s="41"/>
    </row>
    <row r="10" spans="1:11" ht="14.4" x14ac:dyDescent="0.3">
      <c r="A10" s="40" t="s">
        <v>1287</v>
      </c>
      <c r="B10" s="40" t="s">
        <v>244</v>
      </c>
      <c r="C10" s="51" t="str">
        <f>VLOOKUP(B10,'Sales Order'!A$2:B$1029,1,0)</f>
        <v>SO0009</v>
      </c>
      <c r="D10" s="17" t="s">
        <v>1279</v>
      </c>
      <c r="E10" s="17" t="s">
        <v>2312</v>
      </c>
      <c r="F10" s="17" t="s">
        <v>1288</v>
      </c>
      <c r="G10" s="18">
        <v>32352</v>
      </c>
      <c r="H10" s="43">
        <v>0.11</v>
      </c>
      <c r="I10" s="37">
        <v>194748385.5</v>
      </c>
      <c r="J10" s="42">
        <f>'Sales Order'!H10+('Sales Order'!H10*0.11)+Invoice!G10</f>
        <v>194748385.5</v>
      </c>
      <c r="K10" s="41"/>
    </row>
    <row r="11" spans="1:11" ht="14.4" x14ac:dyDescent="0.3">
      <c r="A11" s="40" t="s">
        <v>1289</v>
      </c>
      <c r="B11" s="40" t="s">
        <v>245</v>
      </c>
      <c r="C11" s="51" t="str">
        <f>VLOOKUP(B11,'Sales Order'!A$2:B$1029,1,0)</f>
        <v>SO0010</v>
      </c>
      <c r="D11" s="17" t="s">
        <v>1279</v>
      </c>
      <c r="E11" s="17" t="s">
        <v>2312</v>
      </c>
      <c r="F11" s="17" t="s">
        <v>1285</v>
      </c>
      <c r="G11" s="18">
        <v>32352</v>
      </c>
      <c r="H11" s="43">
        <v>0.11</v>
      </c>
      <c r="I11" s="37">
        <v>742716687.57000005</v>
      </c>
      <c r="J11" s="42">
        <f>'Sales Order'!H11+('Sales Order'!H11*0.11)+Invoice!G11</f>
        <v>742716687.57000005</v>
      </c>
      <c r="K11" s="41"/>
    </row>
    <row r="12" spans="1:11" ht="14.4" x14ac:dyDescent="0.3">
      <c r="A12" s="40" t="s">
        <v>1290</v>
      </c>
      <c r="B12" s="40" t="s">
        <v>246</v>
      </c>
      <c r="C12" s="51" t="str">
        <f>VLOOKUP(B12,'Sales Order'!A$2:B$1029,1,0)</f>
        <v>SO0011</v>
      </c>
      <c r="D12" s="17" t="s">
        <v>1275</v>
      </c>
      <c r="E12" s="29" t="s">
        <v>2314</v>
      </c>
      <c r="F12" s="29" t="s">
        <v>1276</v>
      </c>
      <c r="G12" s="18">
        <v>808800</v>
      </c>
      <c r="H12" s="43">
        <v>0.11</v>
      </c>
      <c r="I12" s="38">
        <v>78721154.099999994</v>
      </c>
      <c r="J12" s="42">
        <f>'Sales Order'!H12+('Sales Order'!H12*0.11)+Invoice!G12</f>
        <v>78721154.099999994</v>
      </c>
      <c r="K12" s="41"/>
    </row>
    <row r="13" spans="1:11" ht="14.4" x14ac:dyDescent="0.3">
      <c r="A13" s="40" t="s">
        <v>1291</v>
      </c>
      <c r="B13" s="40" t="s">
        <v>248</v>
      </c>
      <c r="C13" s="51" t="str">
        <f>VLOOKUP(B13,'Sales Order'!A$2:B$1029,1,0)</f>
        <v>SO0012</v>
      </c>
      <c r="D13" s="17" t="s">
        <v>1275</v>
      </c>
      <c r="E13" s="29" t="s">
        <v>143</v>
      </c>
      <c r="F13" s="29" t="s">
        <v>1276</v>
      </c>
      <c r="G13" s="32">
        <v>859350</v>
      </c>
      <c r="H13" s="43">
        <v>0.11</v>
      </c>
      <c r="I13" s="38">
        <v>109139739</v>
      </c>
      <c r="J13" s="42">
        <f>'Sales Order'!H13+('Sales Order'!H13*0.11)+Invoice!G13</f>
        <v>109139739</v>
      </c>
      <c r="K13" s="41"/>
    </row>
    <row r="14" spans="1:11" ht="14.4" x14ac:dyDescent="0.3">
      <c r="A14" s="40" t="s">
        <v>1292</v>
      </c>
      <c r="B14" s="40" t="s">
        <v>249</v>
      </c>
      <c r="C14" s="51" t="str">
        <f>VLOOKUP(B14,'Sales Order'!A$2:B$1029,1,0)</f>
        <v>SO0013</v>
      </c>
      <c r="D14" s="17" t="s">
        <v>1275</v>
      </c>
      <c r="E14" s="29" t="s">
        <v>170</v>
      </c>
      <c r="F14" s="29" t="s">
        <v>1280</v>
      </c>
      <c r="G14" s="32">
        <v>859350</v>
      </c>
      <c r="H14" s="43">
        <v>0.11</v>
      </c>
      <c r="I14" s="38">
        <v>708043635.60000002</v>
      </c>
      <c r="J14" s="42">
        <f>'Sales Order'!H14+('Sales Order'!H14*0.11)+Invoice!G14</f>
        <v>708043635.60000002</v>
      </c>
      <c r="K14" s="41"/>
    </row>
    <row r="15" spans="1:11" ht="14.4" x14ac:dyDescent="0.3">
      <c r="A15" s="40" t="s">
        <v>1293</v>
      </c>
      <c r="B15" s="40" t="s">
        <v>250</v>
      </c>
      <c r="C15" s="51" t="str">
        <f>VLOOKUP(B15,'Sales Order'!A$2:B$1029,1,0)</f>
        <v>SO0014</v>
      </c>
      <c r="D15" s="17" t="s">
        <v>1275</v>
      </c>
      <c r="E15" s="29" t="s">
        <v>2318</v>
      </c>
      <c r="F15" s="29" t="s">
        <v>1285</v>
      </c>
      <c r="G15" s="32">
        <v>859350</v>
      </c>
      <c r="H15" s="43">
        <v>0.11</v>
      </c>
      <c r="I15" s="38">
        <v>322874767.80000001</v>
      </c>
      <c r="J15" s="42">
        <f>'Sales Order'!H15+('Sales Order'!H15*0.11)+Invoice!G15</f>
        <v>322874767.80000001</v>
      </c>
      <c r="K15" s="41"/>
    </row>
    <row r="16" spans="1:11" ht="14.4" x14ac:dyDescent="0.3">
      <c r="A16" s="40" t="s">
        <v>1294</v>
      </c>
      <c r="B16" s="40" t="s">
        <v>251</v>
      </c>
      <c r="C16" s="51" t="str">
        <f>VLOOKUP(B16,'Sales Order'!A$2:B$1029,1,0)</f>
        <v>SO0015</v>
      </c>
      <c r="D16" s="17" t="s">
        <v>1275</v>
      </c>
      <c r="E16" s="29" t="s">
        <v>2320</v>
      </c>
      <c r="F16" s="29" t="s">
        <v>1295</v>
      </c>
      <c r="G16" s="32">
        <v>758250</v>
      </c>
      <c r="H16" s="43">
        <v>0.11</v>
      </c>
      <c r="I16" s="38">
        <v>716382120.89999998</v>
      </c>
      <c r="J16" s="42">
        <f>'Sales Order'!H16+('Sales Order'!H16*0.11)+Invoice!G16</f>
        <v>716382120.89999998</v>
      </c>
      <c r="K16" s="41"/>
    </row>
    <row r="17" spans="1:11" ht="14.4" x14ac:dyDescent="0.3">
      <c r="A17" s="40" t="s">
        <v>1296</v>
      </c>
      <c r="B17" s="40" t="s">
        <v>252</v>
      </c>
      <c r="C17" s="51" t="str">
        <f>VLOOKUP(B17,'Sales Order'!A$2:B$1029,1,0)</f>
        <v>SO0016</v>
      </c>
      <c r="D17" s="17" t="s">
        <v>1275</v>
      </c>
      <c r="E17" s="29" t="s">
        <v>2318</v>
      </c>
      <c r="F17" s="29" t="s">
        <v>1288</v>
      </c>
      <c r="G17" s="32">
        <v>859350</v>
      </c>
      <c r="H17" s="43">
        <v>0.11</v>
      </c>
      <c r="I17" s="38">
        <v>276162371.39999998</v>
      </c>
      <c r="J17" s="42">
        <f>'Sales Order'!H17+('Sales Order'!H17*0.11)+Invoice!G17</f>
        <v>276162371.39999998</v>
      </c>
      <c r="K17" s="41"/>
    </row>
    <row r="18" spans="1:11" ht="14.4" x14ac:dyDescent="0.3">
      <c r="A18" s="40" t="s">
        <v>1297</v>
      </c>
      <c r="B18" s="40" t="s">
        <v>254</v>
      </c>
      <c r="C18" s="51" t="str">
        <f>VLOOKUP(B18,'Sales Order'!A$2:B$1029,1,0)</f>
        <v>SO0017</v>
      </c>
      <c r="D18" s="17" t="s">
        <v>1279</v>
      </c>
      <c r="E18" s="29" t="s">
        <v>118</v>
      </c>
      <c r="F18" s="29" t="s">
        <v>1295</v>
      </c>
      <c r="G18" s="18">
        <v>8088</v>
      </c>
      <c r="H18" s="43">
        <v>0.11</v>
      </c>
      <c r="I18" s="38">
        <v>763758417.60000002</v>
      </c>
      <c r="J18" s="42">
        <f>'Sales Order'!H18+('Sales Order'!H18*0.11)+Invoice!G18</f>
        <v>763758417.60000002</v>
      </c>
      <c r="K18" s="41"/>
    </row>
    <row r="19" spans="1:11" ht="14.4" x14ac:dyDescent="0.3">
      <c r="A19" s="40" t="s">
        <v>1298</v>
      </c>
      <c r="B19" s="40" t="s">
        <v>255</v>
      </c>
      <c r="C19" s="51" t="str">
        <f>VLOOKUP(B19,'Sales Order'!A$2:B$1029,1,0)</f>
        <v>SO0018</v>
      </c>
      <c r="D19" s="17" t="s">
        <v>1275</v>
      </c>
      <c r="E19" s="29" t="s">
        <v>2313</v>
      </c>
      <c r="F19" s="29" t="s">
        <v>1288</v>
      </c>
      <c r="G19" s="18">
        <v>808800</v>
      </c>
      <c r="H19" s="43">
        <v>0.11</v>
      </c>
      <c r="I19" s="38">
        <v>49717176</v>
      </c>
      <c r="J19" s="42">
        <f>'Sales Order'!H19+('Sales Order'!H19*0.11)+Invoice!G19</f>
        <v>49717176</v>
      </c>
      <c r="K19" s="41"/>
    </row>
    <row r="20" spans="1:11" ht="14.4" x14ac:dyDescent="0.3">
      <c r="A20" s="40" t="s">
        <v>1299</v>
      </c>
      <c r="B20" s="40" t="s">
        <v>256</v>
      </c>
      <c r="C20" s="51" t="str">
        <f>VLOOKUP(B20,'Sales Order'!A$2:B$1029,1,0)</f>
        <v>SO0019</v>
      </c>
      <c r="D20" s="17" t="s">
        <v>1275</v>
      </c>
      <c r="E20" s="29" t="s">
        <v>2318</v>
      </c>
      <c r="F20" s="29" t="s">
        <v>1295</v>
      </c>
      <c r="G20" s="32">
        <v>859350</v>
      </c>
      <c r="H20" s="43">
        <v>0.11</v>
      </c>
      <c r="I20" s="38">
        <v>335006279.69999999</v>
      </c>
      <c r="J20" s="42">
        <f>'Sales Order'!H20+('Sales Order'!H20*0.11)+Invoice!G20</f>
        <v>335006279.69999999</v>
      </c>
      <c r="K20" s="41"/>
    </row>
    <row r="21" spans="1:11" ht="15.75" customHeight="1" x14ac:dyDescent="0.3">
      <c r="A21" s="40" t="s">
        <v>1300</v>
      </c>
      <c r="B21" s="40" t="s">
        <v>257</v>
      </c>
      <c r="C21" s="51" t="str">
        <f>VLOOKUP(B21,'Sales Order'!A$2:B$1029,1,0)</f>
        <v>SO0020</v>
      </c>
      <c r="D21" s="17" t="s">
        <v>1275</v>
      </c>
      <c r="E21" s="29" t="s">
        <v>2316</v>
      </c>
      <c r="F21" s="29" t="s">
        <v>1288</v>
      </c>
      <c r="G21" s="18">
        <v>556050</v>
      </c>
      <c r="H21" s="43">
        <v>0.11</v>
      </c>
      <c r="I21" s="38">
        <v>78797041.799999997</v>
      </c>
      <c r="J21" s="42">
        <f>'Sales Order'!H21+('Sales Order'!H21*0.11)+Invoice!G21</f>
        <v>78797041.799999997</v>
      </c>
      <c r="K21" s="41"/>
    </row>
    <row r="22" spans="1:11" ht="15.75" customHeight="1" x14ac:dyDescent="0.3">
      <c r="A22" s="40" t="s">
        <v>1301</v>
      </c>
      <c r="B22" s="40" t="s">
        <v>258</v>
      </c>
      <c r="C22" s="51" t="str">
        <f>VLOOKUP(B22,'Sales Order'!A$2:B$1029,1,0)</f>
        <v>SO0021</v>
      </c>
      <c r="D22" s="17" t="s">
        <v>1279</v>
      </c>
      <c r="E22" s="29" t="s">
        <v>2312</v>
      </c>
      <c r="F22" s="29" t="s">
        <v>1276</v>
      </c>
      <c r="G22" s="18">
        <v>32352</v>
      </c>
      <c r="H22" s="43">
        <v>0.11</v>
      </c>
      <c r="I22" s="38">
        <v>243959414.09999999</v>
      </c>
      <c r="J22" s="42">
        <f>'Sales Order'!H22+('Sales Order'!H22*0.11)+Invoice!G22</f>
        <v>243959414.09999999</v>
      </c>
      <c r="K22" s="41"/>
    </row>
    <row r="23" spans="1:11" ht="15.75" customHeight="1" x14ac:dyDescent="0.3">
      <c r="A23" s="40" t="s">
        <v>1302</v>
      </c>
      <c r="B23" s="40" t="s">
        <v>259</v>
      </c>
      <c r="C23" s="51" t="str">
        <f>VLOOKUP(B23,'Sales Order'!A$2:B$1029,1,0)</f>
        <v>SO0022</v>
      </c>
      <c r="D23" s="17" t="s">
        <v>1279</v>
      </c>
      <c r="E23" s="29" t="s">
        <v>150</v>
      </c>
      <c r="F23" s="29" t="s">
        <v>1295</v>
      </c>
      <c r="G23" s="18">
        <v>32352</v>
      </c>
      <c r="H23" s="43">
        <v>0.11</v>
      </c>
      <c r="I23" s="38">
        <v>525990227.63999999</v>
      </c>
      <c r="J23" s="42">
        <f>'Sales Order'!H23+('Sales Order'!H23*0.11)+Invoice!G23</f>
        <v>525990227.63999999</v>
      </c>
      <c r="K23" s="41"/>
    </row>
    <row r="24" spans="1:11" ht="15.75" customHeight="1" x14ac:dyDescent="0.3">
      <c r="A24" s="40" t="s">
        <v>1303</v>
      </c>
      <c r="B24" s="40" t="s">
        <v>261</v>
      </c>
      <c r="C24" s="51" t="str">
        <f>VLOOKUP(B24,'Sales Order'!A$2:B$1029,1,0)</f>
        <v>SO0023</v>
      </c>
      <c r="D24" s="17" t="s">
        <v>1279</v>
      </c>
      <c r="E24" s="29" t="s">
        <v>118</v>
      </c>
      <c r="F24" s="29" t="s">
        <v>1276</v>
      </c>
      <c r="G24" s="18">
        <v>8088</v>
      </c>
      <c r="H24" s="43">
        <v>0.11</v>
      </c>
      <c r="I24" s="38">
        <v>197519241.36000001</v>
      </c>
      <c r="J24" s="42">
        <f>'Sales Order'!H24+('Sales Order'!H24*0.11)+Invoice!G24</f>
        <v>197519241.36000001</v>
      </c>
      <c r="K24" s="41"/>
    </row>
    <row r="25" spans="1:11" ht="15.75" customHeight="1" x14ac:dyDescent="0.3">
      <c r="A25" s="40" t="s">
        <v>1304</v>
      </c>
      <c r="B25" s="40" t="s">
        <v>262</v>
      </c>
      <c r="C25" s="51" t="str">
        <f>VLOOKUP(B25,'Sales Order'!A$2:B$1029,1,0)</f>
        <v>SO0024</v>
      </c>
      <c r="D25" s="17" t="s">
        <v>1275</v>
      </c>
      <c r="E25" s="29" t="s">
        <v>2314</v>
      </c>
      <c r="F25" s="29" t="s">
        <v>1288</v>
      </c>
      <c r="G25" s="18">
        <v>808800</v>
      </c>
      <c r="H25" s="43">
        <v>0.11</v>
      </c>
      <c r="I25" s="38">
        <v>49058668.5</v>
      </c>
      <c r="J25" s="42">
        <f>'Sales Order'!H25+('Sales Order'!H25*0.11)+Invoice!G25</f>
        <v>49058668.5</v>
      </c>
      <c r="K25" s="41"/>
    </row>
    <row r="26" spans="1:11" ht="15.75" customHeight="1" x14ac:dyDescent="0.3">
      <c r="A26" s="40" t="s">
        <v>1305</v>
      </c>
      <c r="B26" s="40" t="s">
        <v>263</v>
      </c>
      <c r="C26" s="51" t="str">
        <f>VLOOKUP(B26,'Sales Order'!A$2:B$1029,1,0)</f>
        <v>SO0025</v>
      </c>
      <c r="D26" s="17" t="s">
        <v>1279</v>
      </c>
      <c r="E26" s="29" t="s">
        <v>118</v>
      </c>
      <c r="F26" s="29" t="s">
        <v>1288</v>
      </c>
      <c r="G26" s="18">
        <v>8088</v>
      </c>
      <c r="H26" s="43">
        <v>0.11</v>
      </c>
      <c r="I26" s="38">
        <v>80696374.5</v>
      </c>
      <c r="J26" s="42">
        <f>'Sales Order'!H26+('Sales Order'!H26*0.11)+Invoice!G26</f>
        <v>80696374.5</v>
      </c>
      <c r="K26" s="41"/>
    </row>
    <row r="27" spans="1:11" ht="15.75" customHeight="1" x14ac:dyDescent="0.3">
      <c r="A27" s="40" t="s">
        <v>1306</v>
      </c>
      <c r="B27" s="40" t="s">
        <v>264</v>
      </c>
      <c r="C27" s="51" t="str">
        <f>VLOOKUP(B27,'Sales Order'!A$2:B$1029,1,0)</f>
        <v>SO0026</v>
      </c>
      <c r="D27" s="17" t="s">
        <v>1279</v>
      </c>
      <c r="E27" s="29" t="s">
        <v>118</v>
      </c>
      <c r="F27" s="29" t="s">
        <v>1288</v>
      </c>
      <c r="G27" s="18">
        <v>8088</v>
      </c>
      <c r="H27" s="43">
        <v>0.11</v>
      </c>
      <c r="I27" s="38">
        <v>277052444.10000002</v>
      </c>
      <c r="J27" s="42">
        <f>'Sales Order'!H27+('Sales Order'!H27*0.11)+Invoice!G27</f>
        <v>277052444.10000002</v>
      </c>
      <c r="K27" s="41"/>
    </row>
    <row r="28" spans="1:11" ht="15.75" customHeight="1" x14ac:dyDescent="0.3">
      <c r="A28" s="40" t="s">
        <v>1307</v>
      </c>
      <c r="B28" s="40" t="s">
        <v>265</v>
      </c>
      <c r="C28" s="51" t="str">
        <f>VLOOKUP(B28,'Sales Order'!A$2:B$1029,1,0)</f>
        <v>SO0027</v>
      </c>
      <c r="D28" s="17" t="s">
        <v>1279</v>
      </c>
      <c r="E28" s="29" t="s">
        <v>118</v>
      </c>
      <c r="F28" s="29" t="s">
        <v>1280</v>
      </c>
      <c r="G28" s="18">
        <v>8088</v>
      </c>
      <c r="H28" s="43">
        <v>0.11</v>
      </c>
      <c r="I28" s="38">
        <v>738536209.5</v>
      </c>
      <c r="J28" s="42">
        <f>'Sales Order'!H28+('Sales Order'!H28*0.11)+Invoice!G28</f>
        <v>738536209.5</v>
      </c>
      <c r="K28" s="41"/>
    </row>
    <row r="29" spans="1:11" ht="15.75" customHeight="1" x14ac:dyDescent="0.3">
      <c r="A29" s="40" t="s">
        <v>1308</v>
      </c>
      <c r="B29" s="40" t="s">
        <v>266</v>
      </c>
      <c r="C29" s="51" t="str">
        <f>VLOOKUP(B29,'Sales Order'!A$2:B$1029,1,0)</f>
        <v>SO0028</v>
      </c>
      <c r="D29" s="17" t="s">
        <v>1275</v>
      </c>
      <c r="E29" s="29" t="s">
        <v>170</v>
      </c>
      <c r="F29" s="29" t="s">
        <v>1288</v>
      </c>
      <c r="G29" s="32">
        <v>859350</v>
      </c>
      <c r="H29" s="43">
        <v>0.11</v>
      </c>
      <c r="I29" s="38">
        <v>123731199.59999999</v>
      </c>
      <c r="J29" s="42">
        <f>'Sales Order'!H29+('Sales Order'!H29*0.11)+Invoice!G29</f>
        <v>123731199.59999999</v>
      </c>
      <c r="K29" s="41"/>
    </row>
    <row r="30" spans="1:11" ht="15.75" customHeight="1" x14ac:dyDescent="0.3">
      <c r="A30" s="40" t="s">
        <v>1309</v>
      </c>
      <c r="B30" s="40" t="s">
        <v>267</v>
      </c>
      <c r="C30" s="51" t="str">
        <f>VLOOKUP(B30,'Sales Order'!A$2:B$1029,1,0)</f>
        <v>SO0029</v>
      </c>
      <c r="D30" s="17" t="s">
        <v>1275</v>
      </c>
      <c r="E30" s="29" t="s">
        <v>2316</v>
      </c>
      <c r="F30" s="29" t="s">
        <v>1276</v>
      </c>
      <c r="G30" s="18">
        <v>556050</v>
      </c>
      <c r="H30" s="43">
        <v>0.11</v>
      </c>
      <c r="I30" s="38">
        <v>54079894.799999997</v>
      </c>
      <c r="J30" s="42">
        <f>'Sales Order'!H30+('Sales Order'!H30*0.11)+Invoice!G30</f>
        <v>54079894.799999997</v>
      </c>
      <c r="K30" s="41"/>
    </row>
    <row r="31" spans="1:11" ht="15.75" customHeight="1" x14ac:dyDescent="0.3">
      <c r="A31" s="40" t="s">
        <v>1310</v>
      </c>
      <c r="B31" s="40" t="s">
        <v>268</v>
      </c>
      <c r="C31" s="51" t="str">
        <f>VLOOKUP(B31,'Sales Order'!A$2:B$1029,1,0)</f>
        <v>SO0030</v>
      </c>
      <c r="D31" s="17" t="s">
        <v>1275</v>
      </c>
      <c r="E31" s="29" t="s">
        <v>143</v>
      </c>
      <c r="F31" s="29" t="s">
        <v>1276</v>
      </c>
      <c r="G31" s="32">
        <v>859350</v>
      </c>
      <c r="H31" s="43">
        <v>0.11</v>
      </c>
      <c r="I31" s="38">
        <v>90740501.099999994</v>
      </c>
      <c r="J31" s="42">
        <f>'Sales Order'!H31+('Sales Order'!H31*0.11)+Invoice!G31</f>
        <v>90740501.099999994</v>
      </c>
      <c r="K31" s="41"/>
    </row>
    <row r="32" spans="1:11" ht="15.75" customHeight="1" x14ac:dyDescent="0.3">
      <c r="A32" s="40" t="s">
        <v>1311</v>
      </c>
      <c r="B32" s="40" t="s">
        <v>269</v>
      </c>
      <c r="C32" s="51" t="str">
        <f>VLOOKUP(B32,'Sales Order'!A$2:B$1029,1,0)</f>
        <v>SO0031</v>
      </c>
      <c r="D32" s="17" t="s">
        <v>1279</v>
      </c>
      <c r="E32" s="29" t="s">
        <v>118</v>
      </c>
      <c r="F32" s="29" t="s">
        <v>1276</v>
      </c>
      <c r="G32" s="18">
        <v>8088</v>
      </c>
      <c r="H32" s="43">
        <v>0.11</v>
      </c>
      <c r="I32" s="38">
        <v>24022003.379999999</v>
      </c>
      <c r="J32" s="42">
        <f>'Sales Order'!H32+('Sales Order'!H32*0.11)+Invoice!G32</f>
        <v>24022003.379999999</v>
      </c>
      <c r="K32" s="41"/>
    </row>
    <row r="33" spans="1:11" ht="15.75" customHeight="1" x14ac:dyDescent="0.3">
      <c r="A33" s="40" t="s">
        <v>1312</v>
      </c>
      <c r="B33" s="40" t="s">
        <v>270</v>
      </c>
      <c r="C33" s="51" t="str">
        <f>VLOOKUP(B33,'Sales Order'!A$2:B$1029,1,0)</f>
        <v>SO0032</v>
      </c>
      <c r="D33" s="17" t="s">
        <v>1279</v>
      </c>
      <c r="E33" s="29" t="s">
        <v>118</v>
      </c>
      <c r="F33" s="29" t="s">
        <v>1276</v>
      </c>
      <c r="G33" s="18">
        <v>8088</v>
      </c>
      <c r="H33" s="43">
        <v>0.11</v>
      </c>
      <c r="I33" s="38">
        <v>42470416.5</v>
      </c>
      <c r="J33" s="42">
        <f>'Sales Order'!H33+('Sales Order'!H33*0.11)+Invoice!G33</f>
        <v>42470416.5</v>
      </c>
      <c r="K33" s="41"/>
    </row>
    <row r="34" spans="1:11" ht="15.75" customHeight="1" x14ac:dyDescent="0.3">
      <c r="A34" s="40" t="s">
        <v>1313</v>
      </c>
      <c r="B34" s="40" t="s">
        <v>271</v>
      </c>
      <c r="C34" s="51" t="str">
        <f>VLOOKUP(B34,'Sales Order'!A$2:B$1029,1,0)</f>
        <v>SO0033</v>
      </c>
      <c r="D34" s="17" t="s">
        <v>1275</v>
      </c>
      <c r="E34" s="29" t="s">
        <v>2313</v>
      </c>
      <c r="F34" s="29" t="s">
        <v>1295</v>
      </c>
      <c r="G34" s="18">
        <v>808800</v>
      </c>
      <c r="H34" s="43">
        <v>0.11</v>
      </c>
      <c r="I34" s="38">
        <v>305801402.10000002</v>
      </c>
      <c r="J34" s="42">
        <f>'Sales Order'!H34+('Sales Order'!H34*0.11)+Invoice!G34</f>
        <v>305801402.10000002</v>
      </c>
      <c r="K34" s="41"/>
    </row>
    <row r="35" spans="1:11" ht="15.75" customHeight="1" x14ac:dyDescent="0.3">
      <c r="A35" s="40" t="s">
        <v>1314</v>
      </c>
      <c r="B35" s="40" t="s">
        <v>272</v>
      </c>
      <c r="C35" s="51" t="str">
        <f>VLOOKUP(B35,'Sales Order'!A$2:B$1029,1,0)</f>
        <v>SO0034</v>
      </c>
      <c r="D35" s="17" t="s">
        <v>1275</v>
      </c>
      <c r="E35" s="29" t="s">
        <v>108</v>
      </c>
      <c r="F35" s="29" t="s">
        <v>1276</v>
      </c>
      <c r="G35" s="18">
        <v>556050</v>
      </c>
      <c r="H35" s="43">
        <v>0.11</v>
      </c>
      <c r="I35" s="38">
        <v>173992562.09999999</v>
      </c>
      <c r="J35" s="42">
        <f>'Sales Order'!H35+('Sales Order'!H35*0.11)+Invoice!G35</f>
        <v>173992562.09999999</v>
      </c>
      <c r="K35" s="41"/>
    </row>
    <row r="36" spans="1:11" ht="15.75" customHeight="1" x14ac:dyDescent="0.3">
      <c r="A36" s="40" t="s">
        <v>1315</v>
      </c>
      <c r="B36" s="40" t="s">
        <v>273</v>
      </c>
      <c r="C36" s="51" t="str">
        <f>VLOOKUP(B36,'Sales Order'!A$2:B$1029,1,0)</f>
        <v>SO0035</v>
      </c>
      <c r="D36" s="17" t="s">
        <v>1275</v>
      </c>
      <c r="E36" s="29" t="s">
        <v>2316</v>
      </c>
      <c r="F36" s="29" t="s">
        <v>1280</v>
      </c>
      <c r="G36" s="18">
        <v>556050</v>
      </c>
      <c r="H36" s="43">
        <v>0.11</v>
      </c>
      <c r="I36" s="38">
        <v>526132070.10000002</v>
      </c>
      <c r="J36" s="42">
        <f>'Sales Order'!H36+('Sales Order'!H36*0.11)+Invoice!G36</f>
        <v>526132070.10000002</v>
      </c>
      <c r="K36" s="41"/>
    </row>
    <row r="37" spans="1:11" ht="15.75" customHeight="1" x14ac:dyDescent="0.3">
      <c r="A37" s="40" t="s">
        <v>1316</v>
      </c>
      <c r="B37" s="40" t="s">
        <v>274</v>
      </c>
      <c r="C37" s="51" t="str">
        <f>VLOOKUP(B37,'Sales Order'!A$2:B$1029,1,0)</f>
        <v>SO0036</v>
      </c>
      <c r="D37" s="17" t="s">
        <v>1279</v>
      </c>
      <c r="E37" s="29" t="s">
        <v>118</v>
      </c>
      <c r="F37" s="29" t="s">
        <v>1295</v>
      </c>
      <c r="G37" s="18">
        <v>8088</v>
      </c>
      <c r="H37" s="43">
        <v>0.11</v>
      </c>
      <c r="I37" s="38">
        <v>417951615</v>
      </c>
      <c r="J37" s="42">
        <f>'Sales Order'!H37+('Sales Order'!H37*0.11)+Invoice!G37</f>
        <v>417951615</v>
      </c>
      <c r="K37" s="41"/>
    </row>
    <row r="38" spans="1:11" ht="15.75" customHeight="1" x14ac:dyDescent="0.3">
      <c r="A38" s="40" t="s">
        <v>1317</v>
      </c>
      <c r="B38" s="40" t="s">
        <v>275</v>
      </c>
      <c r="C38" s="51" t="str">
        <f>VLOOKUP(B38,'Sales Order'!A$2:B$1029,1,0)</f>
        <v>SO0037</v>
      </c>
      <c r="D38" s="17" t="s">
        <v>1275</v>
      </c>
      <c r="E38" s="29" t="s">
        <v>2316</v>
      </c>
      <c r="F38" s="29" t="s">
        <v>1285</v>
      </c>
      <c r="G38" s="18">
        <v>556050</v>
      </c>
      <c r="H38" s="43">
        <v>0.11</v>
      </c>
      <c r="I38" s="38">
        <v>1153381426.2</v>
      </c>
      <c r="J38" s="42">
        <f>'Sales Order'!H38+('Sales Order'!H38*0.11)+Invoice!G38</f>
        <v>1153381426.2</v>
      </c>
      <c r="K38" s="41"/>
    </row>
    <row r="39" spans="1:11" ht="15.75" customHeight="1" x14ac:dyDescent="0.3">
      <c r="A39" s="40" t="s">
        <v>1318</v>
      </c>
      <c r="B39" s="40" t="s">
        <v>276</v>
      </c>
      <c r="C39" s="51" t="str">
        <f>VLOOKUP(B39,'Sales Order'!A$2:B$1029,1,0)</f>
        <v>SO0038</v>
      </c>
      <c r="D39" s="17" t="s">
        <v>1275</v>
      </c>
      <c r="E39" s="29" t="s">
        <v>2315</v>
      </c>
      <c r="F39" s="29" t="s">
        <v>1276</v>
      </c>
      <c r="G39" s="18">
        <v>556050</v>
      </c>
      <c r="H39" s="43">
        <v>0.11</v>
      </c>
      <c r="I39" s="38">
        <v>145446370.19999999</v>
      </c>
      <c r="J39" s="42">
        <f>'Sales Order'!H39+('Sales Order'!H39*0.11)+Invoice!G39</f>
        <v>145446370.19999999</v>
      </c>
      <c r="K39" s="41"/>
    </row>
    <row r="40" spans="1:11" ht="15.75" customHeight="1" x14ac:dyDescent="0.3">
      <c r="A40" s="40" t="s">
        <v>1319</v>
      </c>
      <c r="B40" s="40" t="s">
        <v>277</v>
      </c>
      <c r="C40" s="51" t="str">
        <f>VLOOKUP(B40,'Sales Order'!A$2:B$1029,1,0)</f>
        <v>SO0039</v>
      </c>
      <c r="D40" s="17" t="s">
        <v>1279</v>
      </c>
      <c r="E40" s="29" t="s">
        <v>118</v>
      </c>
      <c r="F40" s="29" t="s">
        <v>1285</v>
      </c>
      <c r="G40" s="18">
        <v>8088</v>
      </c>
      <c r="H40" s="43">
        <v>0.11</v>
      </c>
      <c r="I40" s="38">
        <v>1238191577.3099999</v>
      </c>
      <c r="J40" s="42">
        <f>'Sales Order'!H40+('Sales Order'!H40*0.11)+Invoice!G40</f>
        <v>1238191577.3099999</v>
      </c>
      <c r="K40" s="41"/>
    </row>
    <row r="41" spans="1:11" ht="15.75" customHeight="1" x14ac:dyDescent="0.3">
      <c r="A41" s="40" t="s">
        <v>1320</v>
      </c>
      <c r="B41" s="40" t="s">
        <v>278</v>
      </c>
      <c r="C41" s="51" t="str">
        <f>VLOOKUP(B41,'Sales Order'!A$2:B$1029,1,0)</f>
        <v>SO0040</v>
      </c>
      <c r="D41" s="17" t="s">
        <v>1279</v>
      </c>
      <c r="E41" s="29" t="s">
        <v>150</v>
      </c>
      <c r="F41" s="29" t="s">
        <v>1285</v>
      </c>
      <c r="G41" s="18">
        <v>32352</v>
      </c>
      <c r="H41" s="43">
        <v>0.11</v>
      </c>
      <c r="I41" s="38">
        <v>387170337.60000002</v>
      </c>
      <c r="J41" s="42">
        <f>'Sales Order'!H41+('Sales Order'!H41*0.11)+Invoice!G41</f>
        <v>387170337.60000002</v>
      </c>
      <c r="K41" s="41"/>
    </row>
    <row r="42" spans="1:11" ht="15.75" customHeight="1" x14ac:dyDescent="0.3">
      <c r="A42" s="40" t="s">
        <v>1321</v>
      </c>
      <c r="B42" s="40" t="s">
        <v>279</v>
      </c>
      <c r="C42" s="51" t="str">
        <f>VLOOKUP(B42,'Sales Order'!A$2:B$1029,1,0)</f>
        <v>SO0041</v>
      </c>
      <c r="D42" s="17" t="s">
        <v>1275</v>
      </c>
      <c r="E42" s="29" t="s">
        <v>2316</v>
      </c>
      <c r="F42" s="29" t="s">
        <v>1280</v>
      </c>
      <c r="G42" s="18">
        <v>556050</v>
      </c>
      <c r="H42" s="43">
        <v>0.11</v>
      </c>
      <c r="I42" s="38">
        <v>856666404.89999998</v>
      </c>
      <c r="J42" s="42">
        <f>'Sales Order'!H42+('Sales Order'!H42*0.11)+Invoice!G42</f>
        <v>856666404.89999998</v>
      </c>
      <c r="K42" s="41"/>
    </row>
    <row r="43" spans="1:11" ht="15.75" customHeight="1" x14ac:dyDescent="0.3">
      <c r="A43" s="40" t="s">
        <v>1322</v>
      </c>
      <c r="B43" s="40" t="s">
        <v>280</v>
      </c>
      <c r="C43" s="51" t="str">
        <f>VLOOKUP(B43,'Sales Order'!A$2:B$1029,1,0)</f>
        <v>SO0042</v>
      </c>
      <c r="D43" s="17" t="s">
        <v>1275</v>
      </c>
      <c r="E43" s="29" t="s">
        <v>170</v>
      </c>
      <c r="F43" s="29" t="s">
        <v>1295</v>
      </c>
      <c r="G43" s="32">
        <v>859350</v>
      </c>
      <c r="H43" s="43">
        <v>0.11</v>
      </c>
      <c r="I43" s="38">
        <v>596476758.60000002</v>
      </c>
      <c r="J43" s="42">
        <f>'Sales Order'!H43+('Sales Order'!H43*0.11)+Invoice!G43</f>
        <v>596476758.60000002</v>
      </c>
      <c r="K43" s="41"/>
    </row>
    <row r="44" spans="1:11" ht="15.75" customHeight="1" x14ac:dyDescent="0.3">
      <c r="A44" s="40" t="s">
        <v>1323</v>
      </c>
      <c r="B44" s="40" t="s">
        <v>281</v>
      </c>
      <c r="C44" s="51" t="str">
        <f>VLOOKUP(B44,'Sales Order'!A$2:B$1029,1,0)</f>
        <v>SO0043</v>
      </c>
      <c r="D44" s="17" t="s">
        <v>1279</v>
      </c>
      <c r="E44" s="29" t="s">
        <v>118</v>
      </c>
      <c r="F44" s="29" t="s">
        <v>1288</v>
      </c>
      <c r="G44" s="18">
        <v>8088</v>
      </c>
      <c r="H44" s="43">
        <v>0.11</v>
      </c>
      <c r="I44" s="38">
        <v>137280289.5</v>
      </c>
      <c r="J44" s="42">
        <f>'Sales Order'!H44+('Sales Order'!H44*0.11)+Invoice!G44</f>
        <v>137280289.5</v>
      </c>
      <c r="K44" s="41"/>
    </row>
    <row r="45" spans="1:11" ht="15.75" customHeight="1" x14ac:dyDescent="0.3">
      <c r="A45" s="40" t="s">
        <v>1324</v>
      </c>
      <c r="B45" s="40" t="s">
        <v>282</v>
      </c>
      <c r="C45" s="51" t="str">
        <f>VLOOKUP(B45,'Sales Order'!A$2:B$1029,1,0)</f>
        <v>SO0044</v>
      </c>
      <c r="D45" s="17" t="s">
        <v>1275</v>
      </c>
      <c r="E45" s="29" t="s">
        <v>2316</v>
      </c>
      <c r="F45" s="29" t="s">
        <v>1280</v>
      </c>
      <c r="G45" s="18">
        <v>556050</v>
      </c>
      <c r="H45" s="43">
        <v>0.11</v>
      </c>
      <c r="I45" s="38">
        <v>1185405492.3</v>
      </c>
      <c r="J45" s="42">
        <f>'Sales Order'!H45+('Sales Order'!H45*0.11)+Invoice!G45</f>
        <v>1185405492.3</v>
      </c>
      <c r="K45" s="41"/>
    </row>
    <row r="46" spans="1:11" ht="15.75" customHeight="1" x14ac:dyDescent="0.3">
      <c r="A46" s="40" t="s">
        <v>1325</v>
      </c>
      <c r="B46" s="40" t="s">
        <v>283</v>
      </c>
      <c r="C46" s="51" t="str">
        <f>VLOOKUP(B46,'Sales Order'!A$2:B$1029,1,0)</f>
        <v>SO0045</v>
      </c>
      <c r="D46" s="17" t="s">
        <v>1275</v>
      </c>
      <c r="E46" s="29" t="s">
        <v>2314</v>
      </c>
      <c r="F46" s="29" t="s">
        <v>1288</v>
      </c>
      <c r="G46" s="18">
        <v>808800</v>
      </c>
      <c r="H46" s="43">
        <v>0.11</v>
      </c>
      <c r="I46" s="38">
        <v>242723964.90000001</v>
      </c>
      <c r="J46" s="42">
        <f>'Sales Order'!H46+('Sales Order'!H46*0.11)+Invoice!G46</f>
        <v>242723964.90000001</v>
      </c>
      <c r="K46" s="41"/>
    </row>
    <row r="47" spans="1:11" ht="15.75" customHeight="1" x14ac:dyDescent="0.3">
      <c r="A47" s="40" t="s">
        <v>1326</v>
      </c>
      <c r="B47" s="40" t="s">
        <v>284</v>
      </c>
      <c r="C47" s="51" t="str">
        <f>VLOOKUP(B47,'Sales Order'!A$2:B$1029,1,0)</f>
        <v>SO0046</v>
      </c>
      <c r="D47" s="17" t="s">
        <v>1279</v>
      </c>
      <c r="E47" s="29" t="s">
        <v>118</v>
      </c>
      <c r="F47" s="29" t="s">
        <v>1285</v>
      </c>
      <c r="G47" s="18">
        <v>8088</v>
      </c>
      <c r="H47" s="43">
        <v>0.11</v>
      </c>
      <c r="I47" s="38">
        <v>345859179.60000002</v>
      </c>
      <c r="J47" s="42">
        <f>'Sales Order'!H47+('Sales Order'!H47*0.11)+Invoice!G47</f>
        <v>345859179.60000002</v>
      </c>
      <c r="K47" s="41"/>
    </row>
    <row r="48" spans="1:11" ht="15.75" customHeight="1" x14ac:dyDescent="0.3">
      <c r="A48" s="40" t="s">
        <v>1327</v>
      </c>
      <c r="B48" s="40" t="s">
        <v>285</v>
      </c>
      <c r="C48" s="51" t="str">
        <f>VLOOKUP(B48,'Sales Order'!A$2:B$1029,1,0)</f>
        <v>SO0047</v>
      </c>
      <c r="D48" s="17" t="s">
        <v>1275</v>
      </c>
      <c r="E48" s="29" t="s">
        <v>108</v>
      </c>
      <c r="F48" s="29" t="s">
        <v>1285</v>
      </c>
      <c r="G48" s="18">
        <v>556050</v>
      </c>
      <c r="H48" s="43">
        <v>0.11</v>
      </c>
      <c r="I48" s="38">
        <v>1273900164.5999999</v>
      </c>
      <c r="J48" s="42">
        <f>'Sales Order'!H48+('Sales Order'!H48*0.11)+Invoice!G48</f>
        <v>1273900164.5999999</v>
      </c>
      <c r="K48" s="41"/>
    </row>
    <row r="49" spans="1:11" ht="15.75" customHeight="1" x14ac:dyDescent="0.3">
      <c r="A49" s="40" t="s">
        <v>1328</v>
      </c>
      <c r="B49" s="40" t="s">
        <v>286</v>
      </c>
      <c r="C49" s="51" t="str">
        <f>VLOOKUP(B49,'Sales Order'!A$2:B$1029,1,0)</f>
        <v>SO0048</v>
      </c>
      <c r="D49" s="17" t="s">
        <v>1275</v>
      </c>
      <c r="E49" s="29" t="s">
        <v>143</v>
      </c>
      <c r="F49" s="29" t="s">
        <v>1288</v>
      </c>
      <c r="G49" s="32">
        <v>859350</v>
      </c>
      <c r="H49" s="43">
        <v>0.11</v>
      </c>
      <c r="I49" s="38">
        <v>268259315.69999999</v>
      </c>
      <c r="J49" s="42">
        <f>'Sales Order'!H49+('Sales Order'!H49*0.11)+Invoice!G49</f>
        <v>268259315.69999999</v>
      </c>
      <c r="K49" s="41"/>
    </row>
    <row r="50" spans="1:11" ht="15.75" customHeight="1" x14ac:dyDescent="0.3">
      <c r="A50" s="40" t="s">
        <v>1329</v>
      </c>
      <c r="B50" s="40" t="s">
        <v>287</v>
      </c>
      <c r="C50" s="51" t="str">
        <f>VLOOKUP(B50,'Sales Order'!A$2:B$1029,1,0)</f>
        <v>SO0049</v>
      </c>
      <c r="D50" s="17" t="s">
        <v>1275</v>
      </c>
      <c r="E50" s="29" t="s">
        <v>2313</v>
      </c>
      <c r="F50" s="29" t="s">
        <v>1276</v>
      </c>
      <c r="G50" s="18">
        <v>808800</v>
      </c>
      <c r="H50" s="43">
        <v>0.11</v>
      </c>
      <c r="I50" s="38">
        <v>41985182.399999999</v>
      </c>
      <c r="J50" s="42">
        <f>'Sales Order'!H50+('Sales Order'!H50*0.11)+Invoice!G50</f>
        <v>41985182.399999999</v>
      </c>
      <c r="K50" s="41"/>
    </row>
    <row r="51" spans="1:11" ht="15.75" customHeight="1" x14ac:dyDescent="0.3">
      <c r="A51" s="40" t="s">
        <v>1330</v>
      </c>
      <c r="B51" s="40" t="s">
        <v>288</v>
      </c>
      <c r="C51" s="51" t="str">
        <f>VLOOKUP(B51,'Sales Order'!A$2:B$1029,1,0)</f>
        <v>SO0050</v>
      </c>
      <c r="D51" s="17" t="s">
        <v>1279</v>
      </c>
      <c r="E51" s="29" t="s">
        <v>118</v>
      </c>
      <c r="F51" s="29" t="s">
        <v>1276</v>
      </c>
      <c r="G51" s="18">
        <v>8088</v>
      </c>
      <c r="H51" s="43">
        <v>0.11</v>
      </c>
      <c r="I51" s="38">
        <v>143424206.09999999</v>
      </c>
      <c r="J51" s="42">
        <f>'Sales Order'!H51+('Sales Order'!H51*0.11)+Invoice!G51</f>
        <v>143424206.09999999</v>
      </c>
      <c r="K51" s="41"/>
    </row>
    <row r="52" spans="1:11" ht="15.75" customHeight="1" x14ac:dyDescent="0.3">
      <c r="A52" s="40" t="s">
        <v>1331</v>
      </c>
      <c r="B52" s="40" t="s">
        <v>289</v>
      </c>
      <c r="C52" s="51" t="str">
        <f>VLOOKUP(B52,'Sales Order'!A$2:B$1029,1,0)</f>
        <v>SO0051</v>
      </c>
      <c r="D52" s="17" t="s">
        <v>1279</v>
      </c>
      <c r="E52" s="29" t="s">
        <v>118</v>
      </c>
      <c r="F52" s="29" t="s">
        <v>1276</v>
      </c>
      <c r="G52" s="18">
        <v>8088</v>
      </c>
      <c r="H52" s="43">
        <v>0.11</v>
      </c>
      <c r="I52" s="38">
        <v>84477944.700000003</v>
      </c>
      <c r="J52" s="42">
        <f>'Sales Order'!H52+('Sales Order'!H52*0.11)+Invoice!G52</f>
        <v>84477944.700000003</v>
      </c>
      <c r="K52" s="41"/>
    </row>
    <row r="53" spans="1:11" ht="15.75" customHeight="1" x14ac:dyDescent="0.3">
      <c r="A53" s="40" t="s">
        <v>1332</v>
      </c>
      <c r="B53" s="40" t="s">
        <v>290</v>
      </c>
      <c r="C53" s="51" t="str">
        <f>VLOOKUP(B53,'Sales Order'!A$2:B$1029,1,0)</f>
        <v>SO0052</v>
      </c>
      <c r="D53" s="17" t="s">
        <v>1279</v>
      </c>
      <c r="E53" s="29" t="s">
        <v>118</v>
      </c>
      <c r="F53" s="29" t="s">
        <v>1295</v>
      </c>
      <c r="G53" s="18">
        <v>8088</v>
      </c>
      <c r="H53" s="43">
        <v>0.11</v>
      </c>
      <c r="I53" s="38">
        <v>516730259.69999999</v>
      </c>
      <c r="J53" s="42">
        <f>'Sales Order'!H53+('Sales Order'!H53*0.11)+Invoice!G53</f>
        <v>516730259.69999999</v>
      </c>
      <c r="K53" s="41"/>
    </row>
    <row r="54" spans="1:11" ht="15.75" customHeight="1" x14ac:dyDescent="0.3">
      <c r="A54" s="40" t="s">
        <v>1333</v>
      </c>
      <c r="B54" s="40" t="s">
        <v>291</v>
      </c>
      <c r="C54" s="51" t="str">
        <f>VLOOKUP(B54,'Sales Order'!A$2:B$1029,1,0)</f>
        <v>SO0053</v>
      </c>
      <c r="D54" s="17" t="s">
        <v>1275</v>
      </c>
      <c r="E54" s="29" t="s">
        <v>2313</v>
      </c>
      <c r="F54" s="29" t="s">
        <v>1285</v>
      </c>
      <c r="G54" s="18">
        <v>808800</v>
      </c>
      <c r="H54" s="43">
        <v>0.11</v>
      </c>
      <c r="I54" s="38">
        <v>516242317.19999999</v>
      </c>
      <c r="J54" s="42">
        <f>'Sales Order'!H54+('Sales Order'!H54*0.11)+Invoice!G54</f>
        <v>516242317.19999999</v>
      </c>
      <c r="K54" s="41"/>
    </row>
    <row r="55" spans="1:11" ht="15.75" customHeight="1" x14ac:dyDescent="0.3">
      <c r="A55" s="40" t="s">
        <v>1334</v>
      </c>
      <c r="B55" s="40" t="s">
        <v>292</v>
      </c>
      <c r="C55" s="51" t="str">
        <f>VLOOKUP(B55,'Sales Order'!A$2:B$1029,1,0)</f>
        <v>SO0054</v>
      </c>
      <c r="D55" s="17" t="s">
        <v>1279</v>
      </c>
      <c r="E55" s="29" t="s">
        <v>118</v>
      </c>
      <c r="F55" s="29" t="s">
        <v>1285</v>
      </c>
      <c r="G55" s="18">
        <v>8088</v>
      </c>
      <c r="H55" s="43">
        <v>0.11</v>
      </c>
      <c r="I55" s="38">
        <v>315629328.60000002</v>
      </c>
      <c r="J55" s="42">
        <f>'Sales Order'!H55+('Sales Order'!H55*0.11)+Invoice!G55</f>
        <v>315629328.60000002</v>
      </c>
      <c r="K55" s="41"/>
    </row>
    <row r="56" spans="1:11" ht="15.75" customHeight="1" x14ac:dyDescent="0.3">
      <c r="A56" s="40" t="s">
        <v>1335</v>
      </c>
      <c r="B56" s="40" t="s">
        <v>293</v>
      </c>
      <c r="C56" s="51" t="str">
        <f>VLOOKUP(B56,'Sales Order'!A$2:B$1029,1,0)</f>
        <v>SO0055</v>
      </c>
      <c r="D56" s="17" t="s">
        <v>1279</v>
      </c>
      <c r="E56" s="29" t="s">
        <v>2312</v>
      </c>
      <c r="F56" s="29" t="s">
        <v>1288</v>
      </c>
      <c r="G56" s="18">
        <v>32352</v>
      </c>
      <c r="H56" s="43">
        <v>0.11</v>
      </c>
      <c r="I56" s="38">
        <v>85993105.200000003</v>
      </c>
      <c r="J56" s="42">
        <f>'Sales Order'!H56+('Sales Order'!H56*0.11)+Invoice!G56</f>
        <v>85993105.200000003</v>
      </c>
      <c r="K56" s="41"/>
    </row>
    <row r="57" spans="1:11" ht="15.75" customHeight="1" x14ac:dyDescent="0.3">
      <c r="A57" s="40" t="s">
        <v>1336</v>
      </c>
      <c r="B57" s="40" t="s">
        <v>294</v>
      </c>
      <c r="C57" s="51" t="str">
        <f>VLOOKUP(B57,'Sales Order'!A$2:B$1029,1,0)</f>
        <v>SO0056</v>
      </c>
      <c r="D57" s="17" t="s">
        <v>1275</v>
      </c>
      <c r="E57" s="29" t="s">
        <v>2318</v>
      </c>
      <c r="F57" s="29" t="s">
        <v>1280</v>
      </c>
      <c r="G57" s="32">
        <v>859350</v>
      </c>
      <c r="H57" s="43">
        <v>0.11</v>
      </c>
      <c r="I57" s="38">
        <v>425493413.10000002</v>
      </c>
      <c r="J57" s="42">
        <f>'Sales Order'!H57+('Sales Order'!H57*0.11)+Invoice!G57</f>
        <v>425493413.10000002</v>
      </c>
      <c r="K57" s="41"/>
    </row>
    <row r="58" spans="1:11" ht="15.75" customHeight="1" x14ac:dyDescent="0.3">
      <c r="A58" s="40" t="s">
        <v>1337</v>
      </c>
      <c r="B58" s="40" t="s">
        <v>295</v>
      </c>
      <c r="C58" s="51" t="str">
        <f>VLOOKUP(B58,'Sales Order'!A$2:B$1029,1,0)</f>
        <v>SO0057</v>
      </c>
      <c r="D58" s="17" t="s">
        <v>1279</v>
      </c>
      <c r="E58" s="29" t="s">
        <v>118</v>
      </c>
      <c r="F58" s="29" t="s">
        <v>1288</v>
      </c>
      <c r="G58" s="18">
        <v>8088</v>
      </c>
      <c r="H58" s="43">
        <v>0.11</v>
      </c>
      <c r="I58" s="38">
        <v>68626512</v>
      </c>
      <c r="J58" s="42">
        <f>'Sales Order'!H58+('Sales Order'!H58*0.11)+Invoice!G58</f>
        <v>68626512</v>
      </c>
      <c r="K58" s="41"/>
    </row>
    <row r="59" spans="1:11" ht="15.75" customHeight="1" x14ac:dyDescent="0.3">
      <c r="A59" s="40" t="s">
        <v>1338</v>
      </c>
      <c r="B59" s="40" t="s">
        <v>296</v>
      </c>
      <c r="C59" s="51" t="str">
        <f>VLOOKUP(B59,'Sales Order'!A$2:B$1029,1,0)</f>
        <v>SO0058</v>
      </c>
      <c r="D59" s="17" t="s">
        <v>1275</v>
      </c>
      <c r="E59" s="29" t="s">
        <v>170</v>
      </c>
      <c r="F59" s="29" t="s">
        <v>1285</v>
      </c>
      <c r="G59" s="32">
        <v>859350</v>
      </c>
      <c r="H59" s="43">
        <v>0.11</v>
      </c>
      <c r="I59" s="38">
        <v>841158698.39999998</v>
      </c>
      <c r="J59" s="42">
        <f>'Sales Order'!H59+('Sales Order'!H59*0.11)+Invoice!G59</f>
        <v>841158698.39999998</v>
      </c>
      <c r="K59" s="41"/>
    </row>
    <row r="60" spans="1:11" ht="15.75" customHeight="1" x14ac:dyDescent="0.3">
      <c r="A60" s="40" t="s">
        <v>1339</v>
      </c>
      <c r="B60" s="40" t="s">
        <v>297</v>
      </c>
      <c r="C60" s="51" t="str">
        <f>VLOOKUP(B60,'Sales Order'!A$2:B$1029,1,0)</f>
        <v>SO0059</v>
      </c>
      <c r="D60" s="17" t="s">
        <v>1275</v>
      </c>
      <c r="E60" s="29" t="s">
        <v>2313</v>
      </c>
      <c r="F60" s="29" t="s">
        <v>1280</v>
      </c>
      <c r="G60" s="18">
        <v>808800</v>
      </c>
      <c r="H60" s="43">
        <v>0.11</v>
      </c>
      <c r="I60" s="38">
        <v>348172488.60000002</v>
      </c>
      <c r="J60" s="42">
        <f>'Sales Order'!H60+('Sales Order'!H60*0.11)+Invoice!G60</f>
        <v>348172488.60000002</v>
      </c>
      <c r="K60" s="41"/>
    </row>
    <row r="61" spans="1:11" ht="15.75" customHeight="1" x14ac:dyDescent="0.3">
      <c r="A61" s="40" t="s">
        <v>1340</v>
      </c>
      <c r="B61" s="40" t="s">
        <v>298</v>
      </c>
      <c r="C61" s="51" t="str">
        <f>VLOOKUP(B61,'Sales Order'!A$2:B$1029,1,0)</f>
        <v>SO0060</v>
      </c>
      <c r="D61" s="17" t="s">
        <v>1275</v>
      </c>
      <c r="E61" s="29" t="s">
        <v>2314</v>
      </c>
      <c r="F61" s="29" t="s">
        <v>1280</v>
      </c>
      <c r="G61" s="18">
        <v>808800</v>
      </c>
      <c r="H61" s="43">
        <v>0.11</v>
      </c>
      <c r="I61" s="38">
        <v>368532286.19999999</v>
      </c>
      <c r="J61" s="42">
        <f>'Sales Order'!H61+('Sales Order'!H61*0.11)+Invoice!G61</f>
        <v>368532286.19999999</v>
      </c>
      <c r="K61" s="41"/>
    </row>
    <row r="62" spans="1:11" ht="15.75" customHeight="1" x14ac:dyDescent="0.3">
      <c r="A62" s="40" t="s">
        <v>1341</v>
      </c>
      <c r="B62" s="40" t="s">
        <v>299</v>
      </c>
      <c r="C62" s="51" t="str">
        <f>VLOOKUP(B62,'Sales Order'!A$2:B$1029,1,0)</f>
        <v>SO0061</v>
      </c>
      <c r="D62" s="17" t="s">
        <v>1275</v>
      </c>
      <c r="E62" s="29" t="s">
        <v>2315</v>
      </c>
      <c r="F62" s="29" t="s">
        <v>1285</v>
      </c>
      <c r="G62" s="18">
        <v>556050</v>
      </c>
      <c r="H62" s="43">
        <v>0.11</v>
      </c>
      <c r="I62" s="38">
        <v>442477908</v>
      </c>
      <c r="J62" s="42">
        <f>'Sales Order'!H62+('Sales Order'!H62*0.11)+Invoice!G62</f>
        <v>442477908</v>
      </c>
      <c r="K62" s="41"/>
    </row>
    <row r="63" spans="1:11" ht="15.75" customHeight="1" x14ac:dyDescent="0.3">
      <c r="A63" s="40" t="s">
        <v>1342</v>
      </c>
      <c r="B63" s="40" t="s">
        <v>300</v>
      </c>
      <c r="C63" s="51" t="str">
        <f>VLOOKUP(B63,'Sales Order'!A$2:B$1029,1,0)</f>
        <v>SO0062</v>
      </c>
      <c r="D63" s="17" t="s">
        <v>1275</v>
      </c>
      <c r="E63" s="29" t="s">
        <v>170</v>
      </c>
      <c r="F63" s="29" t="s">
        <v>1288</v>
      </c>
      <c r="G63" s="32">
        <v>859350</v>
      </c>
      <c r="H63" s="43">
        <v>0.11</v>
      </c>
      <c r="I63" s="38">
        <v>175454553.36000001</v>
      </c>
      <c r="J63" s="42">
        <f>'Sales Order'!H63+('Sales Order'!H63*0.11)+Invoice!G63</f>
        <v>175454553.36000001</v>
      </c>
      <c r="K63" s="41"/>
    </row>
    <row r="64" spans="1:11" ht="15.75" customHeight="1" x14ac:dyDescent="0.3">
      <c r="A64" s="40" t="s">
        <v>1343</v>
      </c>
      <c r="B64" s="40" t="s">
        <v>301</v>
      </c>
      <c r="C64" s="51" t="str">
        <f>VLOOKUP(B64,'Sales Order'!A$2:B$1029,1,0)</f>
        <v>SO0063</v>
      </c>
      <c r="D64" s="17" t="s">
        <v>1275</v>
      </c>
      <c r="E64" s="29" t="s">
        <v>143</v>
      </c>
      <c r="F64" s="29" t="s">
        <v>1288</v>
      </c>
      <c r="G64" s="32">
        <v>859350</v>
      </c>
      <c r="H64" s="43">
        <v>0.11</v>
      </c>
      <c r="I64" s="38">
        <v>288650826</v>
      </c>
      <c r="J64" s="42">
        <f>'Sales Order'!H64+('Sales Order'!H64*0.11)+Invoice!G64</f>
        <v>288650826</v>
      </c>
      <c r="K64" s="41"/>
    </row>
    <row r="65" spans="1:11" ht="15.75" customHeight="1" x14ac:dyDescent="0.3">
      <c r="A65" s="40" t="s">
        <v>1344</v>
      </c>
      <c r="B65" s="40" t="s">
        <v>302</v>
      </c>
      <c r="C65" s="51" t="str">
        <f>VLOOKUP(B65,'Sales Order'!A$2:B$1029,1,0)</f>
        <v>SO0064</v>
      </c>
      <c r="D65" s="17" t="s">
        <v>1279</v>
      </c>
      <c r="E65" s="29" t="s">
        <v>118</v>
      </c>
      <c r="F65" s="29" t="s">
        <v>1295</v>
      </c>
      <c r="G65" s="18">
        <v>8088</v>
      </c>
      <c r="H65" s="43">
        <v>0.11</v>
      </c>
      <c r="I65" s="38">
        <v>832508176.79999995</v>
      </c>
      <c r="J65" s="42">
        <f>'Sales Order'!H65+('Sales Order'!H65*0.11)+Invoice!G65</f>
        <v>832508176.79999995</v>
      </c>
      <c r="K65" s="41"/>
    </row>
    <row r="66" spans="1:11" ht="15.75" customHeight="1" x14ac:dyDescent="0.3">
      <c r="A66" s="40" t="s">
        <v>1345</v>
      </c>
      <c r="B66" s="40" t="s">
        <v>303</v>
      </c>
      <c r="C66" s="51" t="str">
        <f>VLOOKUP(B66,'Sales Order'!A$2:B$1029,1,0)</f>
        <v>SO0065</v>
      </c>
      <c r="D66" s="17" t="s">
        <v>1275</v>
      </c>
      <c r="E66" s="29" t="s">
        <v>143</v>
      </c>
      <c r="F66" s="29" t="s">
        <v>1285</v>
      </c>
      <c r="G66" s="32">
        <v>859350</v>
      </c>
      <c r="H66" s="43">
        <v>0.11</v>
      </c>
      <c r="I66" s="38">
        <v>1021680695.7</v>
      </c>
      <c r="J66" s="42">
        <f>'Sales Order'!H66+('Sales Order'!H66*0.11)+Invoice!G66</f>
        <v>1021680695.7</v>
      </c>
      <c r="K66" s="41"/>
    </row>
    <row r="67" spans="1:11" ht="15.75" customHeight="1" x14ac:dyDescent="0.3">
      <c r="A67" s="40" t="s">
        <v>1346</v>
      </c>
      <c r="B67" s="40" t="s">
        <v>304</v>
      </c>
      <c r="C67" s="51" t="str">
        <f>VLOOKUP(B67,'Sales Order'!A$2:B$1029,1,0)</f>
        <v>SO0066</v>
      </c>
      <c r="D67" s="17" t="s">
        <v>1275</v>
      </c>
      <c r="E67" s="29" t="s">
        <v>2314</v>
      </c>
      <c r="F67" s="29" t="s">
        <v>1276</v>
      </c>
      <c r="G67" s="18">
        <v>808800</v>
      </c>
      <c r="H67" s="43">
        <v>0.11</v>
      </c>
      <c r="I67" s="38">
        <v>201889207.19999999</v>
      </c>
      <c r="J67" s="42">
        <f>'Sales Order'!H67+('Sales Order'!H67*0.11)+Invoice!G67</f>
        <v>201889207.19999999</v>
      </c>
      <c r="K67" s="41"/>
    </row>
    <row r="68" spans="1:11" ht="15.75" customHeight="1" x14ac:dyDescent="0.3">
      <c r="A68" s="40" t="s">
        <v>1347</v>
      </c>
      <c r="B68" s="40" t="s">
        <v>305</v>
      </c>
      <c r="C68" s="51" t="str">
        <f>VLOOKUP(B68,'Sales Order'!A$2:B$1029,1,0)</f>
        <v>SO0067</v>
      </c>
      <c r="D68" s="17" t="s">
        <v>1275</v>
      </c>
      <c r="E68" s="29" t="s">
        <v>2318</v>
      </c>
      <c r="F68" s="29" t="s">
        <v>1285</v>
      </c>
      <c r="G68" s="32">
        <v>859350</v>
      </c>
      <c r="H68" s="43">
        <v>0.11</v>
      </c>
      <c r="I68" s="38">
        <v>333286088.27999997</v>
      </c>
      <c r="J68" s="42">
        <f>'Sales Order'!H68+('Sales Order'!H68*0.11)+Invoice!G68</f>
        <v>333286088.27999997</v>
      </c>
      <c r="K68" s="41"/>
    </row>
    <row r="69" spans="1:11" ht="15.75" customHeight="1" x14ac:dyDescent="0.3">
      <c r="A69" s="40" t="s">
        <v>1348</v>
      </c>
      <c r="B69" s="40" t="s">
        <v>306</v>
      </c>
      <c r="C69" s="51" t="str">
        <f>VLOOKUP(B69,'Sales Order'!A$2:B$1029,1,0)</f>
        <v>SO0068</v>
      </c>
      <c r="D69" s="17" t="s">
        <v>1275</v>
      </c>
      <c r="E69" s="29" t="s">
        <v>2313</v>
      </c>
      <c r="F69" s="29" t="s">
        <v>1276</v>
      </c>
      <c r="G69" s="18">
        <v>808800</v>
      </c>
      <c r="H69" s="43">
        <v>0.11</v>
      </c>
      <c r="I69" s="38">
        <v>27349492.740000002</v>
      </c>
      <c r="J69" s="42">
        <f>'Sales Order'!H69+('Sales Order'!H69*0.11)+Invoice!G69</f>
        <v>27349492.740000002</v>
      </c>
      <c r="K69" s="41"/>
    </row>
    <row r="70" spans="1:11" ht="15.75" customHeight="1" x14ac:dyDescent="0.3">
      <c r="A70" s="40" t="s">
        <v>1349</v>
      </c>
      <c r="B70" s="40" t="s">
        <v>307</v>
      </c>
      <c r="C70" s="51" t="str">
        <f>VLOOKUP(B70,'Sales Order'!A$2:B$1029,1,0)</f>
        <v>SO0069</v>
      </c>
      <c r="D70" s="17" t="s">
        <v>1275</v>
      </c>
      <c r="E70" s="29" t="s">
        <v>2316</v>
      </c>
      <c r="F70" s="29" t="s">
        <v>1285</v>
      </c>
      <c r="G70" s="18">
        <v>556050</v>
      </c>
      <c r="H70" s="43">
        <v>0.11</v>
      </c>
      <c r="I70" s="38">
        <v>868037944.20000005</v>
      </c>
      <c r="J70" s="42">
        <f>'Sales Order'!H70+('Sales Order'!H70*0.11)+Invoice!G70</f>
        <v>868037944.20000005</v>
      </c>
      <c r="K70" s="41"/>
    </row>
    <row r="71" spans="1:11" ht="15.75" customHeight="1" x14ac:dyDescent="0.3">
      <c r="A71" s="40" t="s">
        <v>1350</v>
      </c>
      <c r="B71" s="40" t="s">
        <v>308</v>
      </c>
      <c r="C71" s="51" t="str">
        <f>VLOOKUP(B71,'Sales Order'!A$2:B$1029,1,0)</f>
        <v>SO0070</v>
      </c>
      <c r="D71" s="17" t="s">
        <v>1279</v>
      </c>
      <c r="E71" s="29" t="s">
        <v>118</v>
      </c>
      <c r="F71" s="29" t="s">
        <v>1285</v>
      </c>
      <c r="G71" s="18">
        <v>8088</v>
      </c>
      <c r="H71" s="43">
        <v>0.11</v>
      </c>
      <c r="I71" s="38">
        <v>621530633.30999994</v>
      </c>
      <c r="J71" s="42">
        <f>'Sales Order'!H71+('Sales Order'!H71*0.11)+Invoice!G71</f>
        <v>621530633.30999994</v>
      </c>
      <c r="K71" s="41"/>
    </row>
    <row r="72" spans="1:11" ht="15.75" customHeight="1" x14ac:dyDescent="0.3">
      <c r="A72" s="40" t="s">
        <v>1351</v>
      </c>
      <c r="B72" s="40" t="s">
        <v>309</v>
      </c>
      <c r="C72" s="51" t="str">
        <f>VLOOKUP(B72,'Sales Order'!A$2:B$1029,1,0)</f>
        <v>SO0071</v>
      </c>
      <c r="D72" s="17" t="s">
        <v>1275</v>
      </c>
      <c r="E72" s="29" t="s">
        <v>2320</v>
      </c>
      <c r="F72" s="29" t="s">
        <v>1276</v>
      </c>
      <c r="G72" s="32">
        <v>758250</v>
      </c>
      <c r="H72" s="43">
        <v>0.11</v>
      </c>
      <c r="I72" s="38">
        <v>275976489.60000002</v>
      </c>
      <c r="J72" s="42">
        <f>'Sales Order'!H72+('Sales Order'!H72*0.11)+Invoice!G72</f>
        <v>275976489.60000002</v>
      </c>
      <c r="K72" s="41"/>
    </row>
    <row r="73" spans="1:11" ht="15.75" customHeight="1" x14ac:dyDescent="0.3">
      <c r="A73" s="40" t="s">
        <v>1352</v>
      </c>
      <c r="B73" s="40" t="s">
        <v>310</v>
      </c>
      <c r="C73" s="51" t="str">
        <f>VLOOKUP(B73,'Sales Order'!A$2:B$1029,1,0)</f>
        <v>SO0072</v>
      </c>
      <c r="D73" s="17" t="s">
        <v>1279</v>
      </c>
      <c r="E73" s="29" t="s">
        <v>2312</v>
      </c>
      <c r="F73" s="29" t="s">
        <v>1285</v>
      </c>
      <c r="G73" s="18">
        <v>32352</v>
      </c>
      <c r="H73" s="43">
        <v>0.11</v>
      </c>
      <c r="I73" s="38">
        <v>549043080.60000002</v>
      </c>
      <c r="J73" s="42">
        <f>'Sales Order'!H73+('Sales Order'!H73*0.11)+Invoice!G73</f>
        <v>549043080.60000002</v>
      </c>
      <c r="K73" s="41"/>
    </row>
    <row r="74" spans="1:11" ht="15.75" customHeight="1" x14ac:dyDescent="0.3">
      <c r="A74" s="40" t="s">
        <v>1353</v>
      </c>
      <c r="B74" s="40" t="s">
        <v>311</v>
      </c>
      <c r="C74" s="51" t="str">
        <f>VLOOKUP(B74,'Sales Order'!A$2:B$1029,1,0)</f>
        <v>SO0073</v>
      </c>
      <c r="D74" s="17" t="s">
        <v>1275</v>
      </c>
      <c r="E74" s="29" t="s">
        <v>2314</v>
      </c>
      <c r="F74" s="29" t="s">
        <v>1295</v>
      </c>
      <c r="G74" s="18">
        <v>808800</v>
      </c>
      <c r="H74" s="43">
        <v>0.11</v>
      </c>
      <c r="I74" s="38">
        <v>605922058.79999995</v>
      </c>
      <c r="J74" s="42">
        <f>'Sales Order'!H74+('Sales Order'!H74*0.11)+Invoice!G74</f>
        <v>605922058.79999995</v>
      </c>
      <c r="K74" s="41"/>
    </row>
    <row r="75" spans="1:11" ht="15.75" customHeight="1" x14ac:dyDescent="0.3">
      <c r="A75" s="40" t="s">
        <v>1354</v>
      </c>
      <c r="B75" s="40" t="s">
        <v>312</v>
      </c>
      <c r="C75" s="51" t="str">
        <f>VLOOKUP(B75,'Sales Order'!A$2:B$1029,1,0)</f>
        <v>SO0074</v>
      </c>
      <c r="D75" s="17" t="s">
        <v>1275</v>
      </c>
      <c r="E75" s="29" t="s">
        <v>2315</v>
      </c>
      <c r="F75" s="29" t="s">
        <v>1295</v>
      </c>
      <c r="G75" s="18">
        <v>556050</v>
      </c>
      <c r="H75" s="43">
        <v>0.11</v>
      </c>
      <c r="I75" s="38">
        <v>300956226.89999998</v>
      </c>
      <c r="J75" s="42">
        <f>'Sales Order'!H75+('Sales Order'!H75*0.11)+Invoice!G75</f>
        <v>300956226.89999998</v>
      </c>
      <c r="K75" s="41"/>
    </row>
    <row r="76" spans="1:11" ht="15.75" customHeight="1" x14ac:dyDescent="0.3">
      <c r="A76" s="40" t="s">
        <v>1355</v>
      </c>
      <c r="B76" s="40" t="s">
        <v>313</v>
      </c>
      <c r="C76" s="51" t="str">
        <f>VLOOKUP(B76,'Sales Order'!A$2:B$1029,1,0)</f>
        <v>SO0075</v>
      </c>
      <c r="D76" s="17" t="s">
        <v>1279</v>
      </c>
      <c r="E76" s="29" t="s">
        <v>118</v>
      </c>
      <c r="F76" s="29" t="s">
        <v>1285</v>
      </c>
      <c r="G76" s="18">
        <v>8088</v>
      </c>
      <c r="H76" s="43">
        <v>0.11</v>
      </c>
      <c r="I76" s="38">
        <v>419543033.10000002</v>
      </c>
      <c r="J76" s="42">
        <f>'Sales Order'!H76+('Sales Order'!H76*0.11)+Invoice!G76</f>
        <v>419543033.10000002</v>
      </c>
      <c r="K76" s="41"/>
    </row>
    <row r="77" spans="1:11" ht="15.75" customHeight="1" x14ac:dyDescent="0.3">
      <c r="A77" s="40" t="s">
        <v>1356</v>
      </c>
      <c r="B77" s="40" t="s">
        <v>314</v>
      </c>
      <c r="C77" s="51" t="str">
        <f>VLOOKUP(B77,'Sales Order'!A$2:B$1029,1,0)</f>
        <v>SO0076</v>
      </c>
      <c r="D77" s="17" t="s">
        <v>1275</v>
      </c>
      <c r="E77" s="29" t="s">
        <v>2318</v>
      </c>
      <c r="F77" s="29" t="s">
        <v>1285</v>
      </c>
      <c r="G77" s="32">
        <v>859350</v>
      </c>
      <c r="H77" s="43">
        <v>0.11</v>
      </c>
      <c r="I77" s="38">
        <v>973773240</v>
      </c>
      <c r="J77" s="42">
        <f>'Sales Order'!H77+('Sales Order'!H77*0.11)+Invoice!G77</f>
        <v>973773240</v>
      </c>
      <c r="K77" s="41"/>
    </row>
    <row r="78" spans="1:11" ht="15.75" customHeight="1" x14ac:dyDescent="0.3">
      <c r="A78" s="40" t="s">
        <v>1357</v>
      </c>
      <c r="B78" s="40" t="s">
        <v>315</v>
      </c>
      <c r="C78" s="51" t="str">
        <f>VLOOKUP(B78,'Sales Order'!A$2:B$1029,1,0)</f>
        <v>SO0077</v>
      </c>
      <c r="D78" s="17" t="s">
        <v>1279</v>
      </c>
      <c r="E78" s="29" t="s">
        <v>2312</v>
      </c>
      <c r="F78" s="29" t="s">
        <v>1276</v>
      </c>
      <c r="G78" s="18">
        <v>32352</v>
      </c>
      <c r="H78" s="43">
        <v>0.11</v>
      </c>
      <c r="I78" s="38">
        <v>146524113.59999999</v>
      </c>
      <c r="J78" s="42">
        <f>'Sales Order'!H78+('Sales Order'!H78*0.11)+Invoice!G78</f>
        <v>146524113.59999999</v>
      </c>
      <c r="K78" s="41"/>
    </row>
    <row r="79" spans="1:11" ht="15.75" customHeight="1" x14ac:dyDescent="0.3">
      <c r="A79" s="40" t="s">
        <v>1358</v>
      </c>
      <c r="B79" s="40" t="s">
        <v>316</v>
      </c>
      <c r="C79" s="51" t="str">
        <f>VLOOKUP(B79,'Sales Order'!A$2:B$1029,1,0)</f>
        <v>SO0078</v>
      </c>
      <c r="D79" s="17" t="s">
        <v>1279</v>
      </c>
      <c r="E79" s="29" t="s">
        <v>118</v>
      </c>
      <c r="F79" s="29" t="s">
        <v>1280</v>
      </c>
      <c r="G79" s="18">
        <v>8088</v>
      </c>
      <c r="H79" s="43">
        <v>0.11</v>
      </c>
      <c r="I79" s="38">
        <v>849598536</v>
      </c>
      <c r="J79" s="42">
        <f>'Sales Order'!H79+('Sales Order'!H79*0.11)+Invoice!G79</f>
        <v>849598536</v>
      </c>
      <c r="K79" s="41"/>
    </row>
    <row r="80" spans="1:11" ht="15.75" customHeight="1" x14ac:dyDescent="0.3">
      <c r="A80" s="40" t="s">
        <v>1359</v>
      </c>
      <c r="B80" s="40" t="s">
        <v>317</v>
      </c>
      <c r="C80" s="51" t="str">
        <f>VLOOKUP(B80,'Sales Order'!A$2:B$1029,1,0)</f>
        <v>SO0079</v>
      </c>
      <c r="D80" s="17" t="s">
        <v>1279</v>
      </c>
      <c r="E80" s="29" t="s">
        <v>118</v>
      </c>
      <c r="F80" s="29" t="s">
        <v>1295</v>
      </c>
      <c r="G80" s="18">
        <v>8088</v>
      </c>
      <c r="H80" s="43">
        <v>0.11</v>
      </c>
      <c r="I80" s="38">
        <v>636309816</v>
      </c>
      <c r="J80" s="42">
        <f>'Sales Order'!H80+('Sales Order'!H80*0.11)+Invoice!G80</f>
        <v>636309816</v>
      </c>
      <c r="K80" s="41"/>
    </row>
    <row r="81" spans="1:11" ht="15.75" customHeight="1" x14ac:dyDescent="0.3">
      <c r="A81" s="40" t="s">
        <v>1360</v>
      </c>
      <c r="B81" s="40" t="s">
        <v>318</v>
      </c>
      <c r="C81" s="51" t="str">
        <f>VLOOKUP(B81,'Sales Order'!A$2:B$1029,1,0)</f>
        <v>SO0080</v>
      </c>
      <c r="D81" s="17" t="s">
        <v>1275</v>
      </c>
      <c r="E81" s="29" t="s">
        <v>170</v>
      </c>
      <c r="F81" s="29" t="s">
        <v>1288</v>
      </c>
      <c r="G81" s="32">
        <v>859350</v>
      </c>
      <c r="H81" s="43">
        <v>0.11</v>
      </c>
      <c r="I81" s="38">
        <v>272516254.5</v>
      </c>
      <c r="J81" s="42">
        <f>'Sales Order'!H81+('Sales Order'!H81*0.11)+Invoice!G81</f>
        <v>272516254.5</v>
      </c>
      <c r="K81" s="41"/>
    </row>
    <row r="82" spans="1:11" ht="15.75" customHeight="1" x14ac:dyDescent="0.3">
      <c r="A82" s="40" t="s">
        <v>1361</v>
      </c>
      <c r="B82" s="40" t="s">
        <v>319</v>
      </c>
      <c r="C82" s="51" t="str">
        <f>VLOOKUP(B82,'Sales Order'!A$2:B$1029,1,0)</f>
        <v>SO0081</v>
      </c>
      <c r="D82" s="17" t="s">
        <v>1279</v>
      </c>
      <c r="E82" s="29" t="s">
        <v>118</v>
      </c>
      <c r="F82" s="29" t="s">
        <v>1285</v>
      </c>
      <c r="G82" s="18">
        <v>8088</v>
      </c>
      <c r="H82" s="43">
        <v>0.11</v>
      </c>
      <c r="I82" s="38">
        <v>301453429.80000001</v>
      </c>
      <c r="J82" s="42">
        <f>'Sales Order'!H82+('Sales Order'!H82*0.11)+Invoice!G82</f>
        <v>301453429.80000001</v>
      </c>
      <c r="K82" s="41"/>
    </row>
    <row r="83" spans="1:11" ht="15.75" customHeight="1" x14ac:dyDescent="0.3">
      <c r="A83" s="40" t="s">
        <v>1362</v>
      </c>
      <c r="B83" s="40" t="s">
        <v>320</v>
      </c>
      <c r="C83" s="51" t="str">
        <f>VLOOKUP(B83,'Sales Order'!A$2:B$1029,1,0)</f>
        <v>SO0082</v>
      </c>
      <c r="D83" s="17" t="s">
        <v>1275</v>
      </c>
      <c r="E83" s="29" t="s">
        <v>2318</v>
      </c>
      <c r="F83" s="29" t="s">
        <v>1280</v>
      </c>
      <c r="G83" s="32">
        <v>859350</v>
      </c>
      <c r="H83" s="43">
        <v>0.11</v>
      </c>
      <c r="I83" s="38">
        <v>544963345.79999995</v>
      </c>
      <c r="J83" s="42">
        <f>'Sales Order'!H83+('Sales Order'!H83*0.11)+Invoice!G83</f>
        <v>544963345.79999995</v>
      </c>
      <c r="K83" s="41"/>
    </row>
    <row r="84" spans="1:11" ht="15.75" customHeight="1" x14ac:dyDescent="0.3">
      <c r="A84" s="40" t="s">
        <v>1363</v>
      </c>
      <c r="B84" s="40" t="s">
        <v>321</v>
      </c>
      <c r="C84" s="51" t="str">
        <f>VLOOKUP(B84,'Sales Order'!A$2:B$1029,1,0)</f>
        <v>SO0083</v>
      </c>
      <c r="D84" s="17" t="s">
        <v>1275</v>
      </c>
      <c r="E84" s="29" t="s">
        <v>2316</v>
      </c>
      <c r="F84" s="29" t="s">
        <v>1280</v>
      </c>
      <c r="G84" s="18">
        <v>556050</v>
      </c>
      <c r="H84" s="43">
        <v>0.11</v>
      </c>
      <c r="I84" s="38">
        <v>307749704.39999998</v>
      </c>
      <c r="J84" s="42">
        <f>'Sales Order'!H84+('Sales Order'!H84*0.11)+Invoice!G84</f>
        <v>307749704.39999998</v>
      </c>
      <c r="K84" s="41"/>
    </row>
    <row r="85" spans="1:11" ht="15.75" customHeight="1" x14ac:dyDescent="0.3">
      <c r="A85" s="40" t="s">
        <v>1364</v>
      </c>
      <c r="B85" s="40" t="s">
        <v>322</v>
      </c>
      <c r="C85" s="51" t="str">
        <f>VLOOKUP(B85,'Sales Order'!A$2:B$1029,1,0)</f>
        <v>SO0084</v>
      </c>
      <c r="D85" s="17" t="s">
        <v>1279</v>
      </c>
      <c r="E85" s="29" t="s">
        <v>118</v>
      </c>
      <c r="F85" s="29" t="s">
        <v>1288</v>
      </c>
      <c r="G85" s="18">
        <v>8088</v>
      </c>
      <c r="H85" s="43">
        <v>0.11</v>
      </c>
      <c r="I85" s="38">
        <v>71121359.099999994</v>
      </c>
      <c r="J85" s="42">
        <f>'Sales Order'!H85+('Sales Order'!H85*0.11)+Invoice!G85</f>
        <v>71121359.099999994</v>
      </c>
      <c r="K85" s="41"/>
    </row>
    <row r="86" spans="1:11" ht="15.75" customHeight="1" x14ac:dyDescent="0.3">
      <c r="A86" s="40" t="s">
        <v>1365</v>
      </c>
      <c r="B86" s="40" t="s">
        <v>323</v>
      </c>
      <c r="C86" s="51" t="str">
        <f>VLOOKUP(B86,'Sales Order'!A$2:B$1029,1,0)</f>
        <v>SO0085</v>
      </c>
      <c r="D86" s="17" t="s">
        <v>1275</v>
      </c>
      <c r="E86" s="29" t="s">
        <v>2318</v>
      </c>
      <c r="F86" s="29" t="s">
        <v>1288</v>
      </c>
      <c r="G86" s="32">
        <v>859350</v>
      </c>
      <c r="H86" s="43">
        <v>0.11</v>
      </c>
      <c r="I86" s="38">
        <v>271773009.60000002</v>
      </c>
      <c r="J86" s="42">
        <f>'Sales Order'!H86+('Sales Order'!H86*0.11)+Invoice!G86</f>
        <v>271773009.60000002</v>
      </c>
      <c r="K86" s="41"/>
    </row>
    <row r="87" spans="1:11" ht="15.75" customHeight="1" x14ac:dyDescent="0.3">
      <c r="A87" s="40" t="s">
        <v>1366</v>
      </c>
      <c r="B87" s="40" t="s">
        <v>324</v>
      </c>
      <c r="C87" s="51" t="str">
        <f>VLOOKUP(B87,'Sales Order'!A$2:B$1029,1,0)</f>
        <v>SO0086</v>
      </c>
      <c r="D87" s="17" t="s">
        <v>1275</v>
      </c>
      <c r="E87" s="29" t="s">
        <v>2316</v>
      </c>
      <c r="F87" s="29" t="s">
        <v>1276</v>
      </c>
      <c r="G87" s="18">
        <v>556050</v>
      </c>
      <c r="H87" s="43">
        <v>0.11</v>
      </c>
      <c r="I87" s="38">
        <v>257376655.65000001</v>
      </c>
      <c r="J87" s="42">
        <f>'Sales Order'!H87+('Sales Order'!H87*0.11)+Invoice!G87</f>
        <v>257376655.65000001</v>
      </c>
      <c r="K87" s="41"/>
    </row>
    <row r="88" spans="1:11" ht="15.75" customHeight="1" x14ac:dyDescent="0.3">
      <c r="A88" s="40" t="s">
        <v>1367</v>
      </c>
      <c r="B88" s="40" t="s">
        <v>325</v>
      </c>
      <c r="C88" s="51" t="str">
        <f>VLOOKUP(B88,'Sales Order'!A$2:B$1029,1,0)</f>
        <v>SO0087</v>
      </c>
      <c r="D88" s="17" t="s">
        <v>1279</v>
      </c>
      <c r="E88" s="29" t="s">
        <v>118</v>
      </c>
      <c r="F88" s="29" t="s">
        <v>1276</v>
      </c>
      <c r="G88" s="18">
        <v>8088</v>
      </c>
      <c r="H88" s="43">
        <v>0.11</v>
      </c>
      <c r="I88" s="38">
        <v>110348703.59999999</v>
      </c>
      <c r="J88" s="42">
        <f>'Sales Order'!H88+('Sales Order'!H88*0.11)+Invoice!G88</f>
        <v>110348703.59999999</v>
      </c>
      <c r="K88" s="41"/>
    </row>
    <row r="89" spans="1:11" ht="15.75" customHeight="1" x14ac:dyDescent="0.3">
      <c r="A89" s="40" t="s">
        <v>1368</v>
      </c>
      <c r="B89" s="40" t="s">
        <v>326</v>
      </c>
      <c r="C89" s="51" t="str">
        <f>VLOOKUP(B89,'Sales Order'!A$2:B$1029,1,0)</f>
        <v>SO0088</v>
      </c>
      <c r="D89" s="17" t="s">
        <v>1275</v>
      </c>
      <c r="E89" s="29" t="s">
        <v>108</v>
      </c>
      <c r="F89" s="29" t="s">
        <v>1295</v>
      </c>
      <c r="G89" s="18">
        <v>556050</v>
      </c>
      <c r="H89" s="43">
        <v>0.11</v>
      </c>
      <c r="I89" s="38">
        <v>666775885.5</v>
      </c>
      <c r="J89" s="42">
        <f>'Sales Order'!H89+('Sales Order'!H89*0.11)+Invoice!G89</f>
        <v>666775885.5</v>
      </c>
      <c r="K89" s="41"/>
    </row>
    <row r="90" spans="1:11" ht="15.75" customHeight="1" x14ac:dyDescent="0.3">
      <c r="A90" s="40" t="s">
        <v>1369</v>
      </c>
      <c r="B90" s="40" t="s">
        <v>327</v>
      </c>
      <c r="C90" s="51" t="str">
        <f>VLOOKUP(B90,'Sales Order'!A$2:B$1029,1,0)</f>
        <v>SO0089</v>
      </c>
      <c r="D90" s="17" t="s">
        <v>1275</v>
      </c>
      <c r="E90" s="29" t="s">
        <v>2313</v>
      </c>
      <c r="F90" s="29" t="s">
        <v>1295</v>
      </c>
      <c r="G90" s="18">
        <v>808800</v>
      </c>
      <c r="H90" s="43">
        <v>0.11</v>
      </c>
      <c r="I90" s="38">
        <v>285382741.19999999</v>
      </c>
      <c r="J90" s="42">
        <f>'Sales Order'!H90+('Sales Order'!H90*0.11)+Invoice!G90</f>
        <v>285382741.19999999</v>
      </c>
      <c r="K90" s="41"/>
    </row>
    <row r="91" spans="1:11" ht="15.75" customHeight="1" x14ac:dyDescent="0.3">
      <c r="A91" s="40" t="s">
        <v>1370</v>
      </c>
      <c r="B91" s="40" t="s">
        <v>328</v>
      </c>
      <c r="C91" s="51" t="str">
        <f>VLOOKUP(B91,'Sales Order'!A$2:B$1029,1,0)</f>
        <v>SO0090</v>
      </c>
      <c r="D91" s="17" t="s">
        <v>1275</v>
      </c>
      <c r="E91" s="29" t="s">
        <v>143</v>
      </c>
      <c r="F91" s="29" t="s">
        <v>1295</v>
      </c>
      <c r="G91" s="32">
        <v>859350</v>
      </c>
      <c r="H91" s="43">
        <v>0.11</v>
      </c>
      <c r="I91" s="38">
        <v>400122058.74000001</v>
      </c>
      <c r="J91" s="42">
        <f>'Sales Order'!H91+('Sales Order'!H91*0.11)+Invoice!G91</f>
        <v>400122058.74000001</v>
      </c>
      <c r="K91" s="41"/>
    </row>
    <row r="92" spans="1:11" ht="15.75" customHeight="1" x14ac:dyDescent="0.3">
      <c r="A92" s="40" t="s">
        <v>1371</v>
      </c>
      <c r="B92" s="40" t="s">
        <v>329</v>
      </c>
      <c r="C92" s="51" t="str">
        <f>VLOOKUP(B92,'Sales Order'!A$2:B$1029,1,0)</f>
        <v>SO0091</v>
      </c>
      <c r="D92" s="17" t="s">
        <v>1279</v>
      </c>
      <c r="E92" s="29" t="s">
        <v>118</v>
      </c>
      <c r="F92" s="29" t="s">
        <v>1276</v>
      </c>
      <c r="G92" s="18">
        <v>8088</v>
      </c>
      <c r="H92" s="43">
        <v>0.11</v>
      </c>
      <c r="I92" s="38">
        <v>247610038.19999999</v>
      </c>
      <c r="J92" s="42">
        <f>'Sales Order'!H92+('Sales Order'!H92*0.11)+Invoice!G92</f>
        <v>247610038.19999999</v>
      </c>
      <c r="K92" s="41"/>
    </row>
    <row r="93" spans="1:11" ht="15.75" customHeight="1" x14ac:dyDescent="0.3">
      <c r="A93" s="40" t="s">
        <v>1372</v>
      </c>
      <c r="B93" s="40" t="s">
        <v>330</v>
      </c>
      <c r="C93" s="51" t="str">
        <f>VLOOKUP(B93,'Sales Order'!A$2:B$1029,1,0)</f>
        <v>SO0092</v>
      </c>
      <c r="D93" s="17" t="s">
        <v>1275</v>
      </c>
      <c r="E93" s="29" t="s">
        <v>2313</v>
      </c>
      <c r="F93" s="29" t="s">
        <v>1285</v>
      </c>
      <c r="G93" s="18">
        <v>808800</v>
      </c>
      <c r="H93" s="43">
        <v>0.11</v>
      </c>
      <c r="I93" s="38">
        <v>272284019.69999999</v>
      </c>
      <c r="J93" s="42">
        <f>'Sales Order'!H93+('Sales Order'!H93*0.11)+Invoice!G93</f>
        <v>272284019.69999999</v>
      </c>
      <c r="K93" s="41"/>
    </row>
    <row r="94" spans="1:11" ht="15.75" customHeight="1" x14ac:dyDescent="0.3">
      <c r="A94" s="40" t="s">
        <v>1373</v>
      </c>
      <c r="B94" s="40" t="s">
        <v>331</v>
      </c>
      <c r="C94" s="51" t="str">
        <f>VLOOKUP(B94,'Sales Order'!A$2:B$1029,1,0)</f>
        <v>SO0093</v>
      </c>
      <c r="D94" s="17" t="s">
        <v>1275</v>
      </c>
      <c r="E94" s="29" t="s">
        <v>2318</v>
      </c>
      <c r="F94" s="29" t="s">
        <v>1280</v>
      </c>
      <c r="G94" s="32">
        <v>859350</v>
      </c>
      <c r="H94" s="43">
        <v>0.11</v>
      </c>
      <c r="I94" s="38">
        <v>356425738.80000001</v>
      </c>
      <c r="J94" s="42">
        <f>'Sales Order'!H94+('Sales Order'!H94*0.11)+Invoice!G94</f>
        <v>356425738.80000001</v>
      </c>
      <c r="K94" s="41"/>
    </row>
    <row r="95" spans="1:11" ht="15.75" customHeight="1" x14ac:dyDescent="0.3">
      <c r="A95" s="40" t="s">
        <v>1374</v>
      </c>
      <c r="B95" s="40" t="s">
        <v>332</v>
      </c>
      <c r="C95" s="51" t="str">
        <f>VLOOKUP(B95,'Sales Order'!A$2:B$1029,1,0)</f>
        <v>SO0094</v>
      </c>
      <c r="D95" s="17" t="s">
        <v>1275</v>
      </c>
      <c r="E95" s="29" t="s">
        <v>143</v>
      </c>
      <c r="F95" s="29" t="s">
        <v>1276</v>
      </c>
      <c r="G95" s="32">
        <v>859350</v>
      </c>
      <c r="H95" s="43">
        <v>0.11</v>
      </c>
      <c r="I95" s="38">
        <v>130902110.40000001</v>
      </c>
      <c r="J95" s="42">
        <f>'Sales Order'!H95+('Sales Order'!H95*0.11)+Invoice!G95</f>
        <v>130902110.40000001</v>
      </c>
      <c r="K95" s="41"/>
    </row>
    <row r="96" spans="1:11" ht="15.75" customHeight="1" x14ac:dyDescent="0.3">
      <c r="A96" s="40" t="s">
        <v>1375</v>
      </c>
      <c r="B96" s="40" t="s">
        <v>333</v>
      </c>
      <c r="C96" s="51" t="str">
        <f>VLOOKUP(B96,'Sales Order'!A$2:B$1029,1,0)</f>
        <v>SO0095</v>
      </c>
      <c r="D96" s="17" t="s">
        <v>1275</v>
      </c>
      <c r="E96" s="29" t="s">
        <v>2313</v>
      </c>
      <c r="F96" s="29" t="s">
        <v>1276</v>
      </c>
      <c r="G96" s="18">
        <v>808800</v>
      </c>
      <c r="H96" s="43">
        <v>0.11</v>
      </c>
      <c r="I96" s="38">
        <v>81453729.900000006</v>
      </c>
      <c r="J96" s="42">
        <f>'Sales Order'!H96+('Sales Order'!H96*0.11)+Invoice!G96</f>
        <v>81453729.900000006</v>
      </c>
      <c r="K96" s="41"/>
    </row>
    <row r="97" spans="1:11" ht="15.75" customHeight="1" x14ac:dyDescent="0.3">
      <c r="A97" s="40" t="s">
        <v>1376</v>
      </c>
      <c r="B97" s="40" t="s">
        <v>334</v>
      </c>
      <c r="C97" s="51" t="str">
        <f>VLOOKUP(B97,'Sales Order'!A$2:B$1029,1,0)</f>
        <v>SO0096</v>
      </c>
      <c r="D97" s="17" t="s">
        <v>1275</v>
      </c>
      <c r="E97" s="29" t="s">
        <v>2313</v>
      </c>
      <c r="F97" s="29" t="s">
        <v>1280</v>
      </c>
      <c r="G97" s="18">
        <v>808800</v>
      </c>
      <c r="H97" s="43">
        <v>0.11</v>
      </c>
      <c r="I97" s="38">
        <v>331515202.56</v>
      </c>
      <c r="J97" s="42">
        <f>'Sales Order'!H97+('Sales Order'!H97*0.11)+Invoice!G97</f>
        <v>331515202.56</v>
      </c>
      <c r="K97" s="41"/>
    </row>
    <row r="98" spans="1:11" ht="15.75" customHeight="1" x14ac:dyDescent="0.3">
      <c r="A98" s="40" t="s">
        <v>1377</v>
      </c>
      <c r="B98" s="40" t="s">
        <v>335</v>
      </c>
      <c r="C98" s="51" t="str">
        <f>VLOOKUP(B98,'Sales Order'!A$2:B$1029,1,0)</f>
        <v>SO0097</v>
      </c>
      <c r="D98" s="17" t="s">
        <v>1279</v>
      </c>
      <c r="E98" s="29" t="s">
        <v>118</v>
      </c>
      <c r="F98" s="29" t="s">
        <v>1288</v>
      </c>
      <c r="G98" s="18">
        <v>8088</v>
      </c>
      <c r="H98" s="43">
        <v>0.11</v>
      </c>
      <c r="I98" s="38">
        <v>64685545.799999997</v>
      </c>
      <c r="J98" s="42">
        <f>'Sales Order'!H98+('Sales Order'!H98*0.11)+Invoice!G98</f>
        <v>64685545.799999997</v>
      </c>
      <c r="K98" s="41"/>
    </row>
    <row r="99" spans="1:11" ht="15.75" customHeight="1" x14ac:dyDescent="0.3">
      <c r="A99" s="40" t="s">
        <v>1378</v>
      </c>
      <c r="B99" s="40" t="s">
        <v>336</v>
      </c>
      <c r="C99" s="51" t="str">
        <f>VLOOKUP(B99,'Sales Order'!A$2:B$1029,1,0)</f>
        <v>SO0098</v>
      </c>
      <c r="D99" s="17" t="s">
        <v>1279</v>
      </c>
      <c r="E99" s="29" t="s">
        <v>2312</v>
      </c>
      <c r="F99" s="29" t="s">
        <v>1285</v>
      </c>
      <c r="G99" s="18">
        <v>32352</v>
      </c>
      <c r="H99" s="43">
        <v>0.11</v>
      </c>
      <c r="I99" s="38">
        <v>354084090.30000001</v>
      </c>
      <c r="J99" s="42">
        <f>'Sales Order'!H99+('Sales Order'!H99*0.11)+Invoice!G99</f>
        <v>354084090.30000001</v>
      </c>
      <c r="K99" s="41"/>
    </row>
    <row r="100" spans="1:11" ht="15.75" customHeight="1" x14ac:dyDescent="0.3">
      <c r="A100" s="40" t="s">
        <v>1379</v>
      </c>
      <c r="B100" s="40" t="s">
        <v>337</v>
      </c>
      <c r="C100" s="51" t="str">
        <f>VLOOKUP(B100,'Sales Order'!A$2:B$1029,1,0)</f>
        <v>SO0099</v>
      </c>
      <c r="D100" s="17" t="s">
        <v>1279</v>
      </c>
      <c r="E100" s="29" t="s">
        <v>118</v>
      </c>
      <c r="F100" s="29" t="s">
        <v>1288</v>
      </c>
      <c r="G100" s="18">
        <v>8088</v>
      </c>
      <c r="H100" s="43">
        <v>0.11</v>
      </c>
      <c r="I100" s="38">
        <v>262809534.59999999</v>
      </c>
      <c r="J100" s="42">
        <f>'Sales Order'!H100+('Sales Order'!H100*0.11)+Invoice!G100</f>
        <v>262809534.59999999</v>
      </c>
      <c r="K100" s="41"/>
    </row>
    <row r="101" spans="1:11" ht="15.75" customHeight="1" x14ac:dyDescent="0.3">
      <c r="A101" s="40" t="s">
        <v>1380</v>
      </c>
      <c r="B101" s="40" t="s">
        <v>338</v>
      </c>
      <c r="C101" s="51" t="str">
        <f>VLOOKUP(B101,'Sales Order'!A$2:B$1029,1,0)</f>
        <v>SO0100</v>
      </c>
      <c r="D101" s="17" t="s">
        <v>1275</v>
      </c>
      <c r="E101" s="29" t="s">
        <v>2314</v>
      </c>
      <c r="F101" s="29" t="s">
        <v>1285</v>
      </c>
      <c r="G101" s="18">
        <v>808800</v>
      </c>
      <c r="H101" s="43">
        <v>0.11</v>
      </c>
      <c r="I101" s="38">
        <v>690956767.86000001</v>
      </c>
      <c r="J101" s="42">
        <f>'Sales Order'!H101+('Sales Order'!H101*0.11)+Invoice!G101</f>
        <v>690956767.86000001</v>
      </c>
      <c r="K101" s="41"/>
    </row>
    <row r="102" spans="1:11" ht="15.75" customHeight="1" x14ac:dyDescent="0.3">
      <c r="A102" s="40" t="s">
        <v>1381</v>
      </c>
      <c r="B102" s="40" t="s">
        <v>339</v>
      </c>
      <c r="C102" s="51" t="str">
        <f>VLOOKUP(B102,'Sales Order'!A$2:B$1029,1,0)</f>
        <v>SO0101</v>
      </c>
      <c r="D102" s="17" t="s">
        <v>1279</v>
      </c>
      <c r="E102" s="29" t="s">
        <v>2312</v>
      </c>
      <c r="F102" s="29" t="s">
        <v>1285</v>
      </c>
      <c r="G102" s="18">
        <v>32352</v>
      </c>
      <c r="H102" s="43">
        <v>0.11</v>
      </c>
      <c r="I102" s="38">
        <v>339002642.4000001</v>
      </c>
      <c r="J102" s="42">
        <f>'Sales Order'!H102+('Sales Order'!H102*0.11)+Invoice!G102</f>
        <v>339002642.4000001</v>
      </c>
      <c r="K102" s="41"/>
    </row>
    <row r="103" spans="1:11" ht="15.75" customHeight="1" x14ac:dyDescent="0.3">
      <c r="A103" s="40" t="s">
        <v>1382</v>
      </c>
      <c r="B103" s="40" t="s">
        <v>340</v>
      </c>
      <c r="C103" s="51" t="str">
        <f>VLOOKUP(B103,'Sales Order'!A$2:B$1029,1,0)</f>
        <v>SO0102</v>
      </c>
      <c r="D103" s="17" t="s">
        <v>1275</v>
      </c>
      <c r="E103" s="29" t="s">
        <v>2313</v>
      </c>
      <c r="F103" s="29" t="s">
        <v>1288</v>
      </c>
      <c r="G103" s="18">
        <v>808800</v>
      </c>
      <c r="H103" s="43">
        <v>0.11</v>
      </c>
      <c r="I103" s="38">
        <v>93871988.099999994</v>
      </c>
      <c r="J103" s="42">
        <f>'Sales Order'!H103+('Sales Order'!H103*0.11)+Invoice!G103</f>
        <v>93871988.099999994</v>
      </c>
      <c r="K103" s="41"/>
    </row>
    <row r="104" spans="1:11" ht="15.75" customHeight="1" x14ac:dyDescent="0.3">
      <c r="A104" s="40" t="s">
        <v>1383</v>
      </c>
      <c r="B104" s="40" t="s">
        <v>341</v>
      </c>
      <c r="C104" s="51" t="str">
        <f>VLOOKUP(B104,'Sales Order'!A$2:B$1029,1,0)</f>
        <v>SO0103</v>
      </c>
      <c r="D104" s="17" t="s">
        <v>1279</v>
      </c>
      <c r="E104" s="29" t="s">
        <v>150</v>
      </c>
      <c r="F104" s="29" t="s">
        <v>1285</v>
      </c>
      <c r="G104" s="18">
        <v>32352</v>
      </c>
      <c r="H104" s="43">
        <v>0.11</v>
      </c>
      <c r="I104" s="38">
        <v>1150445608.29</v>
      </c>
      <c r="J104" s="42">
        <f>'Sales Order'!H104+('Sales Order'!H104*0.11)+Invoice!G104</f>
        <v>1150445608.29</v>
      </c>
      <c r="K104" s="41"/>
    </row>
    <row r="105" spans="1:11" ht="15.75" customHeight="1" x14ac:dyDescent="0.3">
      <c r="A105" s="40" t="s">
        <v>1384</v>
      </c>
      <c r="B105" s="40" t="s">
        <v>342</v>
      </c>
      <c r="C105" s="51" t="str">
        <f>VLOOKUP(B105,'Sales Order'!A$2:B$1029,1,0)</f>
        <v>SO0104</v>
      </c>
      <c r="D105" s="17" t="s">
        <v>1275</v>
      </c>
      <c r="E105" s="29" t="s">
        <v>170</v>
      </c>
      <c r="F105" s="29" t="s">
        <v>1288</v>
      </c>
      <c r="G105" s="32">
        <v>859350</v>
      </c>
      <c r="H105" s="43">
        <v>0.11</v>
      </c>
      <c r="I105" s="38">
        <v>225831541.5</v>
      </c>
      <c r="J105" s="42">
        <f>'Sales Order'!H105+('Sales Order'!H105*0.11)+Invoice!G105</f>
        <v>225831541.5</v>
      </c>
      <c r="K105" s="41"/>
    </row>
    <row r="106" spans="1:11" ht="15.75" customHeight="1" x14ac:dyDescent="0.3">
      <c r="A106" s="40" t="s">
        <v>1385</v>
      </c>
      <c r="B106" s="40" t="s">
        <v>343</v>
      </c>
      <c r="C106" s="51" t="str">
        <f>VLOOKUP(B106,'Sales Order'!A$2:B$1029,1,0)</f>
        <v>SO0105</v>
      </c>
      <c r="D106" s="17" t="s">
        <v>1275</v>
      </c>
      <c r="E106" s="29" t="s">
        <v>2318</v>
      </c>
      <c r="F106" s="29" t="s">
        <v>1295</v>
      </c>
      <c r="G106" s="32">
        <v>859350</v>
      </c>
      <c r="H106" s="43">
        <v>0.11</v>
      </c>
      <c r="I106" s="38">
        <v>686711733.29999995</v>
      </c>
      <c r="J106" s="42">
        <f>'Sales Order'!H106+('Sales Order'!H106*0.11)+Invoice!G106</f>
        <v>686711733.29999995</v>
      </c>
      <c r="K106" s="41"/>
    </row>
    <row r="107" spans="1:11" ht="15.75" customHeight="1" x14ac:dyDescent="0.3">
      <c r="A107" s="40" t="s">
        <v>1386</v>
      </c>
      <c r="B107" s="40" t="s">
        <v>344</v>
      </c>
      <c r="C107" s="51" t="str">
        <f>VLOOKUP(B107,'Sales Order'!A$2:B$1029,1,0)</f>
        <v>SO0106</v>
      </c>
      <c r="D107" s="17" t="s">
        <v>1275</v>
      </c>
      <c r="E107" s="29" t="s">
        <v>170</v>
      </c>
      <c r="F107" s="29" t="s">
        <v>1295</v>
      </c>
      <c r="G107" s="32">
        <v>859350</v>
      </c>
      <c r="H107" s="43">
        <v>0.11</v>
      </c>
      <c r="I107" s="38">
        <v>1179842819.7</v>
      </c>
      <c r="J107" s="42">
        <f>'Sales Order'!H107+('Sales Order'!H107*0.11)+Invoice!G107</f>
        <v>1179842819.7</v>
      </c>
      <c r="K107" s="41"/>
    </row>
    <row r="108" spans="1:11" ht="15.75" customHeight="1" x14ac:dyDescent="0.3">
      <c r="A108" s="40" t="s">
        <v>1387</v>
      </c>
      <c r="B108" s="40" t="s">
        <v>345</v>
      </c>
      <c r="C108" s="51" t="str">
        <f>VLOOKUP(B108,'Sales Order'!A$2:B$1029,1,0)</f>
        <v>SO0107</v>
      </c>
      <c r="D108" s="17" t="s">
        <v>1279</v>
      </c>
      <c r="E108" s="29" t="s">
        <v>118</v>
      </c>
      <c r="F108" s="29" t="s">
        <v>1280</v>
      </c>
      <c r="G108" s="18">
        <v>8088</v>
      </c>
      <c r="H108" s="43">
        <v>0.11</v>
      </c>
      <c r="I108" s="38">
        <v>424349643.89999998</v>
      </c>
      <c r="J108" s="42">
        <f>'Sales Order'!H108+('Sales Order'!H108*0.11)+Invoice!G108</f>
        <v>424349643.89999998</v>
      </c>
      <c r="K108" s="41"/>
    </row>
    <row r="109" spans="1:11" ht="15.75" customHeight="1" x14ac:dyDescent="0.3">
      <c r="A109" s="40" t="s">
        <v>1388</v>
      </c>
      <c r="B109" s="40" t="s">
        <v>346</v>
      </c>
      <c r="C109" s="51" t="str">
        <f>VLOOKUP(B109,'Sales Order'!A$2:B$1029,1,0)</f>
        <v>SO0108</v>
      </c>
      <c r="D109" s="17" t="s">
        <v>1275</v>
      </c>
      <c r="E109" s="29" t="s">
        <v>2319</v>
      </c>
      <c r="F109" s="29" t="s">
        <v>1276</v>
      </c>
      <c r="G109" s="18">
        <v>353850</v>
      </c>
      <c r="H109" s="43">
        <v>0.11</v>
      </c>
      <c r="I109" s="38">
        <v>236650139.40000001</v>
      </c>
      <c r="J109" s="42">
        <f>'Sales Order'!H109+('Sales Order'!H109*0.11)+Invoice!G109</f>
        <v>236650139.40000001</v>
      </c>
      <c r="K109" s="41"/>
    </row>
    <row r="110" spans="1:11" ht="15.75" customHeight="1" x14ac:dyDescent="0.3">
      <c r="A110" s="40" t="s">
        <v>1389</v>
      </c>
      <c r="B110" s="40" t="s">
        <v>347</v>
      </c>
      <c r="C110" s="51" t="str">
        <f>VLOOKUP(B110,'Sales Order'!A$2:B$1029,1,0)</f>
        <v>SO0109</v>
      </c>
      <c r="D110" s="17" t="s">
        <v>1279</v>
      </c>
      <c r="E110" s="29" t="s">
        <v>2312</v>
      </c>
      <c r="F110" s="29" t="s">
        <v>1288</v>
      </c>
      <c r="G110" s="18">
        <v>32352</v>
      </c>
      <c r="H110" s="43">
        <v>0.11</v>
      </c>
      <c r="I110" s="38">
        <v>64687576.5</v>
      </c>
      <c r="J110" s="42">
        <f>'Sales Order'!H110+('Sales Order'!H110*0.11)+Invoice!G110</f>
        <v>64687576.5</v>
      </c>
      <c r="K110" s="41"/>
    </row>
    <row r="111" spans="1:11" ht="15.75" customHeight="1" x14ac:dyDescent="0.3">
      <c r="A111" s="40" t="s">
        <v>1390</v>
      </c>
      <c r="B111" s="40" t="s">
        <v>348</v>
      </c>
      <c r="C111" s="51" t="str">
        <f>VLOOKUP(B111,'Sales Order'!A$2:B$1029,1,0)</f>
        <v>SO0110</v>
      </c>
      <c r="D111" s="17" t="s">
        <v>1275</v>
      </c>
      <c r="E111" s="29" t="s">
        <v>170</v>
      </c>
      <c r="F111" s="29" t="s">
        <v>1285</v>
      </c>
      <c r="G111" s="32">
        <v>859350</v>
      </c>
      <c r="H111" s="43">
        <v>0.11</v>
      </c>
      <c r="I111" s="38">
        <v>282130863.60000002</v>
      </c>
      <c r="J111" s="42">
        <f>'Sales Order'!H111+('Sales Order'!H111*0.11)+Invoice!G111</f>
        <v>282130863.60000002</v>
      </c>
      <c r="K111" s="41"/>
    </row>
    <row r="112" spans="1:11" ht="15.75" customHeight="1" x14ac:dyDescent="0.3">
      <c r="A112" s="40" t="s">
        <v>1391</v>
      </c>
      <c r="B112" s="40" t="s">
        <v>349</v>
      </c>
      <c r="C112" s="51" t="str">
        <f>VLOOKUP(B112,'Sales Order'!A$2:B$1029,1,0)</f>
        <v>SO0111</v>
      </c>
      <c r="D112" s="17" t="s">
        <v>1279</v>
      </c>
      <c r="E112" s="29" t="s">
        <v>2312</v>
      </c>
      <c r="F112" s="29" t="s">
        <v>1285</v>
      </c>
      <c r="G112" s="18">
        <v>32352</v>
      </c>
      <c r="H112" s="43">
        <v>0.11</v>
      </c>
      <c r="I112" s="38">
        <v>890994890.94000006</v>
      </c>
      <c r="J112" s="42">
        <f>'Sales Order'!H112+('Sales Order'!H112*0.11)+Invoice!G112</f>
        <v>890994890.94000006</v>
      </c>
      <c r="K112" s="41"/>
    </row>
    <row r="113" spans="1:11" ht="15.75" customHeight="1" x14ac:dyDescent="0.3">
      <c r="A113" s="40" t="s">
        <v>1392</v>
      </c>
      <c r="B113" s="40" t="s">
        <v>350</v>
      </c>
      <c r="C113" s="51" t="str">
        <f>VLOOKUP(B113,'Sales Order'!A$2:B$1029,1,0)</f>
        <v>SO0112</v>
      </c>
      <c r="D113" s="17" t="s">
        <v>1275</v>
      </c>
      <c r="E113" s="29" t="s">
        <v>143</v>
      </c>
      <c r="F113" s="29" t="s">
        <v>1276</v>
      </c>
      <c r="G113" s="32">
        <v>859350</v>
      </c>
      <c r="H113" s="43">
        <v>0.11</v>
      </c>
      <c r="I113" s="38">
        <v>499694127</v>
      </c>
      <c r="J113" s="42">
        <f>'Sales Order'!H113+('Sales Order'!H113*0.11)+Invoice!G113</f>
        <v>499694127</v>
      </c>
      <c r="K113" s="41"/>
    </row>
    <row r="114" spans="1:11" ht="15.75" customHeight="1" x14ac:dyDescent="0.3">
      <c r="A114" s="40" t="s">
        <v>1393</v>
      </c>
      <c r="B114" s="40" t="s">
        <v>351</v>
      </c>
      <c r="C114" s="51" t="str">
        <f>VLOOKUP(B114,'Sales Order'!A$2:B$1029,1,0)</f>
        <v>SO0113</v>
      </c>
      <c r="D114" s="17" t="s">
        <v>1275</v>
      </c>
      <c r="E114" s="29" t="s">
        <v>2314</v>
      </c>
      <c r="F114" s="29" t="s">
        <v>1288</v>
      </c>
      <c r="G114" s="18">
        <v>808800</v>
      </c>
      <c r="H114" s="43">
        <v>0.11</v>
      </c>
      <c r="I114" s="38">
        <v>42968753.399999999</v>
      </c>
      <c r="J114" s="42">
        <f>'Sales Order'!H114+('Sales Order'!H114*0.11)+Invoice!G114</f>
        <v>42968753.399999999</v>
      </c>
      <c r="K114" s="41"/>
    </row>
    <row r="115" spans="1:11" ht="15.75" customHeight="1" x14ac:dyDescent="0.3">
      <c r="A115" s="40" t="s">
        <v>1394</v>
      </c>
      <c r="B115" s="40" t="s">
        <v>352</v>
      </c>
      <c r="C115" s="51" t="str">
        <f>VLOOKUP(B115,'Sales Order'!A$2:B$1029,1,0)</f>
        <v>SO0114</v>
      </c>
      <c r="D115" s="17" t="s">
        <v>1279</v>
      </c>
      <c r="E115" s="29" t="s">
        <v>2312</v>
      </c>
      <c r="F115" s="29" t="s">
        <v>1288</v>
      </c>
      <c r="G115" s="18">
        <v>32352</v>
      </c>
      <c r="H115" s="43">
        <v>0.11</v>
      </c>
      <c r="I115" s="38">
        <v>120119668.92</v>
      </c>
      <c r="J115" s="42">
        <f>'Sales Order'!H115+('Sales Order'!H115*0.11)+Invoice!G115</f>
        <v>120119668.92</v>
      </c>
      <c r="K115" s="41"/>
    </row>
    <row r="116" spans="1:11" ht="15.75" customHeight="1" x14ac:dyDescent="0.3">
      <c r="A116" s="40" t="s">
        <v>1395</v>
      </c>
      <c r="B116" s="40" t="s">
        <v>353</v>
      </c>
      <c r="C116" s="51" t="str">
        <f>VLOOKUP(B116,'Sales Order'!A$2:B$1029,1,0)</f>
        <v>SO0115</v>
      </c>
      <c r="D116" s="17" t="s">
        <v>1275</v>
      </c>
      <c r="E116" s="29" t="s">
        <v>143</v>
      </c>
      <c r="F116" s="29" t="s">
        <v>1276</v>
      </c>
      <c r="G116" s="32">
        <v>859350</v>
      </c>
      <c r="H116" s="43">
        <v>0.11</v>
      </c>
      <c r="I116" s="38">
        <v>49408685.399999999</v>
      </c>
      <c r="J116" s="42">
        <f>'Sales Order'!H116+('Sales Order'!H116*0.11)+Invoice!G116</f>
        <v>49408685.399999999</v>
      </c>
      <c r="K116" s="41"/>
    </row>
    <row r="117" spans="1:11" ht="15.75" customHeight="1" x14ac:dyDescent="0.3">
      <c r="A117" s="40" t="s">
        <v>1396</v>
      </c>
      <c r="B117" s="40" t="s">
        <v>354</v>
      </c>
      <c r="C117" s="51" t="str">
        <f>VLOOKUP(B117,'Sales Order'!A$2:B$1029,1,0)</f>
        <v>SO0116</v>
      </c>
      <c r="D117" s="17" t="s">
        <v>1275</v>
      </c>
      <c r="E117" s="29" t="s">
        <v>2316</v>
      </c>
      <c r="F117" s="29" t="s">
        <v>1285</v>
      </c>
      <c r="G117" s="18">
        <v>556050</v>
      </c>
      <c r="H117" s="43">
        <v>0.11</v>
      </c>
      <c r="I117" s="38">
        <v>511753063.5</v>
      </c>
      <c r="J117" s="42">
        <f>'Sales Order'!H117+('Sales Order'!H117*0.11)+Invoice!G117</f>
        <v>511753063.5</v>
      </c>
      <c r="K117" s="41"/>
    </row>
    <row r="118" spans="1:11" ht="15.75" customHeight="1" x14ac:dyDescent="0.3">
      <c r="A118" s="40" t="s">
        <v>1397</v>
      </c>
      <c r="B118" s="40" t="s">
        <v>355</v>
      </c>
      <c r="C118" s="51" t="str">
        <f>VLOOKUP(B118,'Sales Order'!A$2:B$1029,1,0)</f>
        <v>SO0117</v>
      </c>
      <c r="D118" s="17" t="s">
        <v>1275</v>
      </c>
      <c r="E118" s="29" t="s">
        <v>2314</v>
      </c>
      <c r="F118" s="29" t="s">
        <v>1280</v>
      </c>
      <c r="G118" s="18">
        <v>808800</v>
      </c>
      <c r="H118" s="43">
        <v>0.11</v>
      </c>
      <c r="I118" s="38">
        <v>761226698.70000005</v>
      </c>
      <c r="J118" s="42">
        <f>'Sales Order'!H118+('Sales Order'!H118*0.11)+Invoice!G118</f>
        <v>761226698.70000005</v>
      </c>
      <c r="K118" s="41"/>
    </row>
    <row r="119" spans="1:11" ht="15.75" customHeight="1" x14ac:dyDescent="0.3">
      <c r="A119" s="40" t="s">
        <v>1398</v>
      </c>
      <c r="B119" s="40" t="s">
        <v>356</v>
      </c>
      <c r="C119" s="51" t="str">
        <f>VLOOKUP(B119,'Sales Order'!A$2:B$1029,1,0)</f>
        <v>SO0118</v>
      </c>
      <c r="D119" s="17" t="s">
        <v>1279</v>
      </c>
      <c r="E119" s="29" t="s">
        <v>2312</v>
      </c>
      <c r="F119" s="29" t="s">
        <v>1288</v>
      </c>
      <c r="G119" s="18">
        <v>32352</v>
      </c>
      <c r="H119" s="43">
        <v>0.11</v>
      </c>
      <c r="I119" s="38">
        <v>74476198.079999998</v>
      </c>
      <c r="J119" s="42">
        <f>'Sales Order'!H119+('Sales Order'!H119*0.11)+Invoice!G119</f>
        <v>74476198.079999998</v>
      </c>
      <c r="K119" s="41"/>
    </row>
    <row r="120" spans="1:11" ht="15.75" customHeight="1" x14ac:dyDescent="0.3">
      <c r="A120" s="40" t="s">
        <v>1399</v>
      </c>
      <c r="B120" s="40" t="s">
        <v>357</v>
      </c>
      <c r="C120" s="51" t="str">
        <f>VLOOKUP(B120,'Sales Order'!A$2:B$1029,1,0)</f>
        <v>SO0119</v>
      </c>
      <c r="D120" s="17" t="s">
        <v>1279</v>
      </c>
      <c r="E120" s="29" t="s">
        <v>118</v>
      </c>
      <c r="F120" s="29" t="s">
        <v>1280</v>
      </c>
      <c r="G120" s="18">
        <v>8088</v>
      </c>
      <c r="H120" s="43">
        <v>0.11</v>
      </c>
      <c r="I120" s="38">
        <v>772345832.70000005</v>
      </c>
      <c r="J120" s="42">
        <f>'Sales Order'!H120+('Sales Order'!H120*0.11)+Invoice!G120</f>
        <v>772345832.70000005</v>
      </c>
      <c r="K120" s="41"/>
    </row>
    <row r="121" spans="1:11" ht="15.75" customHeight="1" x14ac:dyDescent="0.3">
      <c r="A121" s="40" t="s">
        <v>1400</v>
      </c>
      <c r="B121" s="40" t="s">
        <v>358</v>
      </c>
      <c r="C121" s="51" t="str">
        <f>VLOOKUP(B121,'Sales Order'!A$2:B$1029,1,0)</f>
        <v>SO0120</v>
      </c>
      <c r="D121" s="17" t="s">
        <v>1279</v>
      </c>
      <c r="E121" s="29" t="s">
        <v>118</v>
      </c>
      <c r="F121" s="29" t="s">
        <v>1295</v>
      </c>
      <c r="G121" s="18">
        <v>8088</v>
      </c>
      <c r="H121" s="43">
        <v>0.11</v>
      </c>
      <c r="I121" s="38">
        <v>529041758.10000002</v>
      </c>
      <c r="J121" s="42">
        <f>'Sales Order'!H121+('Sales Order'!H121*0.11)+Invoice!G121</f>
        <v>529041758.10000002</v>
      </c>
      <c r="K121" s="41"/>
    </row>
    <row r="122" spans="1:11" ht="15.75" customHeight="1" x14ac:dyDescent="0.3">
      <c r="A122" s="40" t="s">
        <v>1401</v>
      </c>
      <c r="B122" s="40" t="s">
        <v>359</v>
      </c>
      <c r="C122" s="51" t="str">
        <f>VLOOKUP(B122,'Sales Order'!A$2:B$1029,1,0)</f>
        <v>SO0121</v>
      </c>
      <c r="D122" s="17" t="s">
        <v>1275</v>
      </c>
      <c r="E122" s="29" t="s">
        <v>2318</v>
      </c>
      <c r="F122" s="29" t="s">
        <v>1276</v>
      </c>
      <c r="G122" s="32">
        <v>859350</v>
      </c>
      <c r="H122" s="43">
        <v>0.11</v>
      </c>
      <c r="I122" s="38">
        <v>165824220</v>
      </c>
      <c r="J122" s="42">
        <f>'Sales Order'!H122+('Sales Order'!H122*0.11)+Invoice!G122</f>
        <v>165824220</v>
      </c>
      <c r="K122" s="41"/>
    </row>
    <row r="123" spans="1:11" ht="15.75" customHeight="1" x14ac:dyDescent="0.3">
      <c r="A123" s="40" t="s">
        <v>1402</v>
      </c>
      <c r="B123" s="40" t="s">
        <v>360</v>
      </c>
      <c r="C123" s="51" t="str">
        <f>VLOOKUP(B123,'Sales Order'!A$2:B$1029,1,0)</f>
        <v>SO0122</v>
      </c>
      <c r="D123" s="17" t="s">
        <v>1275</v>
      </c>
      <c r="E123" s="29" t="s">
        <v>2317</v>
      </c>
      <c r="F123" s="29" t="s">
        <v>1285</v>
      </c>
      <c r="G123" s="32">
        <v>859350</v>
      </c>
      <c r="H123" s="43">
        <v>0.11</v>
      </c>
      <c r="I123" s="38">
        <v>1176542412.3</v>
      </c>
      <c r="J123" s="42">
        <f>'Sales Order'!H123+('Sales Order'!H123*0.11)+Invoice!G123</f>
        <v>1176542412.3</v>
      </c>
      <c r="K123" s="41"/>
    </row>
    <row r="124" spans="1:11" ht="15.75" customHeight="1" x14ac:dyDescent="0.3">
      <c r="A124" s="40" t="s">
        <v>1403</v>
      </c>
      <c r="B124" s="40" t="s">
        <v>361</v>
      </c>
      <c r="C124" s="51" t="str">
        <f>VLOOKUP(B124,'Sales Order'!A$2:B$1029,1,0)</f>
        <v>SO0123</v>
      </c>
      <c r="D124" s="17" t="s">
        <v>1275</v>
      </c>
      <c r="E124" s="29" t="s">
        <v>170</v>
      </c>
      <c r="F124" s="29" t="s">
        <v>1288</v>
      </c>
      <c r="G124" s="32">
        <v>859350</v>
      </c>
      <c r="H124" s="43">
        <v>0.11</v>
      </c>
      <c r="I124" s="38">
        <v>118436566.2</v>
      </c>
      <c r="J124" s="42">
        <f>'Sales Order'!H124+('Sales Order'!H124*0.11)+Invoice!G124</f>
        <v>118436566.2</v>
      </c>
      <c r="K124" s="41"/>
    </row>
    <row r="125" spans="1:11" ht="15.75" customHeight="1" x14ac:dyDescent="0.3">
      <c r="A125" s="40" t="s">
        <v>1404</v>
      </c>
      <c r="B125" s="40" t="s">
        <v>362</v>
      </c>
      <c r="C125" s="51" t="str">
        <f>VLOOKUP(B125,'Sales Order'!A$2:B$1029,1,0)</f>
        <v>SO0124</v>
      </c>
      <c r="D125" s="17" t="s">
        <v>1275</v>
      </c>
      <c r="E125" s="29" t="s">
        <v>143</v>
      </c>
      <c r="F125" s="29" t="s">
        <v>1276</v>
      </c>
      <c r="G125" s="32">
        <v>859350</v>
      </c>
      <c r="H125" s="43">
        <v>0.11</v>
      </c>
      <c r="I125" s="38">
        <v>137812204.5</v>
      </c>
      <c r="J125" s="42">
        <f>'Sales Order'!H125+('Sales Order'!H125*0.11)+Invoice!G125</f>
        <v>137812204.5</v>
      </c>
      <c r="K125" s="41"/>
    </row>
    <row r="126" spans="1:11" ht="15.75" customHeight="1" x14ac:dyDescent="0.3">
      <c r="A126" s="40" t="s">
        <v>1405</v>
      </c>
      <c r="B126" s="40" t="s">
        <v>363</v>
      </c>
      <c r="C126" s="51" t="str">
        <f>VLOOKUP(B126,'Sales Order'!A$2:B$1029,1,0)</f>
        <v>SO0125</v>
      </c>
      <c r="D126" s="17" t="s">
        <v>1275</v>
      </c>
      <c r="E126" s="29" t="s">
        <v>143</v>
      </c>
      <c r="F126" s="29" t="s">
        <v>1276</v>
      </c>
      <c r="G126" s="32">
        <v>859350</v>
      </c>
      <c r="H126" s="43">
        <v>0.11</v>
      </c>
      <c r="I126" s="38">
        <v>88456332</v>
      </c>
      <c r="J126" s="42">
        <f>'Sales Order'!H126+('Sales Order'!H126*0.11)+Invoice!G126</f>
        <v>88456332</v>
      </c>
      <c r="K126" s="41"/>
    </row>
    <row r="127" spans="1:11" ht="15.75" customHeight="1" x14ac:dyDescent="0.3">
      <c r="A127" s="40" t="s">
        <v>1406</v>
      </c>
      <c r="B127" s="40" t="s">
        <v>364</v>
      </c>
      <c r="C127" s="51" t="str">
        <f>VLOOKUP(B127,'Sales Order'!A$2:B$1029,1,0)</f>
        <v>SO0126</v>
      </c>
      <c r="D127" s="17" t="s">
        <v>1275</v>
      </c>
      <c r="E127" s="29" t="s">
        <v>2318</v>
      </c>
      <c r="F127" s="29" t="s">
        <v>1276</v>
      </c>
      <c r="G127" s="32">
        <v>859350</v>
      </c>
      <c r="H127" s="43">
        <v>0.11</v>
      </c>
      <c r="I127" s="38">
        <v>57143964.600000001</v>
      </c>
      <c r="J127" s="42">
        <f>'Sales Order'!H127+('Sales Order'!H127*0.11)+Invoice!G127</f>
        <v>57143964.600000001</v>
      </c>
      <c r="K127" s="41"/>
    </row>
    <row r="128" spans="1:11" ht="15.75" customHeight="1" x14ac:dyDescent="0.3">
      <c r="A128" s="40" t="s">
        <v>1407</v>
      </c>
      <c r="B128" s="40" t="s">
        <v>365</v>
      </c>
      <c r="C128" s="51" t="str">
        <f>VLOOKUP(B128,'Sales Order'!A$2:B$1029,1,0)</f>
        <v>SO0127</v>
      </c>
      <c r="D128" s="17" t="s">
        <v>1275</v>
      </c>
      <c r="E128" s="29" t="s">
        <v>2314</v>
      </c>
      <c r="F128" s="29" t="s">
        <v>1295</v>
      </c>
      <c r="G128" s="18">
        <v>808800</v>
      </c>
      <c r="H128" s="43">
        <v>0.11</v>
      </c>
      <c r="I128" s="38">
        <v>305254050</v>
      </c>
      <c r="J128" s="42">
        <f>'Sales Order'!H128+('Sales Order'!H128*0.11)+Invoice!G128</f>
        <v>305254050</v>
      </c>
      <c r="K128" s="41"/>
    </row>
    <row r="129" spans="1:11" ht="15.75" customHeight="1" x14ac:dyDescent="0.3">
      <c r="A129" s="40" t="s">
        <v>1408</v>
      </c>
      <c r="B129" s="40" t="s">
        <v>366</v>
      </c>
      <c r="C129" s="51" t="str">
        <f>VLOOKUP(B129,'Sales Order'!A$2:B$1029,1,0)</f>
        <v>SO0128</v>
      </c>
      <c r="D129" s="17" t="s">
        <v>1279</v>
      </c>
      <c r="E129" s="29" t="s">
        <v>2312</v>
      </c>
      <c r="F129" s="29" t="s">
        <v>1276</v>
      </c>
      <c r="G129" s="18">
        <v>32352</v>
      </c>
      <c r="H129" s="43">
        <v>0.11</v>
      </c>
      <c r="I129" s="38">
        <v>125060998.2</v>
      </c>
      <c r="J129" s="42">
        <f>'Sales Order'!H129+('Sales Order'!H129*0.11)+Invoice!G129</f>
        <v>125060998.2</v>
      </c>
      <c r="K129" s="41"/>
    </row>
    <row r="130" spans="1:11" ht="15.75" customHeight="1" x14ac:dyDescent="0.3">
      <c r="A130" s="40" t="s">
        <v>1409</v>
      </c>
      <c r="B130" s="40" t="s">
        <v>367</v>
      </c>
      <c r="C130" s="51" t="str">
        <f>VLOOKUP(B130,'Sales Order'!A$2:B$1029,1,0)</f>
        <v>SO0129</v>
      </c>
      <c r="D130" s="17" t="s">
        <v>1275</v>
      </c>
      <c r="E130" s="29" t="s">
        <v>2314</v>
      </c>
      <c r="F130" s="29" t="s">
        <v>1280</v>
      </c>
      <c r="G130" s="18">
        <v>808800</v>
      </c>
      <c r="H130" s="43">
        <v>0.11</v>
      </c>
      <c r="I130" s="38">
        <v>442351348.80000001</v>
      </c>
      <c r="J130" s="42">
        <f>'Sales Order'!H130+('Sales Order'!H130*0.11)+Invoice!G130</f>
        <v>442351348.80000001</v>
      </c>
      <c r="K130" s="41"/>
    </row>
    <row r="131" spans="1:11" ht="15.75" customHeight="1" x14ac:dyDescent="0.3">
      <c r="A131" s="40" t="s">
        <v>1410</v>
      </c>
      <c r="B131" s="40" t="s">
        <v>368</v>
      </c>
      <c r="C131" s="51" t="str">
        <f>VLOOKUP(B131,'Sales Order'!A$2:B$1029,1,0)</f>
        <v>SO0130</v>
      </c>
      <c r="D131" s="17" t="s">
        <v>1279</v>
      </c>
      <c r="E131" s="29" t="s">
        <v>118</v>
      </c>
      <c r="F131" s="29" t="s">
        <v>1288</v>
      </c>
      <c r="G131" s="18">
        <v>8088</v>
      </c>
      <c r="H131" s="43">
        <v>0.11</v>
      </c>
      <c r="I131" s="38">
        <v>157747597.25999999</v>
      </c>
      <c r="J131" s="42">
        <f>'Sales Order'!H131+('Sales Order'!H131*0.11)+Invoice!G131</f>
        <v>157747597.25999999</v>
      </c>
      <c r="K131" s="41"/>
    </row>
    <row r="132" spans="1:11" ht="15.75" customHeight="1" x14ac:dyDescent="0.3">
      <c r="A132" s="40" t="s">
        <v>1411</v>
      </c>
      <c r="B132" s="40" t="s">
        <v>369</v>
      </c>
      <c r="C132" s="51" t="str">
        <f>VLOOKUP(B132,'Sales Order'!A$2:B$1029,1,0)</f>
        <v>SO0131</v>
      </c>
      <c r="D132" s="17" t="s">
        <v>1275</v>
      </c>
      <c r="E132" s="29" t="s">
        <v>2313</v>
      </c>
      <c r="F132" s="29" t="s">
        <v>1288</v>
      </c>
      <c r="G132" s="18">
        <v>808800</v>
      </c>
      <c r="H132" s="43">
        <v>0.11</v>
      </c>
      <c r="I132" s="38">
        <v>181416977.69999999</v>
      </c>
      <c r="J132" s="42">
        <f>'Sales Order'!H132+('Sales Order'!H132*0.11)+Invoice!G132</f>
        <v>181416977.69999999</v>
      </c>
      <c r="K132" s="41"/>
    </row>
    <row r="133" spans="1:11" ht="15.75" customHeight="1" x14ac:dyDescent="0.3">
      <c r="A133" s="40" t="s">
        <v>1412</v>
      </c>
      <c r="B133" s="40" t="s">
        <v>370</v>
      </c>
      <c r="C133" s="51" t="str">
        <f>VLOOKUP(B133,'Sales Order'!A$2:B$1029,1,0)</f>
        <v>SO0132</v>
      </c>
      <c r="D133" s="17" t="s">
        <v>1279</v>
      </c>
      <c r="E133" s="29" t="s">
        <v>2312</v>
      </c>
      <c r="F133" s="29" t="s">
        <v>1288</v>
      </c>
      <c r="G133" s="18">
        <v>32352</v>
      </c>
      <c r="H133" s="43">
        <v>0.11</v>
      </c>
      <c r="I133" s="38">
        <v>267104625.72</v>
      </c>
      <c r="J133" s="42">
        <f>'Sales Order'!H133+('Sales Order'!H133*0.11)+Invoice!G133</f>
        <v>267104625.72</v>
      </c>
      <c r="K133" s="41"/>
    </row>
    <row r="134" spans="1:11" ht="15.75" customHeight="1" x14ac:dyDescent="0.3">
      <c r="A134" s="40" t="s">
        <v>1413</v>
      </c>
      <c r="B134" s="40" t="s">
        <v>371</v>
      </c>
      <c r="C134" s="51" t="str">
        <f>VLOOKUP(B134,'Sales Order'!A$2:B$1029,1,0)</f>
        <v>SO0133</v>
      </c>
      <c r="D134" s="17" t="s">
        <v>1275</v>
      </c>
      <c r="E134" s="29" t="s">
        <v>143</v>
      </c>
      <c r="F134" s="29" t="s">
        <v>1288</v>
      </c>
      <c r="G134" s="32">
        <v>859350</v>
      </c>
      <c r="H134" s="43">
        <v>0.11</v>
      </c>
      <c r="I134" s="38">
        <v>179842495.47</v>
      </c>
      <c r="J134" s="42">
        <f>'Sales Order'!H134+('Sales Order'!H134*0.11)+Invoice!G134</f>
        <v>179842495.47</v>
      </c>
      <c r="K134" s="41"/>
    </row>
    <row r="135" spans="1:11" ht="15.75" customHeight="1" x14ac:dyDescent="0.3">
      <c r="A135" s="40" t="s">
        <v>1414</v>
      </c>
      <c r="B135" s="40" t="s">
        <v>372</v>
      </c>
      <c r="C135" s="51" t="str">
        <f>VLOOKUP(B135,'Sales Order'!A$2:B$1029,1,0)</f>
        <v>SO0134</v>
      </c>
      <c r="D135" s="17" t="s">
        <v>1275</v>
      </c>
      <c r="E135" s="29" t="s">
        <v>2319</v>
      </c>
      <c r="F135" s="29" t="s">
        <v>1288</v>
      </c>
      <c r="G135" s="18">
        <v>353850</v>
      </c>
      <c r="H135" s="43">
        <v>0.11</v>
      </c>
      <c r="I135" s="38">
        <v>114327939.59999999</v>
      </c>
      <c r="J135" s="42">
        <f>'Sales Order'!H135+('Sales Order'!H135*0.11)+Invoice!G135</f>
        <v>114327939.59999999</v>
      </c>
      <c r="K135" s="41"/>
    </row>
    <row r="136" spans="1:11" ht="15.75" customHeight="1" x14ac:dyDescent="0.3">
      <c r="A136" s="40" t="s">
        <v>1415</v>
      </c>
      <c r="B136" s="40" t="s">
        <v>373</v>
      </c>
      <c r="C136" s="51" t="str">
        <f>VLOOKUP(B136,'Sales Order'!A$2:B$1029,1,0)</f>
        <v>SO0135</v>
      </c>
      <c r="D136" s="17" t="s">
        <v>1279</v>
      </c>
      <c r="E136" s="29" t="s">
        <v>2312</v>
      </c>
      <c r="F136" s="29" t="s">
        <v>1276</v>
      </c>
      <c r="G136" s="18">
        <v>32352</v>
      </c>
      <c r="H136" s="43">
        <v>0.11</v>
      </c>
      <c r="I136" s="38">
        <v>5920236</v>
      </c>
      <c r="J136" s="42">
        <f>'Sales Order'!H136+('Sales Order'!H136*0.11)+Invoice!G136</f>
        <v>5920236</v>
      </c>
      <c r="K136" s="41"/>
    </row>
    <row r="137" spans="1:11" ht="15.75" customHeight="1" x14ac:dyDescent="0.3">
      <c r="A137" s="40" t="s">
        <v>1416</v>
      </c>
      <c r="B137" s="40" t="s">
        <v>374</v>
      </c>
      <c r="C137" s="51" t="str">
        <f>VLOOKUP(B137,'Sales Order'!A$2:B$1029,1,0)</f>
        <v>SO0136</v>
      </c>
      <c r="D137" s="17" t="s">
        <v>1275</v>
      </c>
      <c r="E137" s="29" t="s">
        <v>2318</v>
      </c>
      <c r="F137" s="29" t="s">
        <v>1276</v>
      </c>
      <c r="G137" s="32">
        <v>859350</v>
      </c>
      <c r="H137" s="43">
        <v>0.11</v>
      </c>
      <c r="I137" s="38">
        <v>119370808.8</v>
      </c>
      <c r="J137" s="42">
        <f>'Sales Order'!H137+('Sales Order'!H137*0.11)+Invoice!G137</f>
        <v>119370808.8</v>
      </c>
      <c r="K137" s="41"/>
    </row>
    <row r="138" spans="1:11" ht="15.75" customHeight="1" x14ac:dyDescent="0.3">
      <c r="A138" s="40" t="s">
        <v>1417</v>
      </c>
      <c r="B138" s="40" t="s">
        <v>375</v>
      </c>
      <c r="C138" s="51" t="str">
        <f>VLOOKUP(B138,'Sales Order'!A$2:B$1029,1,0)</f>
        <v>SO0137</v>
      </c>
      <c r="D138" s="17" t="s">
        <v>1275</v>
      </c>
      <c r="E138" s="29" t="s">
        <v>2318</v>
      </c>
      <c r="F138" s="29" t="s">
        <v>1285</v>
      </c>
      <c r="G138" s="32">
        <v>859350</v>
      </c>
      <c r="H138" s="43">
        <v>0.11</v>
      </c>
      <c r="I138" s="38">
        <v>522536328.60000002</v>
      </c>
      <c r="J138" s="42">
        <f>'Sales Order'!H138+('Sales Order'!H138*0.11)+Invoice!G138</f>
        <v>522536328.60000002</v>
      </c>
      <c r="K138" s="41"/>
    </row>
    <row r="139" spans="1:11" ht="15.75" customHeight="1" x14ac:dyDescent="0.3">
      <c r="A139" s="40" t="s">
        <v>1418</v>
      </c>
      <c r="B139" s="40" t="s">
        <v>376</v>
      </c>
      <c r="C139" s="51" t="str">
        <f>VLOOKUP(B139,'Sales Order'!A$2:B$1029,1,0)</f>
        <v>SO0138</v>
      </c>
      <c r="D139" s="17" t="s">
        <v>1275</v>
      </c>
      <c r="E139" s="29" t="s">
        <v>2313</v>
      </c>
      <c r="F139" s="29" t="s">
        <v>1280</v>
      </c>
      <c r="G139" s="18">
        <v>808800</v>
      </c>
      <c r="H139" s="43">
        <v>0.11</v>
      </c>
      <c r="I139" s="38">
        <v>669636414</v>
      </c>
      <c r="J139" s="42">
        <f>'Sales Order'!H139+('Sales Order'!H139*0.11)+Invoice!G139</f>
        <v>669636414</v>
      </c>
      <c r="K139" s="41"/>
    </row>
    <row r="140" spans="1:11" ht="15.75" customHeight="1" x14ac:dyDescent="0.3">
      <c r="A140" s="40" t="s">
        <v>1419</v>
      </c>
      <c r="B140" s="40" t="s">
        <v>377</v>
      </c>
      <c r="C140" s="51" t="str">
        <f>VLOOKUP(B140,'Sales Order'!A$2:B$1029,1,0)</f>
        <v>SO0139</v>
      </c>
      <c r="D140" s="17" t="s">
        <v>1275</v>
      </c>
      <c r="E140" s="29" t="s">
        <v>108</v>
      </c>
      <c r="F140" s="29" t="s">
        <v>1280</v>
      </c>
      <c r="G140" s="18">
        <v>556050</v>
      </c>
      <c r="H140" s="43">
        <v>0.11</v>
      </c>
      <c r="I140" s="38">
        <v>349607915.39999998</v>
      </c>
      <c r="J140" s="42">
        <f>'Sales Order'!H140+('Sales Order'!H140*0.11)+Invoice!G140</f>
        <v>349607915.39999998</v>
      </c>
      <c r="K140" s="41"/>
    </row>
    <row r="141" spans="1:11" ht="15.75" customHeight="1" x14ac:dyDescent="0.3">
      <c r="A141" s="40" t="s">
        <v>1420</v>
      </c>
      <c r="B141" s="40" t="s">
        <v>378</v>
      </c>
      <c r="C141" s="51" t="str">
        <f>VLOOKUP(B141,'Sales Order'!A$2:B$1029,1,0)</f>
        <v>SO0140</v>
      </c>
      <c r="D141" s="17" t="s">
        <v>1275</v>
      </c>
      <c r="E141" s="29" t="s">
        <v>170</v>
      </c>
      <c r="F141" s="29" t="s">
        <v>1276</v>
      </c>
      <c r="G141" s="32">
        <v>859350</v>
      </c>
      <c r="H141" s="43">
        <v>0.11</v>
      </c>
      <c r="I141" s="38">
        <v>7332070.7999999998</v>
      </c>
      <c r="J141" s="42">
        <f>'Sales Order'!H141+('Sales Order'!H141*0.11)+Invoice!G141</f>
        <v>7332070.7999999998</v>
      </c>
      <c r="K141" s="41"/>
    </row>
    <row r="142" spans="1:11" ht="15.75" customHeight="1" x14ac:dyDescent="0.3">
      <c r="A142" s="40" t="s">
        <v>1421</v>
      </c>
      <c r="B142" s="40" t="s">
        <v>379</v>
      </c>
      <c r="C142" s="51" t="str">
        <f>VLOOKUP(B142,'Sales Order'!A$2:B$1029,1,0)</f>
        <v>SO0141</v>
      </c>
      <c r="D142" s="17" t="s">
        <v>1275</v>
      </c>
      <c r="E142" s="29" t="s">
        <v>2313</v>
      </c>
      <c r="F142" s="29" t="s">
        <v>1288</v>
      </c>
      <c r="G142" s="18">
        <v>808800</v>
      </c>
      <c r="H142" s="43">
        <v>0.11</v>
      </c>
      <c r="I142" s="38">
        <v>60530407.5</v>
      </c>
      <c r="J142" s="42">
        <f>'Sales Order'!H142+('Sales Order'!H142*0.11)+Invoice!G142</f>
        <v>60530407.5</v>
      </c>
      <c r="K142" s="41"/>
    </row>
    <row r="143" spans="1:11" ht="15.75" customHeight="1" x14ac:dyDescent="0.3">
      <c r="A143" s="40" t="s">
        <v>1422</v>
      </c>
      <c r="B143" s="40" t="s">
        <v>380</v>
      </c>
      <c r="C143" s="51" t="str">
        <f>VLOOKUP(B143,'Sales Order'!A$2:B$1029,1,0)</f>
        <v>SO0142</v>
      </c>
      <c r="D143" s="17" t="s">
        <v>1275</v>
      </c>
      <c r="E143" s="29" t="s">
        <v>143</v>
      </c>
      <c r="F143" s="29" t="s">
        <v>1276</v>
      </c>
      <c r="G143" s="32">
        <v>859350</v>
      </c>
      <c r="H143" s="43">
        <v>0.11</v>
      </c>
      <c r="I143" s="38">
        <v>252152028</v>
      </c>
      <c r="J143" s="42">
        <f>'Sales Order'!H143+('Sales Order'!H143*0.11)+Invoice!G143</f>
        <v>252152028</v>
      </c>
      <c r="K143" s="41"/>
    </row>
    <row r="144" spans="1:11" ht="15.75" customHeight="1" x14ac:dyDescent="0.3">
      <c r="A144" s="40" t="s">
        <v>1423</v>
      </c>
      <c r="B144" s="40" t="s">
        <v>381</v>
      </c>
      <c r="C144" s="51" t="str">
        <f>VLOOKUP(B144,'Sales Order'!A$2:B$1029,1,0)</f>
        <v>SO0143</v>
      </c>
      <c r="D144" s="17" t="s">
        <v>1275</v>
      </c>
      <c r="E144" s="29" t="s">
        <v>2313</v>
      </c>
      <c r="F144" s="29" t="s">
        <v>1288</v>
      </c>
      <c r="G144" s="18">
        <v>808800</v>
      </c>
      <c r="H144" s="43">
        <v>0.11</v>
      </c>
      <c r="I144" s="38">
        <v>118258166.40000001</v>
      </c>
      <c r="J144" s="42">
        <f>'Sales Order'!H144+('Sales Order'!H144*0.11)+Invoice!G144</f>
        <v>118258166.40000001</v>
      </c>
      <c r="K144" s="41"/>
    </row>
    <row r="145" spans="1:11" ht="15.75" customHeight="1" x14ac:dyDescent="0.3">
      <c r="A145" s="40" t="s">
        <v>1424</v>
      </c>
      <c r="B145" s="40" t="s">
        <v>382</v>
      </c>
      <c r="C145" s="51" t="str">
        <f>VLOOKUP(B145,'Sales Order'!A$2:B$1029,1,0)</f>
        <v>SO0144</v>
      </c>
      <c r="D145" s="17" t="s">
        <v>1279</v>
      </c>
      <c r="E145" s="29" t="s">
        <v>118</v>
      </c>
      <c r="F145" s="29" t="s">
        <v>1280</v>
      </c>
      <c r="G145" s="18">
        <v>8088</v>
      </c>
      <c r="H145" s="43">
        <v>0.11</v>
      </c>
      <c r="I145" s="38">
        <v>325574096.10000002</v>
      </c>
      <c r="J145" s="42">
        <f>'Sales Order'!H145+('Sales Order'!H145*0.11)+Invoice!G145</f>
        <v>325574096.10000002</v>
      </c>
      <c r="K145" s="41"/>
    </row>
    <row r="146" spans="1:11" ht="15.75" customHeight="1" x14ac:dyDescent="0.3">
      <c r="A146" s="40" t="s">
        <v>1425</v>
      </c>
      <c r="B146" s="40" t="s">
        <v>383</v>
      </c>
      <c r="C146" s="51" t="str">
        <f>VLOOKUP(B146,'Sales Order'!A$2:B$1029,1,0)</f>
        <v>SO0145</v>
      </c>
      <c r="D146" s="17" t="s">
        <v>1279</v>
      </c>
      <c r="E146" s="29" t="s">
        <v>118</v>
      </c>
      <c r="F146" s="29" t="s">
        <v>1288</v>
      </c>
      <c r="G146" s="18">
        <v>8088</v>
      </c>
      <c r="H146" s="43">
        <v>0.11</v>
      </c>
      <c r="I146" s="38">
        <v>84901753.799999997</v>
      </c>
      <c r="J146" s="42">
        <f>'Sales Order'!H146+('Sales Order'!H146*0.11)+Invoice!G146</f>
        <v>84901753.799999997</v>
      </c>
      <c r="K146" s="41"/>
    </row>
    <row r="147" spans="1:11" ht="15.75" customHeight="1" x14ac:dyDescent="0.3">
      <c r="A147" s="40" t="s">
        <v>1426</v>
      </c>
      <c r="B147" s="40" t="s">
        <v>384</v>
      </c>
      <c r="C147" s="51" t="str">
        <f>VLOOKUP(B147,'Sales Order'!A$2:B$1029,1,0)</f>
        <v>SO0146</v>
      </c>
      <c r="D147" s="17" t="s">
        <v>1275</v>
      </c>
      <c r="E147" s="29" t="s">
        <v>2317</v>
      </c>
      <c r="F147" s="29" t="s">
        <v>1276</v>
      </c>
      <c r="G147" s="32">
        <v>859350</v>
      </c>
      <c r="H147" s="43">
        <v>0.11</v>
      </c>
      <c r="I147" s="38">
        <v>108669476.40000001</v>
      </c>
      <c r="J147" s="42">
        <f>'Sales Order'!H147+('Sales Order'!H147*0.11)+Invoice!G147</f>
        <v>108669476.40000001</v>
      </c>
      <c r="K147" s="41"/>
    </row>
    <row r="148" spans="1:11" ht="15.75" customHeight="1" x14ac:dyDescent="0.3">
      <c r="A148" s="40" t="s">
        <v>1427</v>
      </c>
      <c r="B148" s="40" t="s">
        <v>385</v>
      </c>
      <c r="C148" s="51" t="str">
        <f>VLOOKUP(B148,'Sales Order'!A$2:B$1029,1,0)</f>
        <v>SO0147</v>
      </c>
      <c r="D148" s="17" t="s">
        <v>1275</v>
      </c>
      <c r="E148" s="29" t="s">
        <v>2315</v>
      </c>
      <c r="F148" s="29" t="s">
        <v>1276</v>
      </c>
      <c r="G148" s="18">
        <v>556050</v>
      </c>
      <c r="H148" s="43">
        <v>0.11</v>
      </c>
      <c r="I148" s="38">
        <v>67674886.200000003</v>
      </c>
      <c r="J148" s="42">
        <f>'Sales Order'!H148+('Sales Order'!H148*0.11)+Invoice!G148</f>
        <v>67674886.200000003</v>
      </c>
      <c r="K148" s="41"/>
    </row>
    <row r="149" spans="1:11" ht="15.75" customHeight="1" x14ac:dyDescent="0.3">
      <c r="A149" s="40" t="s">
        <v>1428</v>
      </c>
      <c r="B149" s="40" t="s">
        <v>386</v>
      </c>
      <c r="C149" s="51" t="str">
        <f>VLOOKUP(B149,'Sales Order'!A$2:B$1029,1,0)</f>
        <v>SO0148</v>
      </c>
      <c r="D149" s="17" t="s">
        <v>1275</v>
      </c>
      <c r="E149" s="29" t="s">
        <v>2314</v>
      </c>
      <c r="F149" s="29" t="s">
        <v>1280</v>
      </c>
      <c r="G149" s="18">
        <v>808800</v>
      </c>
      <c r="H149" s="43">
        <v>0.11</v>
      </c>
      <c r="I149" s="38">
        <v>1025786762.7</v>
      </c>
      <c r="J149" s="42">
        <f>'Sales Order'!H149+('Sales Order'!H149*0.11)+Invoice!G149</f>
        <v>1025786762.7</v>
      </c>
      <c r="K149" s="41"/>
    </row>
    <row r="150" spans="1:11" ht="15.75" customHeight="1" x14ac:dyDescent="0.3">
      <c r="A150" s="40" t="s">
        <v>1429</v>
      </c>
      <c r="B150" s="40" t="s">
        <v>387</v>
      </c>
      <c r="C150" s="51" t="str">
        <f>VLOOKUP(B150,'Sales Order'!A$2:B$1029,1,0)</f>
        <v>SO0149</v>
      </c>
      <c r="D150" s="17" t="s">
        <v>1275</v>
      </c>
      <c r="E150" s="29" t="s">
        <v>2316</v>
      </c>
      <c r="F150" s="29" t="s">
        <v>1280</v>
      </c>
      <c r="G150" s="18">
        <v>556050</v>
      </c>
      <c r="H150" s="43">
        <v>0.11</v>
      </c>
      <c r="I150" s="38">
        <v>291464850</v>
      </c>
      <c r="J150" s="42">
        <f>'Sales Order'!H150+('Sales Order'!H150*0.11)+Invoice!G150</f>
        <v>291464850</v>
      </c>
      <c r="K150" s="41"/>
    </row>
    <row r="151" spans="1:11" ht="15.75" customHeight="1" x14ac:dyDescent="0.3">
      <c r="A151" s="40" t="s">
        <v>1430</v>
      </c>
      <c r="B151" s="40" t="s">
        <v>388</v>
      </c>
      <c r="C151" s="51" t="str">
        <f>VLOOKUP(B151,'Sales Order'!A$2:B$1029,1,0)</f>
        <v>SO0150</v>
      </c>
      <c r="D151" s="17" t="s">
        <v>1279</v>
      </c>
      <c r="E151" s="29" t="s">
        <v>118</v>
      </c>
      <c r="F151" s="29" t="s">
        <v>1295</v>
      </c>
      <c r="G151" s="18">
        <v>8088</v>
      </c>
      <c r="H151" s="43">
        <v>0.11</v>
      </c>
      <c r="I151" s="38">
        <v>929981472.60000002</v>
      </c>
      <c r="J151" s="42">
        <f>'Sales Order'!H151+('Sales Order'!H151*0.11)+Invoice!G151</f>
        <v>929981472.60000002</v>
      </c>
      <c r="K151" s="41"/>
    </row>
    <row r="152" spans="1:11" ht="15.75" customHeight="1" x14ac:dyDescent="0.3">
      <c r="A152" s="40" t="s">
        <v>1431</v>
      </c>
      <c r="B152" s="40" t="s">
        <v>389</v>
      </c>
      <c r="C152" s="51" t="str">
        <f>VLOOKUP(B152,'Sales Order'!A$2:B$1029,1,0)</f>
        <v>SO0151</v>
      </c>
      <c r="D152" s="17" t="s">
        <v>1275</v>
      </c>
      <c r="E152" s="29" t="s">
        <v>2316</v>
      </c>
      <c r="F152" s="29" t="s">
        <v>1276</v>
      </c>
      <c r="G152" s="18">
        <v>556050</v>
      </c>
      <c r="H152" s="43">
        <v>0.11</v>
      </c>
      <c r="I152" s="38">
        <v>267620784.59999999</v>
      </c>
      <c r="J152" s="42">
        <f>'Sales Order'!H152+('Sales Order'!H152*0.11)+Invoice!G152</f>
        <v>267620784.59999999</v>
      </c>
      <c r="K152" s="41"/>
    </row>
    <row r="153" spans="1:11" ht="15.75" customHeight="1" x14ac:dyDescent="0.3">
      <c r="A153" s="40" t="s">
        <v>1432</v>
      </c>
      <c r="B153" s="40" t="s">
        <v>390</v>
      </c>
      <c r="C153" s="51" t="str">
        <f>VLOOKUP(B153,'Sales Order'!A$2:B$1029,1,0)</f>
        <v>SO0152</v>
      </c>
      <c r="D153" s="17" t="s">
        <v>1279</v>
      </c>
      <c r="E153" s="29" t="s">
        <v>2312</v>
      </c>
      <c r="F153" s="29" t="s">
        <v>1276</v>
      </c>
      <c r="G153" s="18">
        <v>32352</v>
      </c>
      <c r="H153" s="43">
        <v>0.11</v>
      </c>
      <c r="I153" s="38">
        <v>22293568.5</v>
      </c>
      <c r="J153" s="42">
        <f>'Sales Order'!H153+('Sales Order'!H153*0.11)+Invoice!G153</f>
        <v>22293568.5</v>
      </c>
      <c r="K153" s="41"/>
    </row>
    <row r="154" spans="1:11" ht="15.75" customHeight="1" x14ac:dyDescent="0.3">
      <c r="A154" s="40" t="s">
        <v>1433</v>
      </c>
      <c r="B154" s="40" t="s">
        <v>391</v>
      </c>
      <c r="C154" s="51" t="str">
        <f>VLOOKUP(B154,'Sales Order'!A$2:B$1029,1,0)</f>
        <v>SO0153</v>
      </c>
      <c r="D154" s="17" t="s">
        <v>1275</v>
      </c>
      <c r="E154" s="29" t="s">
        <v>2314</v>
      </c>
      <c r="F154" s="29" t="s">
        <v>1288</v>
      </c>
      <c r="G154" s="18">
        <v>808800</v>
      </c>
      <c r="H154" s="43">
        <v>0.11</v>
      </c>
      <c r="I154" s="38">
        <v>203259180.30000001</v>
      </c>
      <c r="J154" s="42">
        <f>'Sales Order'!H154+('Sales Order'!H154*0.11)+Invoice!G154</f>
        <v>203259180.30000001</v>
      </c>
      <c r="K154" s="41"/>
    </row>
    <row r="155" spans="1:11" ht="15.75" customHeight="1" x14ac:dyDescent="0.3">
      <c r="A155" s="40" t="s">
        <v>1434</v>
      </c>
      <c r="B155" s="40" t="s">
        <v>392</v>
      </c>
      <c r="C155" s="51" t="str">
        <f>VLOOKUP(B155,'Sales Order'!A$2:B$1029,1,0)</f>
        <v>SO0154</v>
      </c>
      <c r="D155" s="17" t="s">
        <v>1279</v>
      </c>
      <c r="E155" s="29" t="s">
        <v>2312</v>
      </c>
      <c r="F155" s="29" t="s">
        <v>1288</v>
      </c>
      <c r="G155" s="18">
        <v>32352</v>
      </c>
      <c r="H155" s="43">
        <v>0.11</v>
      </c>
      <c r="I155" s="38">
        <v>247496506.80000001</v>
      </c>
      <c r="J155" s="42">
        <f>'Sales Order'!H155+('Sales Order'!H155*0.11)+Invoice!G155</f>
        <v>247496506.80000001</v>
      </c>
      <c r="K155" s="41"/>
    </row>
    <row r="156" spans="1:11" ht="15.75" customHeight="1" x14ac:dyDescent="0.3">
      <c r="A156" s="40" t="s">
        <v>1435</v>
      </c>
      <c r="B156" s="40" t="s">
        <v>393</v>
      </c>
      <c r="C156" s="51" t="str">
        <f>VLOOKUP(B156,'Sales Order'!A$2:B$1029,1,0)</f>
        <v>SO0155</v>
      </c>
      <c r="D156" s="17" t="s">
        <v>1279</v>
      </c>
      <c r="E156" s="29" t="s">
        <v>118</v>
      </c>
      <c r="F156" s="29" t="s">
        <v>1288</v>
      </c>
      <c r="G156" s="18">
        <v>8088</v>
      </c>
      <c r="H156" s="43">
        <v>0.11</v>
      </c>
      <c r="I156" s="38">
        <v>69168058.799999997</v>
      </c>
      <c r="J156" s="42">
        <f>'Sales Order'!H156+('Sales Order'!H156*0.11)+Invoice!G156</f>
        <v>69168058.799999997</v>
      </c>
      <c r="K156" s="41"/>
    </row>
    <row r="157" spans="1:11" ht="15.75" customHeight="1" x14ac:dyDescent="0.3">
      <c r="A157" s="40" t="s">
        <v>1436</v>
      </c>
      <c r="B157" s="40" t="s">
        <v>394</v>
      </c>
      <c r="C157" s="51" t="str">
        <f>VLOOKUP(B157,'Sales Order'!A$2:B$1029,1,0)</f>
        <v>SO0156</v>
      </c>
      <c r="D157" s="17" t="s">
        <v>1275</v>
      </c>
      <c r="E157" s="29" t="s">
        <v>170</v>
      </c>
      <c r="F157" s="29" t="s">
        <v>1276</v>
      </c>
      <c r="G157" s="32">
        <v>859350</v>
      </c>
      <c r="H157" s="43">
        <v>0.11</v>
      </c>
      <c r="I157" s="38">
        <v>224522629.5</v>
      </c>
      <c r="J157" s="42">
        <f>'Sales Order'!H157+('Sales Order'!H157*0.11)+Invoice!G157</f>
        <v>224522629.5</v>
      </c>
      <c r="K157" s="41"/>
    </row>
    <row r="158" spans="1:11" ht="15.75" customHeight="1" x14ac:dyDescent="0.3">
      <c r="A158" s="40" t="s">
        <v>1437</v>
      </c>
      <c r="B158" s="40" t="s">
        <v>395</v>
      </c>
      <c r="C158" s="51" t="str">
        <f>VLOOKUP(B158,'Sales Order'!A$2:B$1029,1,0)</f>
        <v>SO0157</v>
      </c>
      <c r="D158" s="17" t="s">
        <v>1275</v>
      </c>
      <c r="E158" s="29" t="s">
        <v>170</v>
      </c>
      <c r="F158" s="29" t="s">
        <v>1295</v>
      </c>
      <c r="G158" s="32">
        <v>859350</v>
      </c>
      <c r="H158" s="43">
        <v>0.11</v>
      </c>
      <c r="I158" s="38">
        <v>340027109.39999998</v>
      </c>
      <c r="J158" s="42">
        <f>'Sales Order'!H158+('Sales Order'!H158*0.11)+Invoice!G158</f>
        <v>340027109.39999998</v>
      </c>
      <c r="K158" s="41"/>
    </row>
    <row r="159" spans="1:11" ht="15.75" customHeight="1" x14ac:dyDescent="0.3">
      <c r="A159" s="40" t="s">
        <v>1438</v>
      </c>
      <c r="B159" s="40" t="s">
        <v>396</v>
      </c>
      <c r="C159" s="51" t="str">
        <f>VLOOKUP(B159,'Sales Order'!A$2:B$1029,1,0)</f>
        <v>SO0158</v>
      </c>
      <c r="D159" s="17" t="s">
        <v>1275</v>
      </c>
      <c r="E159" s="29" t="s">
        <v>2314</v>
      </c>
      <c r="F159" s="29" t="s">
        <v>1288</v>
      </c>
      <c r="G159" s="18">
        <v>808800</v>
      </c>
      <c r="H159" s="43">
        <v>0.11</v>
      </c>
      <c r="I159" s="38">
        <v>41049241.5</v>
      </c>
      <c r="J159" s="42">
        <f>'Sales Order'!H159+('Sales Order'!H159*0.11)+Invoice!G159</f>
        <v>41049241.5</v>
      </c>
      <c r="K159" s="41"/>
    </row>
    <row r="160" spans="1:11" ht="15.75" customHeight="1" x14ac:dyDescent="0.3">
      <c r="A160" s="40" t="s">
        <v>1439</v>
      </c>
      <c r="B160" s="40" t="s">
        <v>397</v>
      </c>
      <c r="C160" s="51" t="str">
        <f>VLOOKUP(B160,'Sales Order'!A$2:B$1029,1,0)</f>
        <v>SO0159</v>
      </c>
      <c r="D160" s="17" t="s">
        <v>1275</v>
      </c>
      <c r="E160" s="29" t="s">
        <v>2316</v>
      </c>
      <c r="F160" s="29" t="s">
        <v>1285</v>
      </c>
      <c r="G160" s="18">
        <v>556050</v>
      </c>
      <c r="H160" s="43">
        <v>0.11</v>
      </c>
      <c r="I160" s="38">
        <v>450777278.10000002</v>
      </c>
      <c r="J160" s="42">
        <f>'Sales Order'!H160+('Sales Order'!H160*0.11)+Invoice!G160</f>
        <v>450777278.10000002</v>
      </c>
      <c r="K160" s="41"/>
    </row>
    <row r="161" spans="1:11" ht="15.75" customHeight="1" x14ac:dyDescent="0.3">
      <c r="A161" s="40" t="s">
        <v>1440</v>
      </c>
      <c r="B161" s="40" t="s">
        <v>398</v>
      </c>
      <c r="C161" s="51" t="str">
        <f>VLOOKUP(B161,'Sales Order'!A$2:B$1029,1,0)</f>
        <v>SO0160</v>
      </c>
      <c r="D161" s="17" t="s">
        <v>1275</v>
      </c>
      <c r="E161" s="29" t="s">
        <v>170</v>
      </c>
      <c r="F161" s="29" t="s">
        <v>1295</v>
      </c>
      <c r="G161" s="32">
        <v>859350</v>
      </c>
      <c r="H161" s="43">
        <v>0.11</v>
      </c>
      <c r="I161" s="38">
        <v>406764138.89999998</v>
      </c>
      <c r="J161" s="42">
        <f>'Sales Order'!H161+('Sales Order'!H161*0.11)+Invoice!G161</f>
        <v>406764138.89999998</v>
      </c>
      <c r="K161" s="41"/>
    </row>
    <row r="162" spans="1:11" ht="15.75" customHeight="1" x14ac:dyDescent="0.3">
      <c r="A162" s="40" t="s">
        <v>1441</v>
      </c>
      <c r="B162" s="40" t="s">
        <v>399</v>
      </c>
      <c r="C162" s="51" t="str">
        <f>VLOOKUP(B162,'Sales Order'!A$2:B$1029,1,0)</f>
        <v>SO0161</v>
      </c>
      <c r="D162" s="17" t="s">
        <v>1275</v>
      </c>
      <c r="E162" s="29" t="s">
        <v>2318</v>
      </c>
      <c r="F162" s="29" t="s">
        <v>1280</v>
      </c>
      <c r="G162" s="32">
        <v>859350</v>
      </c>
      <c r="H162" s="43">
        <v>0.11</v>
      </c>
      <c r="I162" s="38">
        <v>939759776.39999998</v>
      </c>
      <c r="J162" s="42">
        <f>'Sales Order'!H162+('Sales Order'!H162*0.11)+Invoice!G162</f>
        <v>939759776.39999998</v>
      </c>
      <c r="K162" s="41"/>
    </row>
    <row r="163" spans="1:11" ht="15.75" customHeight="1" x14ac:dyDescent="0.3">
      <c r="A163" s="40" t="s">
        <v>1442</v>
      </c>
      <c r="B163" s="40" t="s">
        <v>400</v>
      </c>
      <c r="C163" s="51" t="str">
        <f>VLOOKUP(B163,'Sales Order'!A$2:B$1029,1,0)</f>
        <v>SO0162</v>
      </c>
      <c r="D163" s="17" t="s">
        <v>1275</v>
      </c>
      <c r="E163" s="29" t="s">
        <v>2317</v>
      </c>
      <c r="F163" s="29" t="s">
        <v>1288</v>
      </c>
      <c r="G163" s="32">
        <v>859350</v>
      </c>
      <c r="H163" s="43">
        <v>0.11</v>
      </c>
      <c r="I163" s="38">
        <v>300637538.39999998</v>
      </c>
      <c r="J163" s="42">
        <f>'Sales Order'!H163+('Sales Order'!H163*0.11)+Invoice!G163</f>
        <v>300637538.39999998</v>
      </c>
      <c r="K163" s="41"/>
    </row>
    <row r="164" spans="1:11" ht="15.75" customHeight="1" x14ac:dyDescent="0.3">
      <c r="A164" s="40" t="s">
        <v>1443</v>
      </c>
      <c r="B164" s="40" t="s">
        <v>401</v>
      </c>
      <c r="C164" s="51" t="str">
        <f>VLOOKUP(B164,'Sales Order'!A$2:B$1029,1,0)</f>
        <v>SO0163</v>
      </c>
      <c r="D164" s="17" t="s">
        <v>1279</v>
      </c>
      <c r="E164" s="29" t="s">
        <v>118</v>
      </c>
      <c r="F164" s="29" t="s">
        <v>1288</v>
      </c>
      <c r="G164" s="18">
        <v>8088</v>
      </c>
      <c r="H164" s="43">
        <v>0.11</v>
      </c>
      <c r="I164" s="38">
        <v>81949919.700000003</v>
      </c>
      <c r="J164" s="42">
        <f>'Sales Order'!H164+('Sales Order'!H164*0.11)+Invoice!G164</f>
        <v>81949919.700000003</v>
      </c>
      <c r="K164" s="41"/>
    </row>
    <row r="165" spans="1:11" ht="15.75" customHeight="1" x14ac:dyDescent="0.3">
      <c r="A165" s="40" t="s">
        <v>1444</v>
      </c>
      <c r="B165" s="40" t="s">
        <v>402</v>
      </c>
      <c r="C165" s="51" t="str">
        <f>VLOOKUP(B165,'Sales Order'!A$2:B$1029,1,0)</f>
        <v>SO0164</v>
      </c>
      <c r="D165" s="17" t="s">
        <v>1279</v>
      </c>
      <c r="E165" s="29" t="s">
        <v>118</v>
      </c>
      <c r="F165" s="29" t="s">
        <v>1276</v>
      </c>
      <c r="G165" s="18">
        <v>8088</v>
      </c>
      <c r="H165" s="43">
        <v>0.11</v>
      </c>
      <c r="I165" s="38">
        <v>164346207.59999999</v>
      </c>
      <c r="J165" s="42">
        <f>'Sales Order'!H165+('Sales Order'!H165*0.11)+Invoice!G165</f>
        <v>164346207.59999999</v>
      </c>
      <c r="K165" s="41"/>
    </row>
    <row r="166" spans="1:11" ht="15.75" customHeight="1" x14ac:dyDescent="0.3">
      <c r="A166" s="40" t="s">
        <v>1445</v>
      </c>
      <c r="B166" s="40" t="s">
        <v>403</v>
      </c>
      <c r="C166" s="51" t="str">
        <f>VLOOKUP(B166,'Sales Order'!A$2:B$1029,1,0)</f>
        <v>SO0165</v>
      </c>
      <c r="D166" s="17" t="s">
        <v>1275</v>
      </c>
      <c r="E166" s="29" t="s">
        <v>2318</v>
      </c>
      <c r="F166" s="29" t="s">
        <v>1295</v>
      </c>
      <c r="G166" s="32">
        <v>859350</v>
      </c>
      <c r="H166" s="43">
        <v>0.11</v>
      </c>
      <c r="I166" s="38">
        <v>646464221.10000002</v>
      </c>
      <c r="J166" s="42">
        <f>'Sales Order'!H166+('Sales Order'!H166*0.11)+Invoice!G166</f>
        <v>646464221.10000002</v>
      </c>
      <c r="K166" s="41"/>
    </row>
    <row r="167" spans="1:11" ht="15.75" customHeight="1" x14ac:dyDescent="0.3">
      <c r="A167" s="40" t="s">
        <v>1446</v>
      </c>
      <c r="B167" s="40" t="s">
        <v>404</v>
      </c>
      <c r="C167" s="51" t="str">
        <f>VLOOKUP(B167,'Sales Order'!A$2:B$1029,1,0)</f>
        <v>SO0166</v>
      </c>
      <c r="D167" s="17" t="s">
        <v>1279</v>
      </c>
      <c r="E167" s="29" t="s">
        <v>118</v>
      </c>
      <c r="F167" s="29" t="s">
        <v>1276</v>
      </c>
      <c r="G167" s="18">
        <v>8088</v>
      </c>
      <c r="H167" s="43">
        <v>0.11</v>
      </c>
      <c r="I167" s="38">
        <v>58845658.200000003</v>
      </c>
      <c r="J167" s="42">
        <f>'Sales Order'!H167+('Sales Order'!H167*0.11)+Invoice!G167</f>
        <v>58845658.200000003</v>
      </c>
      <c r="K167" s="41"/>
    </row>
    <row r="168" spans="1:11" ht="15.75" customHeight="1" x14ac:dyDescent="0.3">
      <c r="A168" s="40" t="s">
        <v>1447</v>
      </c>
      <c r="B168" s="40" t="s">
        <v>405</v>
      </c>
      <c r="C168" s="51" t="str">
        <f>VLOOKUP(B168,'Sales Order'!A$2:B$1029,1,0)</f>
        <v>SO0167</v>
      </c>
      <c r="D168" s="17" t="s">
        <v>1275</v>
      </c>
      <c r="E168" s="29" t="s">
        <v>170</v>
      </c>
      <c r="F168" s="29" t="s">
        <v>1285</v>
      </c>
      <c r="G168" s="32">
        <v>859350</v>
      </c>
      <c r="H168" s="43">
        <v>0.11</v>
      </c>
      <c r="I168" s="38">
        <v>971785629.60000002</v>
      </c>
      <c r="J168" s="42">
        <f>'Sales Order'!H168+('Sales Order'!H168*0.11)+Invoice!G168</f>
        <v>971785629.60000002</v>
      </c>
      <c r="K168" s="41"/>
    </row>
    <row r="169" spans="1:11" ht="15.75" customHeight="1" x14ac:dyDescent="0.3">
      <c r="A169" s="40" t="s">
        <v>1448</v>
      </c>
      <c r="B169" s="40" t="s">
        <v>406</v>
      </c>
      <c r="C169" s="51" t="str">
        <f>VLOOKUP(B169,'Sales Order'!A$2:B$1029,1,0)</f>
        <v>SO0168</v>
      </c>
      <c r="D169" s="17" t="s">
        <v>1279</v>
      </c>
      <c r="E169" s="29" t="s">
        <v>2312</v>
      </c>
      <c r="F169" s="29" t="s">
        <v>1285</v>
      </c>
      <c r="G169" s="18">
        <v>32352</v>
      </c>
      <c r="H169" s="43">
        <v>0.11</v>
      </c>
      <c r="I169" s="38">
        <v>789712148.39999998</v>
      </c>
      <c r="J169" s="42">
        <f>'Sales Order'!H169+('Sales Order'!H169*0.11)+Invoice!G169</f>
        <v>789712148.39999998</v>
      </c>
      <c r="K169" s="41"/>
    </row>
    <row r="170" spans="1:11" ht="15.75" customHeight="1" x14ac:dyDescent="0.3">
      <c r="A170" s="40" t="s">
        <v>1449</v>
      </c>
      <c r="B170" s="40" t="s">
        <v>407</v>
      </c>
      <c r="C170" s="51" t="str">
        <f>VLOOKUP(B170,'Sales Order'!A$2:B$1029,1,0)</f>
        <v>SO0169</v>
      </c>
      <c r="D170" s="17" t="s">
        <v>1275</v>
      </c>
      <c r="E170" s="29" t="s">
        <v>2314</v>
      </c>
      <c r="F170" s="29" t="s">
        <v>1280</v>
      </c>
      <c r="G170" s="18">
        <v>808800</v>
      </c>
      <c r="H170" s="43">
        <v>0.11</v>
      </c>
      <c r="I170" s="38">
        <v>395549664</v>
      </c>
      <c r="J170" s="42">
        <f>'Sales Order'!H170+('Sales Order'!H170*0.11)+Invoice!G170</f>
        <v>395549664</v>
      </c>
      <c r="K170" s="41"/>
    </row>
    <row r="171" spans="1:11" ht="15.75" customHeight="1" x14ac:dyDescent="0.3">
      <c r="A171" s="40" t="s">
        <v>1450</v>
      </c>
      <c r="B171" s="40" t="s">
        <v>408</v>
      </c>
      <c r="C171" s="51" t="str">
        <f>VLOOKUP(B171,'Sales Order'!A$2:B$1029,1,0)</f>
        <v>SO0170</v>
      </c>
      <c r="D171" s="17" t="s">
        <v>1279</v>
      </c>
      <c r="E171" s="29" t="s">
        <v>2312</v>
      </c>
      <c r="F171" s="29" t="s">
        <v>1280</v>
      </c>
      <c r="G171" s="18">
        <v>32352</v>
      </c>
      <c r="H171" s="43">
        <v>0.11</v>
      </c>
      <c r="I171" s="38">
        <v>312780435.30000001</v>
      </c>
      <c r="J171" s="42">
        <f>'Sales Order'!H171+('Sales Order'!H171*0.11)+Invoice!G171</f>
        <v>312780435.30000001</v>
      </c>
      <c r="K171" s="41"/>
    </row>
    <row r="172" spans="1:11" ht="15.75" customHeight="1" x14ac:dyDescent="0.3">
      <c r="A172" s="40" t="s">
        <v>1451</v>
      </c>
      <c r="B172" s="40" t="s">
        <v>409</v>
      </c>
      <c r="C172" s="51" t="str">
        <f>VLOOKUP(B172,'Sales Order'!A$2:B$1029,1,0)</f>
        <v>SO0171</v>
      </c>
      <c r="D172" s="17" t="s">
        <v>1279</v>
      </c>
      <c r="E172" s="29" t="s">
        <v>118</v>
      </c>
      <c r="F172" s="29" t="s">
        <v>1276</v>
      </c>
      <c r="G172" s="18">
        <v>8088</v>
      </c>
      <c r="H172" s="43">
        <v>0.11</v>
      </c>
      <c r="I172" s="38">
        <v>41495736.600000001</v>
      </c>
      <c r="J172" s="42">
        <f>'Sales Order'!H172+('Sales Order'!H172*0.11)+Invoice!G172</f>
        <v>41495736.600000001</v>
      </c>
      <c r="K172" s="41"/>
    </row>
    <row r="173" spans="1:11" ht="15.75" customHeight="1" x14ac:dyDescent="0.3">
      <c r="A173" s="40" t="s">
        <v>1452</v>
      </c>
      <c r="B173" s="40" t="s">
        <v>410</v>
      </c>
      <c r="C173" s="51" t="str">
        <f>VLOOKUP(B173,'Sales Order'!A$2:B$1029,1,0)</f>
        <v>SO0172</v>
      </c>
      <c r="D173" s="17" t="s">
        <v>1275</v>
      </c>
      <c r="E173" s="29" t="s">
        <v>2316</v>
      </c>
      <c r="F173" s="29" t="s">
        <v>1285</v>
      </c>
      <c r="G173" s="18">
        <v>556050</v>
      </c>
      <c r="H173" s="43">
        <v>0.11</v>
      </c>
      <c r="I173" s="38">
        <v>541705314.60000002</v>
      </c>
      <c r="J173" s="42">
        <f>'Sales Order'!H173+('Sales Order'!H173*0.11)+Invoice!G173</f>
        <v>541705314.60000002</v>
      </c>
      <c r="K173" s="41"/>
    </row>
    <row r="174" spans="1:11" ht="15.75" customHeight="1" x14ac:dyDescent="0.3">
      <c r="A174" s="40" t="s">
        <v>1453</v>
      </c>
      <c r="B174" s="40" t="s">
        <v>411</v>
      </c>
      <c r="C174" s="51" t="str">
        <f>VLOOKUP(B174,'Sales Order'!A$2:B$1029,1,0)</f>
        <v>SO0173</v>
      </c>
      <c r="D174" s="17" t="s">
        <v>1275</v>
      </c>
      <c r="E174" s="29" t="s">
        <v>2313</v>
      </c>
      <c r="F174" s="29" t="s">
        <v>1295</v>
      </c>
      <c r="G174" s="18">
        <v>808800</v>
      </c>
      <c r="H174" s="43">
        <v>0.11</v>
      </c>
      <c r="I174" s="38">
        <v>303762343.19999999</v>
      </c>
      <c r="J174" s="42">
        <f>'Sales Order'!H174+('Sales Order'!H174*0.11)+Invoice!G174</f>
        <v>303762343.19999999</v>
      </c>
      <c r="K174" s="41"/>
    </row>
    <row r="175" spans="1:11" ht="15.75" customHeight="1" x14ac:dyDescent="0.3">
      <c r="A175" s="40" t="s">
        <v>1454</v>
      </c>
      <c r="B175" s="40" t="s">
        <v>412</v>
      </c>
      <c r="C175" s="51" t="str">
        <f>VLOOKUP(B175,'Sales Order'!A$2:B$1029,1,0)</f>
        <v>SO0174</v>
      </c>
      <c r="D175" s="17" t="s">
        <v>1275</v>
      </c>
      <c r="E175" s="29" t="s">
        <v>2315</v>
      </c>
      <c r="F175" s="29" t="s">
        <v>1280</v>
      </c>
      <c r="G175" s="18">
        <v>556050</v>
      </c>
      <c r="H175" s="43">
        <v>0.11</v>
      </c>
      <c r="I175" s="38">
        <v>349835165.69999999</v>
      </c>
      <c r="J175" s="42">
        <f>'Sales Order'!H175+('Sales Order'!H175*0.11)+Invoice!G175</f>
        <v>349835165.69999999</v>
      </c>
      <c r="K175" s="41"/>
    </row>
    <row r="176" spans="1:11" ht="15.75" customHeight="1" x14ac:dyDescent="0.3">
      <c r="A176" s="40" t="s">
        <v>1455</v>
      </c>
      <c r="B176" s="40" t="s">
        <v>413</v>
      </c>
      <c r="C176" s="51" t="str">
        <f>VLOOKUP(B176,'Sales Order'!A$2:B$1029,1,0)</f>
        <v>SO0175</v>
      </c>
      <c r="D176" s="17" t="s">
        <v>1275</v>
      </c>
      <c r="E176" s="29" t="s">
        <v>2315</v>
      </c>
      <c r="F176" s="29" t="s">
        <v>1288</v>
      </c>
      <c r="G176" s="18">
        <v>556050</v>
      </c>
      <c r="H176" s="43">
        <v>0.11</v>
      </c>
      <c r="I176" s="38">
        <v>75543698.400000006</v>
      </c>
      <c r="J176" s="42">
        <f>'Sales Order'!H176+('Sales Order'!H176*0.11)+Invoice!G176</f>
        <v>75543698.400000006</v>
      </c>
      <c r="K176" s="41"/>
    </row>
    <row r="177" spans="1:11" ht="15.75" customHeight="1" x14ac:dyDescent="0.3">
      <c r="A177" s="40" t="s">
        <v>1456</v>
      </c>
      <c r="B177" s="40" t="s">
        <v>414</v>
      </c>
      <c r="C177" s="51" t="str">
        <f>VLOOKUP(B177,'Sales Order'!A$2:B$1029,1,0)</f>
        <v>SO0176</v>
      </c>
      <c r="D177" s="17" t="s">
        <v>1279</v>
      </c>
      <c r="E177" s="29" t="s">
        <v>118</v>
      </c>
      <c r="F177" s="29" t="s">
        <v>1295</v>
      </c>
      <c r="G177" s="18">
        <v>8088</v>
      </c>
      <c r="H177" s="43">
        <v>0.11</v>
      </c>
      <c r="I177" s="38">
        <v>675343265.70000005</v>
      </c>
      <c r="J177" s="42">
        <f>'Sales Order'!H177+('Sales Order'!H177*0.11)+Invoice!G177</f>
        <v>675343265.70000005</v>
      </c>
      <c r="K177" s="41"/>
    </row>
    <row r="178" spans="1:11" ht="15.75" customHeight="1" x14ac:dyDescent="0.3">
      <c r="A178" s="40" t="s">
        <v>1457</v>
      </c>
      <c r="B178" s="40" t="s">
        <v>415</v>
      </c>
      <c r="C178" s="51" t="str">
        <f>VLOOKUP(B178,'Sales Order'!A$2:B$1029,1,0)</f>
        <v>SO0177</v>
      </c>
      <c r="D178" s="17" t="s">
        <v>1275</v>
      </c>
      <c r="E178" s="29" t="s">
        <v>2314</v>
      </c>
      <c r="F178" s="29" t="s">
        <v>1288</v>
      </c>
      <c r="G178" s="18">
        <v>808800</v>
      </c>
      <c r="H178" s="43">
        <v>0.11</v>
      </c>
      <c r="I178" s="38">
        <v>273976292.39999998</v>
      </c>
      <c r="J178" s="42">
        <f>'Sales Order'!H178+('Sales Order'!H178*0.11)+Invoice!G178</f>
        <v>273976292.39999998</v>
      </c>
      <c r="K178" s="41"/>
    </row>
    <row r="179" spans="1:11" ht="15.75" customHeight="1" x14ac:dyDescent="0.3">
      <c r="A179" s="40" t="s">
        <v>1458</v>
      </c>
      <c r="B179" s="40" t="s">
        <v>416</v>
      </c>
      <c r="C179" s="51" t="str">
        <f>VLOOKUP(B179,'Sales Order'!A$2:B$1029,1,0)</f>
        <v>SO0178</v>
      </c>
      <c r="D179" s="17" t="s">
        <v>1275</v>
      </c>
      <c r="E179" s="29" t="s">
        <v>2316</v>
      </c>
      <c r="F179" s="29" t="s">
        <v>1285</v>
      </c>
      <c r="G179" s="18">
        <v>556050</v>
      </c>
      <c r="H179" s="43">
        <v>0.11</v>
      </c>
      <c r="I179" s="38">
        <v>999120619.20000005</v>
      </c>
      <c r="J179" s="42">
        <f>'Sales Order'!H179+('Sales Order'!H179*0.11)+Invoice!G179</f>
        <v>999120619.20000005</v>
      </c>
      <c r="K179" s="41"/>
    </row>
    <row r="180" spans="1:11" ht="15.75" customHeight="1" x14ac:dyDescent="0.3">
      <c r="A180" s="40" t="s">
        <v>1459</v>
      </c>
      <c r="B180" s="40" t="s">
        <v>417</v>
      </c>
      <c r="C180" s="51" t="str">
        <f>VLOOKUP(B180,'Sales Order'!A$2:B$1029,1,0)</f>
        <v>SO0179</v>
      </c>
      <c r="D180" s="17" t="s">
        <v>1275</v>
      </c>
      <c r="E180" s="29" t="s">
        <v>2313</v>
      </c>
      <c r="F180" s="29" t="s">
        <v>1288</v>
      </c>
      <c r="G180" s="18">
        <v>808800</v>
      </c>
      <c r="H180" s="43">
        <v>0.11</v>
      </c>
      <c r="I180" s="38">
        <v>41097870.600000001</v>
      </c>
      <c r="J180" s="42">
        <f>'Sales Order'!H180+('Sales Order'!H180*0.11)+Invoice!G180</f>
        <v>41097870.600000001</v>
      </c>
      <c r="K180" s="41"/>
    </row>
    <row r="181" spans="1:11" ht="15.75" customHeight="1" x14ac:dyDescent="0.3">
      <c r="A181" s="40" t="s">
        <v>1460</v>
      </c>
      <c r="B181" s="40" t="s">
        <v>418</v>
      </c>
      <c r="C181" s="51" t="str">
        <f>VLOOKUP(B181,'Sales Order'!A$2:B$1029,1,0)</f>
        <v>SO0180</v>
      </c>
      <c r="D181" s="17" t="s">
        <v>1275</v>
      </c>
      <c r="E181" s="29" t="s">
        <v>143</v>
      </c>
      <c r="F181" s="29" t="s">
        <v>1295</v>
      </c>
      <c r="G181" s="32">
        <v>859350</v>
      </c>
      <c r="H181" s="43">
        <v>0.11</v>
      </c>
      <c r="I181" s="38">
        <v>458819220.60000002</v>
      </c>
      <c r="J181" s="42">
        <f>'Sales Order'!H181+('Sales Order'!H181*0.11)+Invoice!G181</f>
        <v>458819220.60000002</v>
      </c>
      <c r="K181" s="41"/>
    </row>
    <row r="182" spans="1:11" ht="15.75" customHeight="1" x14ac:dyDescent="0.3">
      <c r="A182" s="40" t="s">
        <v>1461</v>
      </c>
      <c r="B182" s="40" t="s">
        <v>419</v>
      </c>
      <c r="C182" s="51" t="str">
        <f>VLOOKUP(B182,'Sales Order'!A$2:B$1029,1,0)</f>
        <v>SO0181</v>
      </c>
      <c r="D182" s="17" t="s">
        <v>1279</v>
      </c>
      <c r="E182" s="29" t="s">
        <v>2312</v>
      </c>
      <c r="F182" s="29" t="s">
        <v>1288</v>
      </c>
      <c r="G182" s="18">
        <v>32352</v>
      </c>
      <c r="H182" s="43">
        <v>0.11</v>
      </c>
      <c r="I182" s="38">
        <v>151117282.5</v>
      </c>
      <c r="J182" s="42">
        <f>'Sales Order'!H182+('Sales Order'!H182*0.11)+Invoice!G182</f>
        <v>151117282.5</v>
      </c>
      <c r="K182" s="41"/>
    </row>
    <row r="183" spans="1:11" ht="15.75" customHeight="1" x14ac:dyDescent="0.3">
      <c r="A183" s="40" t="s">
        <v>1462</v>
      </c>
      <c r="B183" s="40" t="s">
        <v>420</v>
      </c>
      <c r="C183" s="51" t="str">
        <f>VLOOKUP(B183,'Sales Order'!A$2:B$1029,1,0)</f>
        <v>SO0182</v>
      </c>
      <c r="D183" s="17" t="s">
        <v>1275</v>
      </c>
      <c r="E183" s="29" t="s">
        <v>143</v>
      </c>
      <c r="F183" s="29" t="s">
        <v>1295</v>
      </c>
      <c r="G183" s="32">
        <v>859350</v>
      </c>
      <c r="H183" s="43">
        <v>0.11</v>
      </c>
      <c r="I183" s="38">
        <v>282537390</v>
      </c>
      <c r="J183" s="42">
        <f>'Sales Order'!H183+('Sales Order'!H183*0.11)+Invoice!G183</f>
        <v>282537390</v>
      </c>
      <c r="K183" s="41"/>
    </row>
    <row r="184" spans="1:11" ht="15.75" customHeight="1" x14ac:dyDescent="0.3">
      <c r="A184" s="40" t="s">
        <v>1463</v>
      </c>
      <c r="B184" s="40" t="s">
        <v>421</v>
      </c>
      <c r="C184" s="51" t="str">
        <f>VLOOKUP(B184,'Sales Order'!A$2:B$1029,1,0)</f>
        <v>SO0183</v>
      </c>
      <c r="D184" s="17" t="s">
        <v>1275</v>
      </c>
      <c r="E184" s="29" t="s">
        <v>2313</v>
      </c>
      <c r="F184" s="29" t="s">
        <v>1276</v>
      </c>
      <c r="G184" s="18">
        <v>808800</v>
      </c>
      <c r="H184" s="43">
        <v>0.11</v>
      </c>
      <c r="I184" s="38">
        <v>255406061.22</v>
      </c>
      <c r="J184" s="42">
        <f>'Sales Order'!H184+('Sales Order'!H184*0.11)+Invoice!G184</f>
        <v>255406061.22</v>
      </c>
      <c r="K184" s="41"/>
    </row>
    <row r="185" spans="1:11" ht="15.75" customHeight="1" x14ac:dyDescent="0.3">
      <c r="A185" s="40" t="s">
        <v>1464</v>
      </c>
      <c r="B185" s="40" t="s">
        <v>422</v>
      </c>
      <c r="C185" s="51" t="str">
        <f>VLOOKUP(B185,'Sales Order'!A$2:B$1029,1,0)</f>
        <v>SO0184</v>
      </c>
      <c r="D185" s="17" t="s">
        <v>1279</v>
      </c>
      <c r="E185" s="29" t="s">
        <v>118</v>
      </c>
      <c r="F185" s="29" t="s">
        <v>1276</v>
      </c>
      <c r="G185" s="18">
        <v>8088</v>
      </c>
      <c r="H185" s="43">
        <v>0.11</v>
      </c>
      <c r="I185" s="38">
        <v>306444511.5</v>
      </c>
      <c r="J185" s="42">
        <f>'Sales Order'!H185+('Sales Order'!H185*0.11)+Invoice!G185</f>
        <v>306444511.5</v>
      </c>
      <c r="K185" s="41"/>
    </row>
    <row r="186" spans="1:11" ht="15.75" customHeight="1" x14ac:dyDescent="0.3">
      <c r="A186" s="40" t="s">
        <v>1465</v>
      </c>
      <c r="B186" s="40" t="s">
        <v>423</v>
      </c>
      <c r="C186" s="51" t="str">
        <f>VLOOKUP(B186,'Sales Order'!A$2:B$1029,1,0)</f>
        <v>SO0185</v>
      </c>
      <c r="D186" s="17" t="s">
        <v>1275</v>
      </c>
      <c r="E186" s="29" t="s">
        <v>143</v>
      </c>
      <c r="F186" s="29" t="s">
        <v>1280</v>
      </c>
      <c r="G186" s="32">
        <v>859350</v>
      </c>
      <c r="H186" s="43">
        <v>0.11</v>
      </c>
      <c r="I186" s="38">
        <v>543274092.29999995</v>
      </c>
      <c r="J186" s="42">
        <f>'Sales Order'!H186+('Sales Order'!H186*0.11)+Invoice!G186</f>
        <v>543274092.29999995</v>
      </c>
      <c r="K186" s="41"/>
    </row>
    <row r="187" spans="1:11" ht="15.75" customHeight="1" x14ac:dyDescent="0.3">
      <c r="A187" s="40" t="s">
        <v>1466</v>
      </c>
      <c r="B187" s="40" t="s">
        <v>424</v>
      </c>
      <c r="C187" s="51" t="str">
        <f>VLOOKUP(B187,'Sales Order'!A$2:B$1029,1,0)</f>
        <v>SO0186</v>
      </c>
      <c r="D187" s="17" t="s">
        <v>1275</v>
      </c>
      <c r="E187" s="29" t="s">
        <v>2314</v>
      </c>
      <c r="F187" s="29" t="s">
        <v>1276</v>
      </c>
      <c r="G187" s="18">
        <v>808800</v>
      </c>
      <c r="H187" s="43">
        <v>0.11</v>
      </c>
      <c r="I187" s="38">
        <v>1884390</v>
      </c>
      <c r="J187" s="42">
        <f>'Sales Order'!H187+('Sales Order'!H187*0.11)+Invoice!G187</f>
        <v>1884390</v>
      </c>
      <c r="K187" s="41"/>
    </row>
    <row r="188" spans="1:11" ht="15.75" customHeight="1" x14ac:dyDescent="0.3">
      <c r="A188" s="40" t="s">
        <v>1467</v>
      </c>
      <c r="B188" s="40" t="s">
        <v>425</v>
      </c>
      <c r="C188" s="51" t="str">
        <f>VLOOKUP(B188,'Sales Order'!A$2:B$1029,1,0)</f>
        <v>SO0187</v>
      </c>
      <c r="D188" s="17" t="s">
        <v>1275</v>
      </c>
      <c r="E188" s="29" t="s">
        <v>2314</v>
      </c>
      <c r="F188" s="29" t="s">
        <v>1288</v>
      </c>
      <c r="G188" s="18">
        <v>808800</v>
      </c>
      <c r="H188" s="43">
        <v>0.11</v>
      </c>
      <c r="I188" s="38">
        <v>102270037.2</v>
      </c>
      <c r="J188" s="42">
        <f>'Sales Order'!H188+('Sales Order'!H188*0.11)+Invoice!G188</f>
        <v>102270037.2</v>
      </c>
      <c r="K188" s="41"/>
    </row>
    <row r="189" spans="1:11" ht="15.75" customHeight="1" x14ac:dyDescent="0.3">
      <c r="A189" s="40" t="s">
        <v>1468</v>
      </c>
      <c r="B189" s="40" t="s">
        <v>426</v>
      </c>
      <c r="C189" s="51" t="str">
        <f>VLOOKUP(B189,'Sales Order'!A$2:B$1029,1,0)</f>
        <v>SO0188</v>
      </c>
      <c r="D189" s="17" t="s">
        <v>1275</v>
      </c>
      <c r="E189" s="29" t="s">
        <v>2316</v>
      </c>
      <c r="F189" s="29" t="s">
        <v>1285</v>
      </c>
      <c r="G189" s="18">
        <v>556050</v>
      </c>
      <c r="H189" s="43">
        <v>0.11</v>
      </c>
      <c r="I189" s="38">
        <v>1055218973.58</v>
      </c>
      <c r="J189" s="42">
        <f>'Sales Order'!H189+('Sales Order'!H189*0.11)+Invoice!G189</f>
        <v>1055218973.58</v>
      </c>
      <c r="K189" s="41"/>
    </row>
    <row r="190" spans="1:11" ht="15.75" customHeight="1" x14ac:dyDescent="0.3">
      <c r="A190" s="40" t="s">
        <v>1469</v>
      </c>
      <c r="B190" s="40" t="s">
        <v>427</v>
      </c>
      <c r="C190" s="51" t="str">
        <f>VLOOKUP(B190,'Sales Order'!A$2:B$1029,1,0)</f>
        <v>SO0189</v>
      </c>
      <c r="D190" s="17" t="s">
        <v>1275</v>
      </c>
      <c r="E190" s="29" t="s">
        <v>2313</v>
      </c>
      <c r="F190" s="29" t="s">
        <v>1288</v>
      </c>
      <c r="G190" s="18">
        <v>808800</v>
      </c>
      <c r="H190" s="43">
        <v>0.11</v>
      </c>
      <c r="I190" s="38">
        <v>236306400</v>
      </c>
      <c r="J190" s="42">
        <f>'Sales Order'!H190+('Sales Order'!H190*0.11)+Invoice!G190</f>
        <v>236306400</v>
      </c>
      <c r="K190" s="41"/>
    </row>
    <row r="191" spans="1:11" ht="15.75" customHeight="1" x14ac:dyDescent="0.3">
      <c r="A191" s="40" t="s">
        <v>1470</v>
      </c>
      <c r="B191" s="40" t="s">
        <v>428</v>
      </c>
      <c r="C191" s="51" t="str">
        <f>VLOOKUP(B191,'Sales Order'!A$2:B$1029,1,0)</f>
        <v>SO0190</v>
      </c>
      <c r="D191" s="17" t="s">
        <v>1279</v>
      </c>
      <c r="E191" s="29" t="s">
        <v>2312</v>
      </c>
      <c r="F191" s="29" t="s">
        <v>1276</v>
      </c>
      <c r="G191" s="18">
        <v>32352</v>
      </c>
      <c r="H191" s="43">
        <v>0.11</v>
      </c>
      <c r="I191" s="38">
        <v>188947192.5</v>
      </c>
      <c r="J191" s="42">
        <f>'Sales Order'!H191+('Sales Order'!H191*0.11)+Invoice!G191</f>
        <v>188947192.5</v>
      </c>
      <c r="K191" s="41"/>
    </row>
    <row r="192" spans="1:11" ht="15.75" customHeight="1" x14ac:dyDescent="0.3">
      <c r="A192" s="40" t="s">
        <v>1471</v>
      </c>
      <c r="B192" s="40" t="s">
        <v>429</v>
      </c>
      <c r="C192" s="51" t="str">
        <f>VLOOKUP(B192,'Sales Order'!A$2:B$1029,1,0)</f>
        <v>SO0191</v>
      </c>
      <c r="D192" s="17" t="s">
        <v>1275</v>
      </c>
      <c r="E192" s="29" t="s">
        <v>170</v>
      </c>
      <c r="F192" s="29" t="s">
        <v>1276</v>
      </c>
      <c r="G192" s="32">
        <v>859350</v>
      </c>
      <c r="H192" s="43">
        <v>0.11</v>
      </c>
      <c r="I192" s="38">
        <v>61111226.700000003</v>
      </c>
      <c r="J192" s="42">
        <f>'Sales Order'!H192+('Sales Order'!H192*0.11)+Invoice!G192</f>
        <v>61111226.700000003</v>
      </c>
      <c r="K192" s="41"/>
    </row>
    <row r="193" spans="1:11" ht="15.75" customHeight="1" x14ac:dyDescent="0.3">
      <c r="A193" s="40" t="s">
        <v>1472</v>
      </c>
      <c r="B193" s="40" t="s">
        <v>430</v>
      </c>
      <c r="C193" s="51" t="str">
        <f>VLOOKUP(B193,'Sales Order'!A$2:B$1029,1,0)</f>
        <v>SO0192</v>
      </c>
      <c r="D193" s="17" t="s">
        <v>1279</v>
      </c>
      <c r="E193" s="29" t="s">
        <v>2312</v>
      </c>
      <c r="F193" s="29" t="s">
        <v>1295</v>
      </c>
      <c r="G193" s="18">
        <v>32352</v>
      </c>
      <c r="H193" s="43">
        <v>0.11</v>
      </c>
      <c r="I193" s="38">
        <v>290381268</v>
      </c>
      <c r="J193" s="42">
        <f>'Sales Order'!H193+('Sales Order'!H193*0.11)+Invoice!G193</f>
        <v>290381268</v>
      </c>
      <c r="K193" s="41"/>
    </row>
    <row r="194" spans="1:11" ht="15.75" customHeight="1" x14ac:dyDescent="0.3">
      <c r="A194" s="40" t="s">
        <v>1473</v>
      </c>
      <c r="B194" s="40" t="s">
        <v>431</v>
      </c>
      <c r="C194" s="51" t="str">
        <f>VLOOKUP(B194,'Sales Order'!A$2:B$1029,1,0)</f>
        <v>SO0193</v>
      </c>
      <c r="D194" s="17" t="s">
        <v>1275</v>
      </c>
      <c r="E194" s="29" t="s">
        <v>170</v>
      </c>
      <c r="F194" s="29" t="s">
        <v>1285</v>
      </c>
      <c r="G194" s="32">
        <v>859350</v>
      </c>
      <c r="H194" s="43">
        <v>0.11</v>
      </c>
      <c r="I194" s="38">
        <v>443332793.63999999</v>
      </c>
      <c r="J194" s="42">
        <f>'Sales Order'!H194+('Sales Order'!H194*0.11)+Invoice!G194</f>
        <v>443332793.63999999</v>
      </c>
      <c r="K194" s="41"/>
    </row>
    <row r="195" spans="1:11" ht="15.75" customHeight="1" x14ac:dyDescent="0.3">
      <c r="A195" s="40" t="s">
        <v>1474</v>
      </c>
      <c r="B195" s="40" t="s">
        <v>432</v>
      </c>
      <c r="C195" s="51" t="str">
        <f>VLOOKUP(B195,'Sales Order'!A$2:B$1029,1,0)</f>
        <v>SO0194</v>
      </c>
      <c r="D195" s="17" t="s">
        <v>1279</v>
      </c>
      <c r="E195" s="29" t="s">
        <v>2312</v>
      </c>
      <c r="F195" s="29" t="s">
        <v>1276</v>
      </c>
      <c r="G195" s="18">
        <v>32352</v>
      </c>
      <c r="H195" s="43">
        <v>0.11</v>
      </c>
      <c r="I195" s="38">
        <v>35651497.200000003</v>
      </c>
      <c r="J195" s="42">
        <f>'Sales Order'!H195+('Sales Order'!H195*0.11)+Invoice!G195</f>
        <v>35651497.200000003</v>
      </c>
      <c r="K195" s="41"/>
    </row>
    <row r="196" spans="1:11" ht="15.75" customHeight="1" x14ac:dyDescent="0.3">
      <c r="A196" s="40" t="s">
        <v>1475</v>
      </c>
      <c r="B196" s="40" t="s">
        <v>433</v>
      </c>
      <c r="C196" s="51" t="str">
        <f>VLOOKUP(B196,'Sales Order'!A$2:B$1029,1,0)</f>
        <v>SO0195</v>
      </c>
      <c r="D196" s="17" t="s">
        <v>1275</v>
      </c>
      <c r="E196" s="29" t="s">
        <v>143</v>
      </c>
      <c r="F196" s="29" t="s">
        <v>1276</v>
      </c>
      <c r="G196" s="32">
        <v>859350</v>
      </c>
      <c r="H196" s="43">
        <v>0.11</v>
      </c>
      <c r="I196" s="38">
        <v>8356778.4000000004</v>
      </c>
      <c r="J196" s="42">
        <f>'Sales Order'!H196+('Sales Order'!H196*0.11)+Invoice!G196</f>
        <v>8356778.4000000004</v>
      </c>
      <c r="K196" s="41"/>
    </row>
    <row r="197" spans="1:11" ht="15.75" customHeight="1" x14ac:dyDescent="0.3">
      <c r="A197" s="40" t="s">
        <v>1476</v>
      </c>
      <c r="B197" s="40" t="s">
        <v>434</v>
      </c>
      <c r="C197" s="51" t="str">
        <f>VLOOKUP(B197,'Sales Order'!A$2:B$1029,1,0)</f>
        <v>SO0196</v>
      </c>
      <c r="D197" s="17" t="s">
        <v>1275</v>
      </c>
      <c r="E197" s="29" t="s">
        <v>170</v>
      </c>
      <c r="F197" s="29" t="s">
        <v>1276</v>
      </c>
      <c r="G197" s="32">
        <v>859350</v>
      </c>
      <c r="H197" s="43">
        <v>0.11</v>
      </c>
      <c r="I197" s="38">
        <v>169271325</v>
      </c>
      <c r="J197" s="42">
        <f>'Sales Order'!H197+('Sales Order'!H197*0.11)+Invoice!G197</f>
        <v>169271325</v>
      </c>
      <c r="K197" s="41"/>
    </row>
    <row r="198" spans="1:11" ht="15.75" customHeight="1" x14ac:dyDescent="0.3">
      <c r="A198" s="40" t="s">
        <v>1477</v>
      </c>
      <c r="B198" s="40" t="s">
        <v>435</v>
      </c>
      <c r="C198" s="51" t="str">
        <f>VLOOKUP(B198,'Sales Order'!A$2:B$1029,1,0)</f>
        <v>SO0197</v>
      </c>
      <c r="D198" s="17" t="s">
        <v>1275</v>
      </c>
      <c r="E198" s="29" t="s">
        <v>170</v>
      </c>
      <c r="F198" s="29" t="s">
        <v>1285</v>
      </c>
      <c r="G198" s="32">
        <v>859350</v>
      </c>
      <c r="H198" s="43">
        <v>0.11</v>
      </c>
      <c r="I198" s="38">
        <v>363829760.69999999</v>
      </c>
      <c r="J198" s="42">
        <f>'Sales Order'!H198+('Sales Order'!H198*0.11)+Invoice!G198</f>
        <v>363829760.69999999</v>
      </c>
      <c r="K198" s="41"/>
    </row>
    <row r="199" spans="1:11" ht="15.75" customHeight="1" x14ac:dyDescent="0.3">
      <c r="A199" s="40" t="s">
        <v>1478</v>
      </c>
      <c r="B199" s="40" t="s">
        <v>436</v>
      </c>
      <c r="C199" s="51" t="str">
        <f>VLOOKUP(B199,'Sales Order'!A$2:B$1029,1,0)</f>
        <v>SO0198</v>
      </c>
      <c r="D199" s="17" t="s">
        <v>1275</v>
      </c>
      <c r="E199" s="29" t="s">
        <v>170</v>
      </c>
      <c r="F199" s="29" t="s">
        <v>1276</v>
      </c>
      <c r="G199" s="32">
        <v>859350</v>
      </c>
      <c r="H199" s="43">
        <v>0.11</v>
      </c>
      <c r="I199" s="38">
        <v>127846213.8</v>
      </c>
      <c r="J199" s="42">
        <f>'Sales Order'!H199+('Sales Order'!H199*0.11)+Invoice!G199</f>
        <v>127846213.8</v>
      </c>
      <c r="K199" s="41"/>
    </row>
    <row r="200" spans="1:11" ht="15.75" customHeight="1" x14ac:dyDescent="0.3">
      <c r="A200" s="40" t="s">
        <v>1479</v>
      </c>
      <c r="B200" s="40" t="s">
        <v>437</v>
      </c>
      <c r="C200" s="51" t="str">
        <f>VLOOKUP(B200,'Sales Order'!A$2:B$1029,1,0)</f>
        <v>SO0199</v>
      </c>
      <c r="D200" s="17" t="s">
        <v>1275</v>
      </c>
      <c r="E200" s="29" t="s">
        <v>170</v>
      </c>
      <c r="F200" s="29" t="s">
        <v>1280</v>
      </c>
      <c r="G200" s="32">
        <v>859350</v>
      </c>
      <c r="H200" s="43">
        <v>0.11</v>
      </c>
      <c r="I200" s="38">
        <v>708382063.5</v>
      </c>
      <c r="J200" s="42">
        <f>'Sales Order'!H200+('Sales Order'!H200*0.11)+Invoice!G200</f>
        <v>708382063.5</v>
      </c>
      <c r="K200" s="41"/>
    </row>
    <row r="201" spans="1:11" ht="15.75" customHeight="1" x14ac:dyDescent="0.3">
      <c r="A201" s="40" t="s">
        <v>1480</v>
      </c>
      <c r="B201" s="40" t="s">
        <v>438</v>
      </c>
      <c r="C201" s="51" t="str">
        <f>VLOOKUP(B201,'Sales Order'!A$2:B$1029,1,0)</f>
        <v>SO0200</v>
      </c>
      <c r="D201" s="17" t="s">
        <v>1275</v>
      </c>
      <c r="E201" s="29" t="s">
        <v>2317</v>
      </c>
      <c r="F201" s="29" t="s">
        <v>1288</v>
      </c>
      <c r="G201" s="32">
        <v>859350</v>
      </c>
      <c r="H201" s="43">
        <v>0.11</v>
      </c>
      <c r="I201" s="38">
        <v>106097661.90000001</v>
      </c>
      <c r="J201" s="42">
        <f>'Sales Order'!H201+('Sales Order'!H201*0.11)+Invoice!G201</f>
        <v>106097661.90000001</v>
      </c>
      <c r="K201" s="41"/>
    </row>
    <row r="202" spans="1:11" ht="15.75" customHeight="1" x14ac:dyDescent="0.3">
      <c r="A202" s="40" t="s">
        <v>1481</v>
      </c>
      <c r="B202" s="40" t="s">
        <v>439</v>
      </c>
      <c r="C202" s="51" t="str">
        <f>VLOOKUP(B202,'Sales Order'!A$2:B$1029,1,0)</f>
        <v>SO0201</v>
      </c>
      <c r="D202" s="17" t="s">
        <v>1275</v>
      </c>
      <c r="E202" s="29" t="s">
        <v>2314</v>
      </c>
      <c r="F202" s="29" t="s">
        <v>1288</v>
      </c>
      <c r="G202" s="18">
        <v>808800</v>
      </c>
      <c r="H202" s="43">
        <v>0.11</v>
      </c>
      <c r="I202" s="38">
        <v>113832829.5</v>
      </c>
      <c r="J202" s="42">
        <f>'Sales Order'!H202+('Sales Order'!H202*0.11)+Invoice!G202</f>
        <v>113832829.5</v>
      </c>
      <c r="K202" s="41"/>
    </row>
    <row r="203" spans="1:11" ht="15.75" customHeight="1" x14ac:dyDescent="0.3">
      <c r="A203" s="40" t="s">
        <v>1482</v>
      </c>
      <c r="B203" s="40" t="s">
        <v>440</v>
      </c>
      <c r="C203" s="51" t="str">
        <f>VLOOKUP(B203,'Sales Order'!A$2:B$1029,1,0)</f>
        <v>SO0202</v>
      </c>
      <c r="D203" s="17" t="s">
        <v>1275</v>
      </c>
      <c r="E203" s="29" t="s">
        <v>2318</v>
      </c>
      <c r="F203" s="29" t="s">
        <v>1288</v>
      </c>
      <c r="G203" s="32">
        <v>859350</v>
      </c>
      <c r="H203" s="43">
        <v>0.11</v>
      </c>
      <c r="I203" s="38">
        <v>52603254.299999997</v>
      </c>
      <c r="J203" s="42">
        <f>'Sales Order'!H203+('Sales Order'!H203*0.11)+Invoice!G203</f>
        <v>52603254.299999997</v>
      </c>
      <c r="K203" s="41"/>
    </row>
    <row r="204" spans="1:11" ht="15.75" customHeight="1" x14ac:dyDescent="0.3">
      <c r="A204" s="40" t="s">
        <v>1483</v>
      </c>
      <c r="B204" s="40" t="s">
        <v>441</v>
      </c>
      <c r="C204" s="51" t="str">
        <f>VLOOKUP(B204,'Sales Order'!A$2:B$1029,1,0)</f>
        <v>SO0203</v>
      </c>
      <c r="D204" s="17" t="s">
        <v>1275</v>
      </c>
      <c r="E204" s="29" t="s">
        <v>170</v>
      </c>
      <c r="F204" s="29" t="s">
        <v>1285</v>
      </c>
      <c r="G204" s="32">
        <v>859350</v>
      </c>
      <c r="H204" s="43">
        <v>0.11</v>
      </c>
      <c r="I204" s="38">
        <v>623284479.60000002</v>
      </c>
      <c r="J204" s="42">
        <f>'Sales Order'!H204+('Sales Order'!H204*0.11)+Invoice!G204</f>
        <v>623284479.60000002</v>
      </c>
      <c r="K204" s="41"/>
    </row>
    <row r="205" spans="1:11" ht="15.75" customHeight="1" x14ac:dyDescent="0.3">
      <c r="A205" s="40" t="s">
        <v>1484</v>
      </c>
      <c r="B205" s="40" t="s">
        <v>442</v>
      </c>
      <c r="C205" s="51" t="str">
        <f>VLOOKUP(B205,'Sales Order'!A$2:B$1029,1,0)</f>
        <v>SO0204</v>
      </c>
      <c r="D205" s="17" t="s">
        <v>1275</v>
      </c>
      <c r="E205" s="29" t="s">
        <v>2316</v>
      </c>
      <c r="F205" s="29" t="s">
        <v>1295</v>
      </c>
      <c r="G205" s="18">
        <v>556050</v>
      </c>
      <c r="H205" s="43">
        <v>0.11</v>
      </c>
      <c r="I205" s="38">
        <v>403128741</v>
      </c>
      <c r="J205" s="42">
        <f>'Sales Order'!H205+('Sales Order'!H205*0.11)+Invoice!G205</f>
        <v>403128741</v>
      </c>
      <c r="K205" s="41"/>
    </row>
    <row r="206" spans="1:11" ht="15.75" customHeight="1" x14ac:dyDescent="0.3">
      <c r="A206" s="40" t="s">
        <v>1485</v>
      </c>
      <c r="B206" s="40" t="s">
        <v>443</v>
      </c>
      <c r="C206" s="51" t="str">
        <f>VLOOKUP(B206,'Sales Order'!A$2:B$1029,1,0)</f>
        <v>SO0205</v>
      </c>
      <c r="D206" s="17" t="s">
        <v>1275</v>
      </c>
      <c r="E206" s="29" t="s">
        <v>143</v>
      </c>
      <c r="F206" s="29" t="s">
        <v>1280</v>
      </c>
      <c r="G206" s="32">
        <v>859350</v>
      </c>
      <c r="H206" s="43">
        <v>0.11</v>
      </c>
      <c r="I206" s="38">
        <v>814658247.60000002</v>
      </c>
      <c r="J206" s="42">
        <f>'Sales Order'!H206+('Sales Order'!H206*0.11)+Invoice!G206</f>
        <v>814658247.60000002</v>
      </c>
      <c r="K206" s="41"/>
    </row>
    <row r="207" spans="1:11" ht="15.75" customHeight="1" x14ac:dyDescent="0.3">
      <c r="A207" s="40" t="s">
        <v>1486</v>
      </c>
      <c r="B207" s="40" t="s">
        <v>444</v>
      </c>
      <c r="C207" s="51" t="str">
        <f>VLOOKUP(B207,'Sales Order'!A$2:B$1029,1,0)</f>
        <v>SO0206</v>
      </c>
      <c r="D207" s="17" t="s">
        <v>1275</v>
      </c>
      <c r="E207" s="29" t="s">
        <v>2318</v>
      </c>
      <c r="F207" s="29" t="s">
        <v>1285</v>
      </c>
      <c r="G207" s="32">
        <v>859350</v>
      </c>
      <c r="H207" s="43">
        <v>0.11</v>
      </c>
      <c r="I207" s="38">
        <v>317249376.60000002</v>
      </c>
      <c r="J207" s="42">
        <f>'Sales Order'!H207+('Sales Order'!H207*0.11)+Invoice!G207</f>
        <v>317249376.60000002</v>
      </c>
      <c r="K207" s="41"/>
    </row>
    <row r="208" spans="1:11" ht="15.75" customHeight="1" x14ac:dyDescent="0.3">
      <c r="A208" s="40" t="s">
        <v>1487</v>
      </c>
      <c r="B208" s="40" t="s">
        <v>445</v>
      </c>
      <c r="C208" s="51" t="str">
        <f>VLOOKUP(B208,'Sales Order'!A$2:B$1029,1,0)</f>
        <v>SO0207</v>
      </c>
      <c r="D208" s="17" t="s">
        <v>1279</v>
      </c>
      <c r="E208" s="29" t="s">
        <v>118</v>
      </c>
      <c r="F208" s="29" t="s">
        <v>1280</v>
      </c>
      <c r="G208" s="18">
        <v>8088</v>
      </c>
      <c r="H208" s="43">
        <v>0.11</v>
      </c>
      <c r="I208" s="38">
        <v>352656642</v>
      </c>
      <c r="J208" s="42">
        <f>'Sales Order'!H208+('Sales Order'!H208*0.11)+Invoice!G208</f>
        <v>352656642</v>
      </c>
      <c r="K208" s="41"/>
    </row>
    <row r="209" spans="1:11" ht="15.75" customHeight="1" x14ac:dyDescent="0.3">
      <c r="A209" s="40" t="s">
        <v>1488</v>
      </c>
      <c r="B209" s="40" t="s">
        <v>446</v>
      </c>
      <c r="C209" s="51" t="str">
        <f>VLOOKUP(B209,'Sales Order'!A$2:B$1029,1,0)</f>
        <v>SO0208</v>
      </c>
      <c r="D209" s="17" t="s">
        <v>1279</v>
      </c>
      <c r="E209" s="29" t="s">
        <v>2312</v>
      </c>
      <c r="F209" s="29" t="s">
        <v>1288</v>
      </c>
      <c r="G209" s="18">
        <v>32352</v>
      </c>
      <c r="H209" s="43">
        <v>0.11</v>
      </c>
      <c r="I209" s="38">
        <v>109756196.09999999</v>
      </c>
      <c r="J209" s="42">
        <f>'Sales Order'!H209+('Sales Order'!H209*0.11)+Invoice!G209</f>
        <v>109756196.09999999</v>
      </c>
      <c r="K209" s="41"/>
    </row>
    <row r="210" spans="1:11" ht="15.75" customHeight="1" x14ac:dyDescent="0.3">
      <c r="A210" s="40" t="s">
        <v>1489</v>
      </c>
      <c r="B210" s="40" t="s">
        <v>447</v>
      </c>
      <c r="C210" s="51" t="str">
        <f>VLOOKUP(B210,'Sales Order'!A$2:B$1029,1,0)</f>
        <v>SO0209</v>
      </c>
      <c r="D210" s="17" t="s">
        <v>1275</v>
      </c>
      <c r="E210" s="29" t="s">
        <v>143</v>
      </c>
      <c r="F210" s="29" t="s">
        <v>1276</v>
      </c>
      <c r="G210" s="32">
        <v>859350</v>
      </c>
      <c r="H210" s="43">
        <v>0.11</v>
      </c>
      <c r="I210" s="38">
        <v>52187970</v>
      </c>
      <c r="J210" s="42">
        <f>'Sales Order'!H210+('Sales Order'!H210*0.11)+Invoice!G210</f>
        <v>52187970</v>
      </c>
      <c r="K210" s="41"/>
    </row>
    <row r="211" spans="1:11" ht="15.75" customHeight="1" x14ac:dyDescent="0.3">
      <c r="A211" s="40" t="s">
        <v>1490</v>
      </c>
      <c r="B211" s="40" t="s">
        <v>448</v>
      </c>
      <c r="C211" s="51" t="str">
        <f>VLOOKUP(B211,'Sales Order'!A$2:B$1029,1,0)</f>
        <v>SO0210</v>
      </c>
      <c r="D211" s="17" t="s">
        <v>1275</v>
      </c>
      <c r="E211" s="29" t="s">
        <v>170</v>
      </c>
      <c r="F211" s="29" t="s">
        <v>1288</v>
      </c>
      <c r="G211" s="32">
        <v>859350</v>
      </c>
      <c r="H211" s="43">
        <v>0.11</v>
      </c>
      <c r="I211" s="38">
        <v>164316273.90000001</v>
      </c>
      <c r="J211" s="42">
        <f>'Sales Order'!H211+('Sales Order'!H211*0.11)+Invoice!G211</f>
        <v>164316273.90000001</v>
      </c>
      <c r="K211" s="41"/>
    </row>
    <row r="212" spans="1:11" ht="15.75" customHeight="1" x14ac:dyDescent="0.3">
      <c r="A212" s="40" t="s">
        <v>1491</v>
      </c>
      <c r="B212" s="40" t="s">
        <v>449</v>
      </c>
      <c r="C212" s="51" t="str">
        <f>VLOOKUP(B212,'Sales Order'!A$2:B$1029,1,0)</f>
        <v>SO0211</v>
      </c>
      <c r="D212" s="17" t="s">
        <v>1275</v>
      </c>
      <c r="E212" s="29" t="s">
        <v>2318</v>
      </c>
      <c r="F212" s="29" t="s">
        <v>1276</v>
      </c>
      <c r="G212" s="32">
        <v>859350</v>
      </c>
      <c r="H212" s="43">
        <v>0.11</v>
      </c>
      <c r="I212" s="38">
        <v>235092715.5</v>
      </c>
      <c r="J212" s="42">
        <f>'Sales Order'!H212+('Sales Order'!H212*0.11)+Invoice!G212</f>
        <v>235092715.5</v>
      </c>
      <c r="K212" s="41"/>
    </row>
    <row r="213" spans="1:11" ht="15.75" customHeight="1" x14ac:dyDescent="0.3">
      <c r="A213" s="40" t="s">
        <v>1492</v>
      </c>
      <c r="B213" s="40" t="s">
        <v>450</v>
      </c>
      <c r="C213" s="51" t="str">
        <f>VLOOKUP(B213,'Sales Order'!A$2:B$1029,1,0)</f>
        <v>SO0212</v>
      </c>
      <c r="D213" s="17" t="s">
        <v>1275</v>
      </c>
      <c r="E213" s="29" t="s">
        <v>2314</v>
      </c>
      <c r="F213" s="29" t="s">
        <v>1288</v>
      </c>
      <c r="G213" s="18">
        <v>808800</v>
      </c>
      <c r="H213" s="43">
        <v>0.11</v>
      </c>
      <c r="I213" s="38">
        <v>105415799.40000001</v>
      </c>
      <c r="J213" s="42">
        <f>'Sales Order'!H213+('Sales Order'!H213*0.11)+Invoice!G213</f>
        <v>105415799.40000001</v>
      </c>
      <c r="K213" s="41"/>
    </row>
    <row r="214" spans="1:11" ht="15.75" customHeight="1" x14ac:dyDescent="0.3">
      <c r="A214" s="40" t="s">
        <v>1493</v>
      </c>
      <c r="B214" s="40" t="s">
        <v>451</v>
      </c>
      <c r="C214" s="51" t="str">
        <f>VLOOKUP(B214,'Sales Order'!A$2:B$1029,1,0)</f>
        <v>SO0213</v>
      </c>
      <c r="D214" s="17" t="s">
        <v>1275</v>
      </c>
      <c r="E214" s="29" t="s">
        <v>2314</v>
      </c>
      <c r="F214" s="29" t="s">
        <v>1295</v>
      </c>
      <c r="G214" s="18">
        <v>808800</v>
      </c>
      <c r="H214" s="43">
        <v>0.11</v>
      </c>
      <c r="I214" s="38">
        <v>544287654.89999998</v>
      </c>
      <c r="J214" s="42">
        <f>'Sales Order'!H214+('Sales Order'!H214*0.11)+Invoice!G214</f>
        <v>544287654.89999998</v>
      </c>
      <c r="K214" s="41"/>
    </row>
    <row r="215" spans="1:11" ht="15.75" customHeight="1" x14ac:dyDescent="0.3">
      <c r="A215" s="40" t="s">
        <v>1494</v>
      </c>
      <c r="B215" s="40" t="s">
        <v>452</v>
      </c>
      <c r="C215" s="51" t="str">
        <f>VLOOKUP(B215,'Sales Order'!A$2:B$1029,1,0)</f>
        <v>SO0214</v>
      </c>
      <c r="D215" s="17" t="s">
        <v>1275</v>
      </c>
      <c r="E215" s="29" t="s">
        <v>170</v>
      </c>
      <c r="F215" s="29" t="s">
        <v>1285</v>
      </c>
      <c r="G215" s="32">
        <v>859350</v>
      </c>
      <c r="H215" s="43">
        <v>0.11</v>
      </c>
      <c r="I215" s="38">
        <v>493633260.60000002</v>
      </c>
      <c r="J215" s="42">
        <f>'Sales Order'!H215+('Sales Order'!H215*0.11)+Invoice!G215</f>
        <v>493633260.60000002</v>
      </c>
      <c r="K215" s="41"/>
    </row>
    <row r="216" spans="1:11" ht="15.75" customHeight="1" x14ac:dyDescent="0.3">
      <c r="A216" s="40" t="s">
        <v>1495</v>
      </c>
      <c r="B216" s="40" t="s">
        <v>453</v>
      </c>
      <c r="C216" s="51" t="str">
        <f>VLOOKUP(B216,'Sales Order'!A$2:B$1029,1,0)</f>
        <v>SO0215</v>
      </c>
      <c r="D216" s="17" t="s">
        <v>1275</v>
      </c>
      <c r="E216" s="29" t="s">
        <v>2318</v>
      </c>
      <c r="F216" s="29" t="s">
        <v>1295</v>
      </c>
      <c r="G216" s="32">
        <v>859350</v>
      </c>
      <c r="H216" s="43">
        <v>0.11</v>
      </c>
      <c r="I216" s="38">
        <v>372431461.5</v>
      </c>
      <c r="J216" s="42">
        <f>'Sales Order'!H216+('Sales Order'!H216*0.11)+Invoice!G216</f>
        <v>372431461.5</v>
      </c>
      <c r="K216" s="41"/>
    </row>
    <row r="217" spans="1:11" ht="15.75" customHeight="1" x14ac:dyDescent="0.3">
      <c r="A217" s="40" t="s">
        <v>1496</v>
      </c>
      <c r="B217" s="40" t="s">
        <v>454</v>
      </c>
      <c r="C217" s="51" t="str">
        <f>VLOOKUP(B217,'Sales Order'!A$2:B$1029,1,0)</f>
        <v>SO0216</v>
      </c>
      <c r="D217" s="17" t="s">
        <v>1275</v>
      </c>
      <c r="E217" s="29" t="s">
        <v>2317</v>
      </c>
      <c r="F217" s="29" t="s">
        <v>1288</v>
      </c>
      <c r="G217" s="32">
        <v>859350</v>
      </c>
      <c r="H217" s="43">
        <v>0.11</v>
      </c>
      <c r="I217" s="38">
        <v>136165341.90000001</v>
      </c>
      <c r="J217" s="42">
        <f>'Sales Order'!H217+('Sales Order'!H217*0.11)+Invoice!G217</f>
        <v>136165341.90000001</v>
      </c>
      <c r="K217" s="41"/>
    </row>
    <row r="218" spans="1:11" ht="15.75" customHeight="1" x14ac:dyDescent="0.3">
      <c r="A218" s="40" t="s">
        <v>1497</v>
      </c>
      <c r="B218" s="40" t="s">
        <v>455</v>
      </c>
      <c r="C218" s="51" t="str">
        <f>VLOOKUP(B218,'Sales Order'!A$2:B$1029,1,0)</f>
        <v>SO0217</v>
      </c>
      <c r="D218" s="17" t="s">
        <v>1275</v>
      </c>
      <c r="E218" s="29" t="s">
        <v>170</v>
      </c>
      <c r="F218" s="29" t="s">
        <v>1288</v>
      </c>
      <c r="G218" s="32">
        <v>859350</v>
      </c>
      <c r="H218" s="43">
        <v>0.11</v>
      </c>
      <c r="I218" s="38">
        <v>12236972.1</v>
      </c>
      <c r="J218" s="42">
        <f>'Sales Order'!H218+('Sales Order'!H218*0.11)+Invoice!G218</f>
        <v>12236972.1</v>
      </c>
      <c r="K218" s="41"/>
    </row>
    <row r="219" spans="1:11" ht="15.75" customHeight="1" x14ac:dyDescent="0.3">
      <c r="A219" s="40" t="s">
        <v>1498</v>
      </c>
      <c r="B219" s="40" t="s">
        <v>456</v>
      </c>
      <c r="C219" s="51" t="str">
        <f>VLOOKUP(B219,'Sales Order'!A$2:B$1029,1,0)</f>
        <v>SO0218</v>
      </c>
      <c r="D219" s="17" t="s">
        <v>1275</v>
      </c>
      <c r="E219" s="29" t="s">
        <v>2316</v>
      </c>
      <c r="F219" s="29" t="s">
        <v>1276</v>
      </c>
      <c r="G219" s="18">
        <v>556050</v>
      </c>
      <c r="H219" s="43">
        <v>0.11</v>
      </c>
      <c r="I219" s="38">
        <v>57600282</v>
      </c>
      <c r="J219" s="42">
        <f>'Sales Order'!H219+('Sales Order'!H219*0.11)+Invoice!G219</f>
        <v>57600282</v>
      </c>
      <c r="K219" s="41"/>
    </row>
    <row r="220" spans="1:11" ht="15.75" customHeight="1" x14ac:dyDescent="0.3">
      <c r="A220" s="40" t="s">
        <v>1499</v>
      </c>
      <c r="B220" s="40" t="s">
        <v>457</v>
      </c>
      <c r="C220" s="51" t="str">
        <f>VLOOKUP(B220,'Sales Order'!A$2:B$1029,1,0)</f>
        <v>SO0219</v>
      </c>
      <c r="D220" s="17" t="s">
        <v>1275</v>
      </c>
      <c r="E220" s="29" t="s">
        <v>2316</v>
      </c>
      <c r="F220" s="29" t="s">
        <v>1285</v>
      </c>
      <c r="G220" s="18">
        <v>556050</v>
      </c>
      <c r="H220" s="43">
        <v>0.11</v>
      </c>
      <c r="I220" s="38">
        <v>298205147.39999998</v>
      </c>
      <c r="J220" s="42">
        <f>'Sales Order'!H220+('Sales Order'!H220*0.11)+Invoice!G220</f>
        <v>298205147.39999998</v>
      </c>
      <c r="K220" s="41"/>
    </row>
    <row r="221" spans="1:11" ht="15.75" customHeight="1" x14ac:dyDescent="0.3">
      <c r="A221" s="40" t="s">
        <v>1500</v>
      </c>
      <c r="B221" s="40" t="s">
        <v>458</v>
      </c>
      <c r="C221" s="51" t="str">
        <f>VLOOKUP(B221,'Sales Order'!A$2:B$1029,1,0)</f>
        <v>SO0220</v>
      </c>
      <c r="D221" s="17" t="s">
        <v>1275</v>
      </c>
      <c r="E221" s="29" t="s">
        <v>2314</v>
      </c>
      <c r="F221" s="29" t="s">
        <v>1295</v>
      </c>
      <c r="G221" s="18">
        <v>808800</v>
      </c>
      <c r="H221" s="43">
        <v>0.11</v>
      </c>
      <c r="I221" s="38">
        <v>478042311</v>
      </c>
      <c r="J221" s="42">
        <f>'Sales Order'!H221+('Sales Order'!H221*0.11)+Invoice!G221</f>
        <v>478042311</v>
      </c>
      <c r="K221" s="41"/>
    </row>
    <row r="222" spans="1:11" ht="15.75" customHeight="1" x14ac:dyDescent="0.3">
      <c r="A222" s="40" t="s">
        <v>1501</v>
      </c>
      <c r="B222" s="40" t="s">
        <v>459</v>
      </c>
      <c r="C222" s="51" t="str">
        <f>VLOOKUP(B222,'Sales Order'!A$2:B$1029,1,0)</f>
        <v>SO0221</v>
      </c>
      <c r="D222" s="17" t="s">
        <v>1275</v>
      </c>
      <c r="E222" s="29" t="s">
        <v>2313</v>
      </c>
      <c r="F222" s="29" t="s">
        <v>1288</v>
      </c>
      <c r="G222" s="18">
        <v>808800</v>
      </c>
      <c r="H222" s="43">
        <v>0.11</v>
      </c>
      <c r="I222" s="38">
        <v>32438405.399999999</v>
      </c>
      <c r="J222" s="42">
        <f>'Sales Order'!H222+('Sales Order'!H222*0.11)+Invoice!G222</f>
        <v>32438405.399999999</v>
      </c>
      <c r="K222" s="41"/>
    </row>
    <row r="223" spans="1:11" ht="15.75" customHeight="1" x14ac:dyDescent="0.3">
      <c r="A223" s="40" t="s">
        <v>1502</v>
      </c>
      <c r="B223" s="40" t="s">
        <v>460</v>
      </c>
      <c r="C223" s="51" t="str">
        <f>VLOOKUP(B223,'Sales Order'!A$2:B$1029,1,0)</f>
        <v>SO0222</v>
      </c>
      <c r="D223" s="17" t="s">
        <v>1275</v>
      </c>
      <c r="E223" s="29" t="s">
        <v>143</v>
      </c>
      <c r="F223" s="29" t="s">
        <v>1285</v>
      </c>
      <c r="G223" s="32">
        <v>859350</v>
      </c>
      <c r="H223" s="43">
        <v>0.11</v>
      </c>
      <c r="I223" s="38">
        <v>347694367.80000001</v>
      </c>
      <c r="J223" s="42">
        <f>'Sales Order'!H223+('Sales Order'!H223*0.11)+Invoice!G223</f>
        <v>347694367.80000001</v>
      </c>
      <c r="K223" s="41"/>
    </row>
    <row r="224" spans="1:11" ht="15.75" customHeight="1" x14ac:dyDescent="0.3">
      <c r="A224" s="40" t="s">
        <v>1503</v>
      </c>
      <c r="B224" s="40" t="s">
        <v>461</v>
      </c>
      <c r="C224" s="51" t="str">
        <f>VLOOKUP(B224,'Sales Order'!A$2:B$1029,1,0)</f>
        <v>SO0223</v>
      </c>
      <c r="D224" s="17" t="s">
        <v>1279</v>
      </c>
      <c r="E224" s="29" t="s">
        <v>118</v>
      </c>
      <c r="F224" s="29" t="s">
        <v>1285</v>
      </c>
      <c r="G224" s="18">
        <v>8088</v>
      </c>
      <c r="H224" s="43">
        <v>0.11</v>
      </c>
      <c r="I224" s="38">
        <v>775823695.79999995</v>
      </c>
      <c r="J224" s="42">
        <f>'Sales Order'!H224+('Sales Order'!H224*0.11)+Invoice!G224</f>
        <v>775823695.79999995</v>
      </c>
      <c r="K224" s="41"/>
    </row>
    <row r="225" spans="1:11" ht="15.75" customHeight="1" x14ac:dyDescent="0.3">
      <c r="A225" s="40" t="s">
        <v>1504</v>
      </c>
      <c r="B225" s="40" t="s">
        <v>462</v>
      </c>
      <c r="C225" s="51" t="str">
        <f>VLOOKUP(B225,'Sales Order'!A$2:B$1029,1,0)</f>
        <v>SO0224</v>
      </c>
      <c r="D225" s="17" t="s">
        <v>1275</v>
      </c>
      <c r="E225" s="29" t="s">
        <v>2318</v>
      </c>
      <c r="F225" s="29" t="s">
        <v>1285</v>
      </c>
      <c r="G225" s="32">
        <v>859350</v>
      </c>
      <c r="H225" s="43">
        <v>0.11</v>
      </c>
      <c r="I225" s="38">
        <v>1055805581.1</v>
      </c>
      <c r="J225" s="42">
        <f>'Sales Order'!H225+('Sales Order'!H225*0.11)+Invoice!G225</f>
        <v>1055805581.1</v>
      </c>
      <c r="K225" s="41"/>
    </row>
    <row r="226" spans="1:11" ht="15.75" customHeight="1" x14ac:dyDescent="0.3">
      <c r="A226" s="40" t="s">
        <v>1505</v>
      </c>
      <c r="B226" s="40" t="s">
        <v>463</v>
      </c>
      <c r="C226" s="51" t="str">
        <f>VLOOKUP(B226,'Sales Order'!A$2:B$1029,1,0)</f>
        <v>SO0225</v>
      </c>
      <c r="D226" s="17" t="s">
        <v>1279</v>
      </c>
      <c r="E226" s="29" t="s">
        <v>118</v>
      </c>
      <c r="F226" s="29" t="s">
        <v>1276</v>
      </c>
      <c r="G226" s="18">
        <v>8088</v>
      </c>
      <c r="H226" s="43">
        <v>0.11</v>
      </c>
      <c r="I226" s="38">
        <v>183417206.40000001</v>
      </c>
      <c r="J226" s="42">
        <f>'Sales Order'!H226+('Sales Order'!H226*0.11)+Invoice!G226</f>
        <v>183417206.40000001</v>
      </c>
      <c r="K226" s="41"/>
    </row>
    <row r="227" spans="1:11" ht="15.75" customHeight="1" x14ac:dyDescent="0.3">
      <c r="A227" s="40" t="s">
        <v>1506</v>
      </c>
      <c r="B227" s="40" t="s">
        <v>464</v>
      </c>
      <c r="C227" s="51" t="str">
        <f>VLOOKUP(B227,'Sales Order'!A$2:B$1029,1,0)</f>
        <v>SO0226</v>
      </c>
      <c r="D227" s="17" t="s">
        <v>1275</v>
      </c>
      <c r="E227" s="29" t="s">
        <v>2313</v>
      </c>
      <c r="F227" s="29" t="s">
        <v>1276</v>
      </c>
      <c r="G227" s="18">
        <v>808800</v>
      </c>
      <c r="H227" s="43">
        <v>0.11</v>
      </c>
      <c r="I227" s="38">
        <v>222959682.30000001</v>
      </c>
      <c r="J227" s="42">
        <f>'Sales Order'!H227+('Sales Order'!H227*0.11)+Invoice!G227</f>
        <v>222959682.30000001</v>
      </c>
      <c r="K227" s="41"/>
    </row>
    <row r="228" spans="1:11" ht="15.75" customHeight="1" x14ac:dyDescent="0.3">
      <c r="A228" s="40" t="s">
        <v>1507</v>
      </c>
      <c r="B228" s="40" t="s">
        <v>465</v>
      </c>
      <c r="C228" s="51" t="str">
        <f>VLOOKUP(B228,'Sales Order'!A$2:B$1029,1,0)</f>
        <v>SO0227</v>
      </c>
      <c r="D228" s="17" t="s">
        <v>1279</v>
      </c>
      <c r="E228" s="29" t="s">
        <v>118</v>
      </c>
      <c r="F228" s="29" t="s">
        <v>1276</v>
      </c>
      <c r="G228" s="18">
        <v>8088</v>
      </c>
      <c r="H228" s="43">
        <v>0.11</v>
      </c>
      <c r="I228" s="38">
        <v>81418318.5</v>
      </c>
      <c r="J228" s="42">
        <f>'Sales Order'!H228+('Sales Order'!H228*0.11)+Invoice!G228</f>
        <v>81418318.5</v>
      </c>
      <c r="K228" s="41"/>
    </row>
    <row r="229" spans="1:11" ht="15.75" customHeight="1" x14ac:dyDescent="0.3">
      <c r="A229" s="40" t="s">
        <v>1508</v>
      </c>
      <c r="B229" s="40" t="s">
        <v>466</v>
      </c>
      <c r="C229" s="51" t="str">
        <f>VLOOKUP(B229,'Sales Order'!A$2:B$1029,1,0)</f>
        <v>SO0228</v>
      </c>
      <c r="D229" s="17" t="s">
        <v>1275</v>
      </c>
      <c r="E229" s="29" t="s">
        <v>2314</v>
      </c>
      <c r="F229" s="29" t="s">
        <v>1285</v>
      </c>
      <c r="G229" s="18">
        <v>808800</v>
      </c>
      <c r="H229" s="43">
        <v>0.11</v>
      </c>
      <c r="I229" s="38">
        <v>518190877.80000001</v>
      </c>
      <c r="J229" s="42">
        <f>'Sales Order'!H229+('Sales Order'!H229*0.11)+Invoice!G229</f>
        <v>518190877.80000001</v>
      </c>
      <c r="K229" s="41"/>
    </row>
    <row r="230" spans="1:11" ht="15.75" customHeight="1" x14ac:dyDescent="0.3">
      <c r="A230" s="40" t="s">
        <v>1509</v>
      </c>
      <c r="B230" s="40" t="s">
        <v>467</v>
      </c>
      <c r="C230" s="51" t="str">
        <f>VLOOKUP(B230,'Sales Order'!A$2:B$1029,1,0)</f>
        <v>SO0229</v>
      </c>
      <c r="D230" s="17" t="s">
        <v>1279</v>
      </c>
      <c r="E230" s="29" t="s">
        <v>118</v>
      </c>
      <c r="F230" s="29" t="s">
        <v>1285</v>
      </c>
      <c r="G230" s="18">
        <v>8088</v>
      </c>
      <c r="H230" s="43">
        <v>0.11</v>
      </c>
      <c r="I230" s="38">
        <v>383882296.19999999</v>
      </c>
      <c r="J230" s="42">
        <f>'Sales Order'!H230+('Sales Order'!H230*0.11)+Invoice!G230</f>
        <v>383882296.19999999</v>
      </c>
      <c r="K230" s="41"/>
    </row>
    <row r="231" spans="1:11" ht="15.75" customHeight="1" x14ac:dyDescent="0.3">
      <c r="A231" s="40" t="s">
        <v>1510</v>
      </c>
      <c r="B231" s="40" t="s">
        <v>468</v>
      </c>
      <c r="C231" s="51" t="str">
        <f>VLOOKUP(B231,'Sales Order'!A$2:B$1029,1,0)</f>
        <v>SO0230</v>
      </c>
      <c r="D231" s="17" t="s">
        <v>1275</v>
      </c>
      <c r="E231" s="29" t="s">
        <v>2316</v>
      </c>
      <c r="F231" s="29" t="s">
        <v>1288</v>
      </c>
      <c r="G231" s="18">
        <v>556050</v>
      </c>
      <c r="H231" s="43">
        <v>0.11</v>
      </c>
      <c r="I231" s="38">
        <v>43322574</v>
      </c>
      <c r="J231" s="42">
        <f>'Sales Order'!H231+('Sales Order'!H231*0.11)+Invoice!G231</f>
        <v>43322574</v>
      </c>
      <c r="K231" s="41"/>
    </row>
    <row r="232" spans="1:11" ht="15.75" customHeight="1" x14ac:dyDescent="0.3">
      <c r="A232" s="40" t="s">
        <v>1511</v>
      </c>
      <c r="B232" s="40" t="s">
        <v>469</v>
      </c>
      <c r="C232" s="51" t="str">
        <f>VLOOKUP(B232,'Sales Order'!A$2:B$1029,1,0)</f>
        <v>SO0231</v>
      </c>
      <c r="D232" s="17" t="s">
        <v>1275</v>
      </c>
      <c r="E232" s="29" t="s">
        <v>2313</v>
      </c>
      <c r="F232" s="29" t="s">
        <v>1288</v>
      </c>
      <c r="G232" s="18">
        <v>808800</v>
      </c>
      <c r="H232" s="43">
        <v>0.11</v>
      </c>
      <c r="I232" s="38">
        <v>240147188.69999999</v>
      </c>
      <c r="J232" s="42">
        <f>'Sales Order'!H232+('Sales Order'!H232*0.11)+Invoice!G232</f>
        <v>240147188.69999999</v>
      </c>
      <c r="K232" s="41"/>
    </row>
    <row r="233" spans="1:11" ht="15.75" customHeight="1" x14ac:dyDescent="0.3">
      <c r="A233" s="40" t="s">
        <v>1512</v>
      </c>
      <c r="B233" s="40" t="s">
        <v>470</v>
      </c>
      <c r="C233" s="51" t="str">
        <f>VLOOKUP(B233,'Sales Order'!A$2:B$1029,1,0)</f>
        <v>SO0232</v>
      </c>
      <c r="D233" s="17" t="s">
        <v>1275</v>
      </c>
      <c r="E233" s="29" t="s">
        <v>170</v>
      </c>
      <c r="F233" s="29" t="s">
        <v>1288</v>
      </c>
      <c r="G233" s="32">
        <v>859350</v>
      </c>
      <c r="H233" s="43">
        <v>0.11</v>
      </c>
      <c r="I233" s="38">
        <v>32655966</v>
      </c>
      <c r="J233" s="42">
        <f>'Sales Order'!H233+('Sales Order'!H233*0.11)+Invoice!G233</f>
        <v>32655966</v>
      </c>
      <c r="K233" s="41"/>
    </row>
    <row r="234" spans="1:11" ht="15.75" customHeight="1" x14ac:dyDescent="0.3">
      <c r="A234" s="40" t="s">
        <v>1513</v>
      </c>
      <c r="B234" s="40" t="s">
        <v>471</v>
      </c>
      <c r="C234" s="51" t="str">
        <f>VLOOKUP(B234,'Sales Order'!A$2:B$1029,1,0)</f>
        <v>SO0233</v>
      </c>
      <c r="D234" s="17" t="s">
        <v>1279</v>
      </c>
      <c r="E234" s="29" t="s">
        <v>2312</v>
      </c>
      <c r="F234" s="29" t="s">
        <v>1276</v>
      </c>
      <c r="G234" s="18">
        <v>32352</v>
      </c>
      <c r="H234" s="43">
        <v>0.11</v>
      </c>
      <c r="I234" s="38">
        <v>149421213.59999999</v>
      </c>
      <c r="J234" s="42">
        <f>'Sales Order'!H234+('Sales Order'!H234*0.11)+Invoice!G234</f>
        <v>149421213.59999999</v>
      </c>
      <c r="K234" s="41"/>
    </row>
    <row r="235" spans="1:11" ht="15.75" customHeight="1" x14ac:dyDescent="0.3">
      <c r="A235" s="40" t="s">
        <v>1514</v>
      </c>
      <c r="B235" s="40" t="s">
        <v>472</v>
      </c>
      <c r="C235" s="51" t="str">
        <f>VLOOKUP(B235,'Sales Order'!A$2:B$1029,1,0)</f>
        <v>SO0234</v>
      </c>
      <c r="D235" s="17" t="s">
        <v>1279</v>
      </c>
      <c r="E235" s="29" t="s">
        <v>118</v>
      </c>
      <c r="F235" s="29" t="s">
        <v>1276</v>
      </c>
      <c r="G235" s="18">
        <v>8088</v>
      </c>
      <c r="H235" s="43">
        <v>0.11</v>
      </c>
      <c r="I235" s="38">
        <v>121074789</v>
      </c>
      <c r="J235" s="42">
        <f>'Sales Order'!H235+('Sales Order'!H235*0.11)+Invoice!G235</f>
        <v>121074789</v>
      </c>
      <c r="K235" s="41"/>
    </row>
    <row r="236" spans="1:11" ht="15.75" customHeight="1" x14ac:dyDescent="0.3">
      <c r="A236" s="40" t="s">
        <v>1515</v>
      </c>
      <c r="B236" s="40" t="s">
        <v>473</v>
      </c>
      <c r="C236" s="51" t="str">
        <f>VLOOKUP(B236,'Sales Order'!A$2:B$1029,1,0)</f>
        <v>SO0235</v>
      </c>
      <c r="D236" s="17" t="s">
        <v>1275</v>
      </c>
      <c r="E236" s="29" t="s">
        <v>2320</v>
      </c>
      <c r="F236" s="29" t="s">
        <v>1285</v>
      </c>
      <c r="G236" s="32">
        <v>758250</v>
      </c>
      <c r="H236" s="43">
        <v>0.11</v>
      </c>
      <c r="I236" s="38">
        <v>378051690</v>
      </c>
      <c r="J236" s="42">
        <f>'Sales Order'!H236+('Sales Order'!H236*0.11)+Invoice!G236</f>
        <v>378051690</v>
      </c>
      <c r="K236" s="41"/>
    </row>
    <row r="237" spans="1:11" ht="15.75" customHeight="1" x14ac:dyDescent="0.3">
      <c r="A237" s="40" t="s">
        <v>1516</v>
      </c>
      <c r="B237" s="40" t="s">
        <v>474</v>
      </c>
      <c r="C237" s="51" t="str">
        <f>VLOOKUP(B237,'Sales Order'!A$2:B$1029,1,0)</f>
        <v>SO0236</v>
      </c>
      <c r="D237" s="17" t="s">
        <v>1275</v>
      </c>
      <c r="E237" s="29" t="s">
        <v>2315</v>
      </c>
      <c r="F237" s="29" t="s">
        <v>1276</v>
      </c>
      <c r="G237" s="18">
        <v>556050</v>
      </c>
      <c r="H237" s="43">
        <v>0.11</v>
      </c>
      <c r="I237" s="38">
        <v>106988422.2</v>
      </c>
      <c r="J237" s="42">
        <f>'Sales Order'!H237+('Sales Order'!H237*0.11)+Invoice!G237</f>
        <v>106988422.2</v>
      </c>
      <c r="K237" s="41"/>
    </row>
    <row r="238" spans="1:11" ht="15.75" customHeight="1" x14ac:dyDescent="0.3">
      <c r="A238" s="40" t="s">
        <v>1517</v>
      </c>
      <c r="B238" s="40" t="s">
        <v>475</v>
      </c>
      <c r="C238" s="51" t="str">
        <f>VLOOKUP(B238,'Sales Order'!A$2:B$1029,1,0)</f>
        <v>SO0237</v>
      </c>
      <c r="D238" s="17" t="s">
        <v>1275</v>
      </c>
      <c r="E238" s="29" t="s">
        <v>170</v>
      </c>
      <c r="F238" s="29" t="s">
        <v>1295</v>
      </c>
      <c r="G238" s="32">
        <v>859350</v>
      </c>
      <c r="H238" s="43">
        <v>0.11</v>
      </c>
      <c r="I238" s="38">
        <v>320639116.80000001</v>
      </c>
      <c r="J238" s="42">
        <f>'Sales Order'!H238+('Sales Order'!H238*0.11)+Invoice!G238</f>
        <v>320639116.80000001</v>
      </c>
      <c r="K238" s="41"/>
    </row>
    <row r="239" spans="1:11" ht="15.75" customHeight="1" x14ac:dyDescent="0.3">
      <c r="A239" s="40" t="s">
        <v>1518</v>
      </c>
      <c r="B239" s="40" t="s">
        <v>476</v>
      </c>
      <c r="C239" s="51" t="str">
        <f>VLOOKUP(B239,'Sales Order'!A$2:B$1029,1,0)</f>
        <v>SO0238</v>
      </c>
      <c r="D239" s="17" t="s">
        <v>1275</v>
      </c>
      <c r="E239" s="29" t="s">
        <v>2313</v>
      </c>
      <c r="F239" s="29" t="s">
        <v>1295</v>
      </c>
      <c r="G239" s="18">
        <v>808800</v>
      </c>
      <c r="H239" s="43">
        <v>0.11</v>
      </c>
      <c r="I239" s="38">
        <v>561242305.5</v>
      </c>
      <c r="J239" s="42">
        <f>'Sales Order'!H239+('Sales Order'!H239*0.11)+Invoice!G239</f>
        <v>561242305.5</v>
      </c>
      <c r="K239" s="41"/>
    </row>
    <row r="240" spans="1:11" ht="15.75" customHeight="1" x14ac:dyDescent="0.3">
      <c r="A240" s="40" t="s">
        <v>1519</v>
      </c>
      <c r="B240" s="40" t="s">
        <v>477</v>
      </c>
      <c r="C240" s="51" t="str">
        <f>VLOOKUP(B240,'Sales Order'!A$2:B$1029,1,0)</f>
        <v>SO0239</v>
      </c>
      <c r="D240" s="17" t="s">
        <v>1275</v>
      </c>
      <c r="E240" s="29" t="s">
        <v>2314</v>
      </c>
      <c r="F240" s="29" t="s">
        <v>1288</v>
      </c>
      <c r="G240" s="18">
        <v>808800</v>
      </c>
      <c r="H240" s="43">
        <v>0.11</v>
      </c>
      <c r="I240" s="38">
        <v>98970495.599999994</v>
      </c>
      <c r="J240" s="42">
        <f>'Sales Order'!H240+('Sales Order'!H240*0.11)+Invoice!G240</f>
        <v>98970495.599999994</v>
      </c>
      <c r="K240" s="41"/>
    </row>
    <row r="241" spans="1:11" ht="15.75" customHeight="1" x14ac:dyDescent="0.3">
      <c r="A241" s="40" t="s">
        <v>1520</v>
      </c>
      <c r="B241" s="40" t="s">
        <v>478</v>
      </c>
      <c r="C241" s="51" t="str">
        <f>VLOOKUP(B241,'Sales Order'!A$2:B$1029,1,0)</f>
        <v>SO0240</v>
      </c>
      <c r="D241" s="17" t="s">
        <v>1275</v>
      </c>
      <c r="E241" s="29" t="s">
        <v>2314</v>
      </c>
      <c r="F241" s="29" t="s">
        <v>1288</v>
      </c>
      <c r="G241" s="18">
        <v>808800</v>
      </c>
      <c r="H241" s="43">
        <v>0.11</v>
      </c>
      <c r="I241" s="38">
        <v>103370637.72</v>
      </c>
      <c r="J241" s="42">
        <f>'Sales Order'!H241+('Sales Order'!H241*0.11)+Invoice!G241</f>
        <v>103370637.72</v>
      </c>
      <c r="K241" s="41"/>
    </row>
    <row r="242" spans="1:11" ht="15.75" customHeight="1" x14ac:dyDescent="0.3">
      <c r="A242" s="40" t="s">
        <v>1521</v>
      </c>
      <c r="B242" s="40" t="s">
        <v>479</v>
      </c>
      <c r="C242" s="51" t="str">
        <f>VLOOKUP(B242,'Sales Order'!A$2:B$1029,1,0)</f>
        <v>SO0241</v>
      </c>
      <c r="D242" s="17" t="s">
        <v>1275</v>
      </c>
      <c r="E242" s="29" t="s">
        <v>143</v>
      </c>
      <c r="F242" s="29" t="s">
        <v>1276</v>
      </c>
      <c r="G242" s="32">
        <v>859350</v>
      </c>
      <c r="H242" s="43">
        <v>0.11</v>
      </c>
      <c r="I242" s="38">
        <v>9960961.5</v>
      </c>
      <c r="J242" s="42">
        <f>'Sales Order'!H242+('Sales Order'!H242*0.11)+Invoice!G242</f>
        <v>9960961.5</v>
      </c>
      <c r="K242" s="41"/>
    </row>
    <row r="243" spans="1:11" ht="15.75" customHeight="1" x14ac:dyDescent="0.3">
      <c r="A243" s="40" t="s">
        <v>1522</v>
      </c>
      <c r="B243" s="40" t="s">
        <v>480</v>
      </c>
      <c r="C243" s="51" t="str">
        <f>VLOOKUP(B243,'Sales Order'!A$2:B$1029,1,0)</f>
        <v>SO0242</v>
      </c>
      <c r="D243" s="17" t="s">
        <v>1279</v>
      </c>
      <c r="E243" s="29" t="s">
        <v>2312</v>
      </c>
      <c r="F243" s="29" t="s">
        <v>1288</v>
      </c>
      <c r="G243" s="18">
        <v>32352</v>
      </c>
      <c r="H243" s="43">
        <v>0.11</v>
      </c>
      <c r="I243" s="38">
        <v>275309532.60000002</v>
      </c>
      <c r="J243" s="42">
        <f>'Sales Order'!H243+('Sales Order'!H243*0.11)+Invoice!G243</f>
        <v>275309532.60000002</v>
      </c>
      <c r="K243" s="41"/>
    </row>
    <row r="244" spans="1:11" ht="15.75" customHeight="1" x14ac:dyDescent="0.3">
      <c r="A244" s="40" t="s">
        <v>1523</v>
      </c>
      <c r="B244" s="40" t="s">
        <v>481</v>
      </c>
      <c r="C244" s="51" t="str">
        <f>VLOOKUP(B244,'Sales Order'!A$2:B$1029,1,0)</f>
        <v>SO0243</v>
      </c>
      <c r="D244" s="17" t="s">
        <v>1275</v>
      </c>
      <c r="E244" s="29" t="s">
        <v>2318</v>
      </c>
      <c r="F244" s="29" t="s">
        <v>1295</v>
      </c>
      <c r="G244" s="32">
        <v>859350</v>
      </c>
      <c r="H244" s="43">
        <v>0.11</v>
      </c>
      <c r="I244" s="38">
        <v>409030159.5</v>
      </c>
      <c r="J244" s="42">
        <f>'Sales Order'!H244+('Sales Order'!H244*0.11)+Invoice!G244</f>
        <v>409030159.5</v>
      </c>
      <c r="K244" s="41"/>
    </row>
    <row r="245" spans="1:11" ht="15.75" customHeight="1" x14ac:dyDescent="0.3">
      <c r="A245" s="40" t="s">
        <v>1524</v>
      </c>
      <c r="B245" s="40" t="s">
        <v>482</v>
      </c>
      <c r="C245" s="51" t="str">
        <f>VLOOKUP(B245,'Sales Order'!A$2:B$1029,1,0)</f>
        <v>SO0244</v>
      </c>
      <c r="D245" s="17" t="s">
        <v>1279</v>
      </c>
      <c r="E245" s="29" t="s">
        <v>118</v>
      </c>
      <c r="F245" s="29" t="s">
        <v>1288</v>
      </c>
      <c r="G245" s="18">
        <v>8088</v>
      </c>
      <c r="H245" s="43">
        <v>0.11</v>
      </c>
      <c r="I245" s="38">
        <v>45295921.5</v>
      </c>
      <c r="J245" s="42">
        <f>'Sales Order'!H245+('Sales Order'!H245*0.11)+Invoice!G245</f>
        <v>45295921.5</v>
      </c>
      <c r="K245" s="41"/>
    </row>
    <row r="246" spans="1:11" ht="15.75" customHeight="1" x14ac:dyDescent="0.3">
      <c r="A246" s="40" t="s">
        <v>1525</v>
      </c>
      <c r="B246" s="40" t="s">
        <v>483</v>
      </c>
      <c r="C246" s="51" t="str">
        <f>VLOOKUP(B246,'Sales Order'!A$2:B$1029,1,0)</f>
        <v>SO0245</v>
      </c>
      <c r="D246" s="17" t="s">
        <v>1275</v>
      </c>
      <c r="E246" s="29" t="s">
        <v>2313</v>
      </c>
      <c r="F246" s="29" t="s">
        <v>1295</v>
      </c>
      <c r="G246" s="18">
        <v>808800</v>
      </c>
      <c r="H246" s="43">
        <v>0.11</v>
      </c>
      <c r="I246" s="38">
        <v>411152800.80000001</v>
      </c>
      <c r="J246" s="42">
        <f>'Sales Order'!H246+('Sales Order'!H246*0.11)+Invoice!G246</f>
        <v>411152800.80000001</v>
      </c>
      <c r="K246" s="41"/>
    </row>
    <row r="247" spans="1:11" ht="15.75" customHeight="1" x14ac:dyDescent="0.3">
      <c r="A247" s="40" t="s">
        <v>1526</v>
      </c>
      <c r="B247" s="40" t="s">
        <v>484</v>
      </c>
      <c r="C247" s="51" t="str">
        <f>VLOOKUP(B247,'Sales Order'!A$2:B$1029,1,0)</f>
        <v>SO0246</v>
      </c>
      <c r="D247" s="17" t="s">
        <v>1279</v>
      </c>
      <c r="E247" s="29" t="s">
        <v>118</v>
      </c>
      <c r="F247" s="29" t="s">
        <v>1280</v>
      </c>
      <c r="G247" s="18">
        <v>8088</v>
      </c>
      <c r="H247" s="43">
        <v>0.11</v>
      </c>
      <c r="I247" s="38">
        <v>451975701.30000001</v>
      </c>
      <c r="J247" s="42">
        <f>'Sales Order'!H247+('Sales Order'!H247*0.11)+Invoice!G247</f>
        <v>451975701.30000001</v>
      </c>
      <c r="K247" s="41"/>
    </row>
    <row r="248" spans="1:11" ht="15.75" customHeight="1" x14ac:dyDescent="0.3">
      <c r="A248" s="40" t="s">
        <v>1527</v>
      </c>
      <c r="B248" s="40" t="s">
        <v>485</v>
      </c>
      <c r="C248" s="51" t="str">
        <f>VLOOKUP(B248,'Sales Order'!A$2:B$1029,1,0)</f>
        <v>SO0247</v>
      </c>
      <c r="D248" s="17" t="s">
        <v>1275</v>
      </c>
      <c r="E248" s="29" t="s">
        <v>170</v>
      </c>
      <c r="F248" s="29" t="s">
        <v>1285</v>
      </c>
      <c r="G248" s="32">
        <v>859350</v>
      </c>
      <c r="H248" s="43">
        <v>0.11</v>
      </c>
      <c r="I248" s="38">
        <v>869567683.20000005</v>
      </c>
      <c r="J248" s="42">
        <f>'Sales Order'!H248+('Sales Order'!H248*0.11)+Invoice!G248</f>
        <v>869567683.20000005</v>
      </c>
      <c r="K248" s="41"/>
    </row>
    <row r="249" spans="1:11" ht="15.75" customHeight="1" x14ac:dyDescent="0.3">
      <c r="A249" s="40" t="s">
        <v>1528</v>
      </c>
      <c r="B249" s="40" t="s">
        <v>486</v>
      </c>
      <c r="C249" s="51" t="str">
        <f>VLOOKUP(B249,'Sales Order'!A$2:B$1029,1,0)</f>
        <v>SO0248</v>
      </c>
      <c r="D249" s="17" t="s">
        <v>1279</v>
      </c>
      <c r="E249" s="29" t="s">
        <v>118</v>
      </c>
      <c r="F249" s="29" t="s">
        <v>1295</v>
      </c>
      <c r="G249" s="18">
        <v>8088</v>
      </c>
      <c r="H249" s="43">
        <v>0.11</v>
      </c>
      <c r="I249" s="38">
        <v>464391539.69999999</v>
      </c>
      <c r="J249" s="42">
        <f>'Sales Order'!H249+('Sales Order'!H249*0.11)+Invoice!G249</f>
        <v>464391539.69999999</v>
      </c>
      <c r="K249" s="41"/>
    </row>
    <row r="250" spans="1:11" ht="15.75" customHeight="1" x14ac:dyDescent="0.3">
      <c r="A250" s="40" t="s">
        <v>1529</v>
      </c>
      <c r="B250" s="40" t="s">
        <v>487</v>
      </c>
      <c r="C250" s="51" t="str">
        <f>VLOOKUP(B250,'Sales Order'!A$2:B$1029,1,0)</f>
        <v>SO0249</v>
      </c>
      <c r="D250" s="17" t="s">
        <v>1279</v>
      </c>
      <c r="E250" s="29" t="s">
        <v>118</v>
      </c>
      <c r="F250" s="29" t="s">
        <v>1285</v>
      </c>
      <c r="G250" s="18">
        <v>8088</v>
      </c>
      <c r="H250" s="43">
        <v>0.11</v>
      </c>
      <c r="I250" s="38">
        <v>842832952.79999995</v>
      </c>
      <c r="J250" s="42">
        <f>'Sales Order'!H250+('Sales Order'!H250*0.11)+Invoice!G250</f>
        <v>842832952.79999995</v>
      </c>
      <c r="K250" s="41"/>
    </row>
    <row r="251" spans="1:11" ht="15.75" customHeight="1" x14ac:dyDescent="0.3">
      <c r="A251" s="40" t="s">
        <v>1530</v>
      </c>
      <c r="B251" s="40" t="s">
        <v>488</v>
      </c>
      <c r="C251" s="51" t="str">
        <f>VLOOKUP(B251,'Sales Order'!A$2:B$1029,1,0)</f>
        <v>SO0250</v>
      </c>
      <c r="D251" s="17" t="s">
        <v>1275</v>
      </c>
      <c r="E251" s="29" t="s">
        <v>170</v>
      </c>
      <c r="F251" s="29" t="s">
        <v>1276</v>
      </c>
      <c r="G251" s="32">
        <v>859350</v>
      </c>
      <c r="H251" s="43">
        <v>0.11</v>
      </c>
      <c r="I251" s="38">
        <v>44353845.299999997</v>
      </c>
      <c r="J251" s="42">
        <f>'Sales Order'!H251+('Sales Order'!H251*0.11)+Invoice!G251</f>
        <v>44353845.299999997</v>
      </c>
      <c r="K251" s="41"/>
    </row>
    <row r="252" spans="1:11" ht="15.75" customHeight="1" x14ac:dyDescent="0.3">
      <c r="A252" s="40" t="s">
        <v>1531</v>
      </c>
      <c r="B252" s="40" t="s">
        <v>489</v>
      </c>
      <c r="C252" s="51" t="str">
        <f>VLOOKUP(B252,'Sales Order'!A$2:B$1029,1,0)</f>
        <v>SO0251</v>
      </c>
      <c r="D252" s="17" t="s">
        <v>1275</v>
      </c>
      <c r="E252" s="29" t="s">
        <v>170</v>
      </c>
      <c r="F252" s="29" t="s">
        <v>1285</v>
      </c>
      <c r="G252" s="32">
        <v>859350</v>
      </c>
      <c r="H252" s="43">
        <v>0.11</v>
      </c>
      <c r="I252" s="38">
        <v>404249600.39999998</v>
      </c>
      <c r="J252" s="42">
        <f>'Sales Order'!H252+('Sales Order'!H252*0.11)+Invoice!G252</f>
        <v>404249600.39999998</v>
      </c>
      <c r="K252" s="41"/>
    </row>
    <row r="253" spans="1:11" ht="15.75" customHeight="1" x14ac:dyDescent="0.3">
      <c r="A253" s="40" t="s">
        <v>1532</v>
      </c>
      <c r="B253" s="40" t="s">
        <v>490</v>
      </c>
      <c r="C253" s="51" t="str">
        <f>VLOOKUP(B253,'Sales Order'!A$2:B$1029,1,0)</f>
        <v>SO0252</v>
      </c>
      <c r="D253" s="17" t="s">
        <v>1275</v>
      </c>
      <c r="E253" s="29" t="s">
        <v>170</v>
      </c>
      <c r="F253" s="29" t="s">
        <v>1276</v>
      </c>
      <c r="G253" s="32">
        <v>859350</v>
      </c>
      <c r="H253" s="43">
        <v>0.11</v>
      </c>
      <c r="I253" s="38">
        <v>81754018.799999997</v>
      </c>
      <c r="J253" s="42">
        <f>'Sales Order'!H253+('Sales Order'!H253*0.11)+Invoice!G253</f>
        <v>81754018.799999997</v>
      </c>
      <c r="K253" s="41"/>
    </row>
    <row r="254" spans="1:11" ht="15.75" customHeight="1" x14ac:dyDescent="0.3">
      <c r="A254" s="40" t="s">
        <v>1533</v>
      </c>
      <c r="B254" s="40" t="s">
        <v>491</v>
      </c>
      <c r="C254" s="51" t="str">
        <f>VLOOKUP(B254,'Sales Order'!A$2:B$1029,1,0)</f>
        <v>SO0253</v>
      </c>
      <c r="D254" s="17" t="s">
        <v>1279</v>
      </c>
      <c r="E254" s="29" t="s">
        <v>2312</v>
      </c>
      <c r="F254" s="29" t="s">
        <v>1276</v>
      </c>
      <c r="G254" s="18">
        <v>32352</v>
      </c>
      <c r="H254" s="43">
        <v>0.11</v>
      </c>
      <c r="I254" s="38">
        <v>271817028.60000002</v>
      </c>
      <c r="J254" s="42">
        <f>'Sales Order'!H254+('Sales Order'!H254*0.11)+Invoice!G254</f>
        <v>271817028.60000002</v>
      </c>
      <c r="K254" s="41"/>
    </row>
    <row r="255" spans="1:11" ht="15.75" customHeight="1" x14ac:dyDescent="0.3">
      <c r="A255" s="40" t="s">
        <v>1534</v>
      </c>
      <c r="B255" s="40" t="s">
        <v>492</v>
      </c>
      <c r="C255" s="51" t="str">
        <f>VLOOKUP(B255,'Sales Order'!A$2:B$1029,1,0)</f>
        <v>SO0254</v>
      </c>
      <c r="D255" s="17" t="s">
        <v>1279</v>
      </c>
      <c r="E255" s="29" t="s">
        <v>2312</v>
      </c>
      <c r="F255" s="29" t="s">
        <v>1285</v>
      </c>
      <c r="G255" s="18">
        <v>32352</v>
      </c>
      <c r="H255" s="43">
        <v>0.11</v>
      </c>
      <c r="I255" s="38">
        <v>754151822.10000002</v>
      </c>
      <c r="J255" s="42">
        <f>'Sales Order'!H255+('Sales Order'!H255*0.11)+Invoice!G255</f>
        <v>754151822.10000002</v>
      </c>
      <c r="K255" s="41"/>
    </row>
    <row r="256" spans="1:11" ht="15.75" customHeight="1" x14ac:dyDescent="0.3">
      <c r="A256" s="40" t="s">
        <v>1535</v>
      </c>
      <c r="B256" s="40" t="s">
        <v>493</v>
      </c>
      <c r="C256" s="51" t="str">
        <f>VLOOKUP(B256,'Sales Order'!A$2:B$1029,1,0)</f>
        <v>SO0255</v>
      </c>
      <c r="D256" s="17" t="s">
        <v>1279</v>
      </c>
      <c r="E256" s="29" t="s">
        <v>2312</v>
      </c>
      <c r="F256" s="29" t="s">
        <v>1295</v>
      </c>
      <c r="G256" s="18">
        <v>32352</v>
      </c>
      <c r="H256" s="43">
        <v>0.11</v>
      </c>
      <c r="I256" s="38">
        <v>376669471.19999999</v>
      </c>
      <c r="J256" s="42">
        <f>'Sales Order'!H256+('Sales Order'!H256*0.11)+Invoice!G256</f>
        <v>376669471.19999999</v>
      </c>
      <c r="K256" s="41"/>
    </row>
    <row r="257" spans="1:11" ht="15.75" customHeight="1" x14ac:dyDescent="0.3">
      <c r="A257" s="40" t="s">
        <v>1536</v>
      </c>
      <c r="B257" s="40" t="s">
        <v>494</v>
      </c>
      <c r="C257" s="51" t="str">
        <f>VLOOKUP(B257,'Sales Order'!A$2:B$1029,1,0)</f>
        <v>SO0256</v>
      </c>
      <c r="D257" s="17" t="s">
        <v>1279</v>
      </c>
      <c r="E257" s="29" t="s">
        <v>118</v>
      </c>
      <c r="F257" s="29" t="s">
        <v>1295</v>
      </c>
      <c r="G257" s="18">
        <v>8088</v>
      </c>
      <c r="H257" s="43">
        <v>0.11</v>
      </c>
      <c r="I257" s="38">
        <v>345663253.5</v>
      </c>
      <c r="J257" s="42">
        <f>'Sales Order'!H257+('Sales Order'!H257*0.11)+Invoice!G257</f>
        <v>345663253.5</v>
      </c>
      <c r="K257" s="41"/>
    </row>
    <row r="258" spans="1:11" ht="15.75" customHeight="1" x14ac:dyDescent="0.3">
      <c r="A258" s="40" t="s">
        <v>1537</v>
      </c>
      <c r="B258" s="40" t="s">
        <v>495</v>
      </c>
      <c r="C258" s="51" t="str">
        <f>VLOOKUP(B258,'Sales Order'!A$2:B$1029,1,0)</f>
        <v>SO0257</v>
      </c>
      <c r="D258" s="17" t="s">
        <v>1275</v>
      </c>
      <c r="E258" s="29" t="s">
        <v>170</v>
      </c>
      <c r="F258" s="29" t="s">
        <v>1285</v>
      </c>
      <c r="G258" s="32">
        <v>859350</v>
      </c>
      <c r="H258" s="43">
        <v>0.11</v>
      </c>
      <c r="I258" s="38">
        <v>791991115.20000005</v>
      </c>
      <c r="J258" s="42">
        <f>'Sales Order'!H258+('Sales Order'!H258*0.11)+Invoice!G258</f>
        <v>791991115.20000005</v>
      </c>
      <c r="K258" s="41"/>
    </row>
    <row r="259" spans="1:11" ht="15.75" customHeight="1" x14ac:dyDescent="0.3">
      <c r="A259" s="40" t="s">
        <v>1538</v>
      </c>
      <c r="B259" s="40" t="s">
        <v>496</v>
      </c>
      <c r="C259" s="51" t="str">
        <f>VLOOKUP(B259,'Sales Order'!A$2:B$1029,1,0)</f>
        <v>SO0258</v>
      </c>
      <c r="D259" s="17" t="s">
        <v>1275</v>
      </c>
      <c r="E259" s="29" t="s">
        <v>2317</v>
      </c>
      <c r="F259" s="29" t="s">
        <v>1295</v>
      </c>
      <c r="G259" s="32">
        <v>859350</v>
      </c>
      <c r="H259" s="43">
        <v>0.11</v>
      </c>
      <c r="I259" s="38">
        <v>654472136.27999997</v>
      </c>
      <c r="J259" s="42">
        <f>'Sales Order'!H259+('Sales Order'!H259*0.11)+Invoice!G259</f>
        <v>654472136.27999997</v>
      </c>
      <c r="K259" s="41"/>
    </row>
    <row r="260" spans="1:11" ht="15.75" customHeight="1" x14ac:dyDescent="0.3">
      <c r="A260" s="40" t="s">
        <v>1539</v>
      </c>
      <c r="B260" s="40" t="s">
        <v>497</v>
      </c>
      <c r="C260" s="51" t="str">
        <f>VLOOKUP(B260,'Sales Order'!A$2:B$1029,1,0)</f>
        <v>SO0259</v>
      </c>
      <c r="D260" s="17" t="s">
        <v>1275</v>
      </c>
      <c r="E260" s="29" t="s">
        <v>2316</v>
      </c>
      <c r="F260" s="29" t="s">
        <v>1276</v>
      </c>
      <c r="G260" s="18">
        <v>556050</v>
      </c>
      <c r="H260" s="43">
        <v>0.11</v>
      </c>
      <c r="I260" s="38">
        <v>159044514</v>
      </c>
      <c r="J260" s="42">
        <f>'Sales Order'!H260+('Sales Order'!H260*0.11)+Invoice!G260</f>
        <v>159044514</v>
      </c>
      <c r="K260" s="41"/>
    </row>
    <row r="261" spans="1:11" ht="15.75" customHeight="1" x14ac:dyDescent="0.3">
      <c r="A261" s="40" t="s">
        <v>1540</v>
      </c>
      <c r="B261" s="40" t="s">
        <v>498</v>
      </c>
      <c r="C261" s="51" t="str">
        <f>VLOOKUP(B261,'Sales Order'!A$2:B$1029,1,0)</f>
        <v>SO0260</v>
      </c>
      <c r="D261" s="17" t="s">
        <v>1275</v>
      </c>
      <c r="E261" s="29" t="s">
        <v>2313</v>
      </c>
      <c r="F261" s="29" t="s">
        <v>1288</v>
      </c>
      <c r="G261" s="18">
        <v>808800</v>
      </c>
      <c r="H261" s="43">
        <v>0.11</v>
      </c>
      <c r="I261" s="38">
        <v>264412821</v>
      </c>
      <c r="J261" s="42">
        <f>'Sales Order'!H261+('Sales Order'!H261*0.11)+Invoice!G261</f>
        <v>264412821</v>
      </c>
      <c r="K261" s="41"/>
    </row>
    <row r="262" spans="1:11" ht="15.75" customHeight="1" x14ac:dyDescent="0.3">
      <c r="A262" s="40" t="s">
        <v>1541</v>
      </c>
      <c r="B262" s="40" t="s">
        <v>499</v>
      </c>
      <c r="C262" s="51" t="str">
        <f>VLOOKUP(B262,'Sales Order'!A$2:B$1029,1,0)</f>
        <v>SO0261</v>
      </c>
      <c r="D262" s="17" t="s">
        <v>1275</v>
      </c>
      <c r="E262" s="29" t="s">
        <v>2316</v>
      </c>
      <c r="F262" s="29" t="s">
        <v>1288</v>
      </c>
      <c r="G262" s="18">
        <v>556050</v>
      </c>
      <c r="H262" s="43">
        <v>0.11</v>
      </c>
      <c r="I262" s="38">
        <v>53293393.200000003</v>
      </c>
      <c r="J262" s="42">
        <f>'Sales Order'!H262+('Sales Order'!H262*0.11)+Invoice!G262</f>
        <v>53293393.200000003</v>
      </c>
      <c r="K262" s="41"/>
    </row>
    <row r="263" spans="1:11" ht="15.75" customHeight="1" x14ac:dyDescent="0.3">
      <c r="A263" s="40" t="s">
        <v>1542</v>
      </c>
      <c r="B263" s="40" t="s">
        <v>500</v>
      </c>
      <c r="C263" s="51" t="str">
        <f>VLOOKUP(B263,'Sales Order'!A$2:B$1029,1,0)</f>
        <v>SO0262</v>
      </c>
      <c r="D263" s="17" t="s">
        <v>1279</v>
      </c>
      <c r="E263" s="29" t="s">
        <v>118</v>
      </c>
      <c r="F263" s="29" t="s">
        <v>1276</v>
      </c>
      <c r="G263" s="18">
        <v>8088</v>
      </c>
      <c r="H263" s="43">
        <v>0.11</v>
      </c>
      <c r="I263" s="38">
        <v>9828357.9000000004</v>
      </c>
      <c r="J263" s="42">
        <f>'Sales Order'!H263+('Sales Order'!H263*0.11)+Invoice!G263</f>
        <v>9828357.9000000004</v>
      </c>
      <c r="K263" s="41"/>
    </row>
    <row r="264" spans="1:11" ht="15.75" customHeight="1" x14ac:dyDescent="0.3">
      <c r="A264" s="40" t="s">
        <v>1543</v>
      </c>
      <c r="B264" s="40" t="s">
        <v>501</v>
      </c>
      <c r="C264" s="51" t="str">
        <f>VLOOKUP(B264,'Sales Order'!A$2:B$1029,1,0)</f>
        <v>SO0263</v>
      </c>
      <c r="D264" s="17" t="s">
        <v>1275</v>
      </c>
      <c r="E264" s="29" t="s">
        <v>2313</v>
      </c>
      <c r="F264" s="29" t="s">
        <v>1280</v>
      </c>
      <c r="G264" s="18">
        <v>808800</v>
      </c>
      <c r="H264" s="43">
        <v>0.11</v>
      </c>
      <c r="I264" s="38">
        <v>289899420</v>
      </c>
      <c r="J264" s="42">
        <f>'Sales Order'!H264+('Sales Order'!H264*0.11)+Invoice!G264</f>
        <v>289899420</v>
      </c>
      <c r="K264" s="41"/>
    </row>
    <row r="265" spans="1:11" ht="15.75" customHeight="1" x14ac:dyDescent="0.3">
      <c r="A265" s="40" t="s">
        <v>1544</v>
      </c>
      <c r="B265" s="40" t="s">
        <v>502</v>
      </c>
      <c r="C265" s="51" t="str">
        <f>VLOOKUP(B265,'Sales Order'!A$2:B$1029,1,0)</f>
        <v>SO0264</v>
      </c>
      <c r="D265" s="17" t="s">
        <v>1275</v>
      </c>
      <c r="E265" s="29" t="s">
        <v>108</v>
      </c>
      <c r="F265" s="29" t="s">
        <v>1276</v>
      </c>
      <c r="G265" s="18">
        <v>556050</v>
      </c>
      <c r="H265" s="43">
        <v>0.11</v>
      </c>
      <c r="I265" s="38">
        <v>36564841.829999998</v>
      </c>
      <c r="J265" s="42">
        <f>'Sales Order'!H265+('Sales Order'!H265*0.11)+Invoice!G265</f>
        <v>36564841.829999998</v>
      </c>
      <c r="K265" s="41"/>
    </row>
    <row r="266" spans="1:11" ht="15.75" customHeight="1" x14ac:dyDescent="0.3">
      <c r="A266" s="40" t="s">
        <v>1545</v>
      </c>
      <c r="B266" s="40" t="s">
        <v>503</v>
      </c>
      <c r="C266" s="51" t="str">
        <f>VLOOKUP(B266,'Sales Order'!A$2:B$1029,1,0)</f>
        <v>SO0265</v>
      </c>
      <c r="D266" s="17" t="s">
        <v>1279</v>
      </c>
      <c r="E266" s="29" t="s">
        <v>118</v>
      </c>
      <c r="F266" s="29" t="s">
        <v>1295</v>
      </c>
      <c r="G266" s="18">
        <v>8088</v>
      </c>
      <c r="H266" s="43">
        <v>0.11</v>
      </c>
      <c r="I266" s="38">
        <v>506947985.10000002</v>
      </c>
      <c r="J266" s="42">
        <f>'Sales Order'!H266+('Sales Order'!H266*0.11)+Invoice!G266</f>
        <v>506947985.10000002</v>
      </c>
      <c r="K266" s="41"/>
    </row>
    <row r="267" spans="1:11" ht="15.75" customHeight="1" x14ac:dyDescent="0.3">
      <c r="A267" s="40" t="s">
        <v>1546</v>
      </c>
      <c r="B267" s="40" t="s">
        <v>504</v>
      </c>
      <c r="C267" s="51" t="str">
        <f>VLOOKUP(B267,'Sales Order'!A$2:B$1029,1,0)</f>
        <v>SO0266</v>
      </c>
      <c r="D267" s="17" t="s">
        <v>1275</v>
      </c>
      <c r="E267" s="29" t="s">
        <v>143</v>
      </c>
      <c r="F267" s="29" t="s">
        <v>1276</v>
      </c>
      <c r="G267" s="32">
        <v>859350</v>
      </c>
      <c r="H267" s="43">
        <v>0.11</v>
      </c>
      <c r="I267" s="38">
        <v>83296386</v>
      </c>
      <c r="J267" s="42">
        <f>'Sales Order'!H267+('Sales Order'!H267*0.11)+Invoice!G267</f>
        <v>83296386</v>
      </c>
      <c r="K267" s="41"/>
    </row>
    <row r="268" spans="1:11" ht="15.75" customHeight="1" x14ac:dyDescent="0.3">
      <c r="A268" s="40" t="s">
        <v>1547</v>
      </c>
      <c r="B268" s="40" t="s">
        <v>505</v>
      </c>
      <c r="C268" s="51" t="str">
        <f>VLOOKUP(B268,'Sales Order'!A$2:B$1029,1,0)</f>
        <v>SO0267</v>
      </c>
      <c r="D268" s="17" t="s">
        <v>1275</v>
      </c>
      <c r="E268" s="29" t="s">
        <v>2314</v>
      </c>
      <c r="F268" s="29" t="s">
        <v>1285</v>
      </c>
      <c r="G268" s="18">
        <v>808800</v>
      </c>
      <c r="H268" s="43">
        <v>0.11</v>
      </c>
      <c r="I268" s="38">
        <v>794344214.70000005</v>
      </c>
      <c r="J268" s="42">
        <f>'Sales Order'!H268+('Sales Order'!H268*0.11)+Invoice!G268</f>
        <v>794344214.70000005</v>
      </c>
      <c r="K268" s="41"/>
    </row>
    <row r="269" spans="1:11" ht="15.75" customHeight="1" x14ac:dyDescent="0.3">
      <c r="A269" s="40" t="s">
        <v>1548</v>
      </c>
      <c r="B269" s="40" t="s">
        <v>506</v>
      </c>
      <c r="C269" s="51" t="str">
        <f>VLOOKUP(B269,'Sales Order'!A$2:B$1029,1,0)</f>
        <v>SO0268</v>
      </c>
      <c r="D269" s="17" t="s">
        <v>1275</v>
      </c>
      <c r="E269" s="29" t="s">
        <v>2313</v>
      </c>
      <c r="F269" s="29" t="s">
        <v>1288</v>
      </c>
      <c r="G269" s="18">
        <v>808800</v>
      </c>
      <c r="H269" s="43">
        <v>0.11</v>
      </c>
      <c r="I269" s="38">
        <v>165563857.80000001</v>
      </c>
      <c r="J269" s="42">
        <f>'Sales Order'!H269+('Sales Order'!H269*0.11)+Invoice!G269</f>
        <v>165563857.80000001</v>
      </c>
      <c r="K269" s="41"/>
    </row>
    <row r="270" spans="1:11" ht="15.75" customHeight="1" x14ac:dyDescent="0.3">
      <c r="A270" s="40" t="s">
        <v>1549</v>
      </c>
      <c r="B270" s="40" t="s">
        <v>507</v>
      </c>
      <c r="C270" s="51" t="str">
        <f>VLOOKUP(B270,'Sales Order'!A$2:B$1029,1,0)</f>
        <v>SO0269</v>
      </c>
      <c r="D270" s="17" t="s">
        <v>1275</v>
      </c>
      <c r="E270" s="29" t="s">
        <v>170</v>
      </c>
      <c r="F270" s="29" t="s">
        <v>1276</v>
      </c>
      <c r="G270" s="32">
        <v>859350</v>
      </c>
      <c r="H270" s="43">
        <v>0.11</v>
      </c>
      <c r="I270" s="38">
        <v>148826593.53</v>
      </c>
      <c r="J270" s="42">
        <f>'Sales Order'!H270+('Sales Order'!H270*0.11)+Invoice!G270</f>
        <v>148826593.53</v>
      </c>
      <c r="K270" s="41"/>
    </row>
    <row r="271" spans="1:11" ht="15.75" customHeight="1" x14ac:dyDescent="0.3">
      <c r="A271" s="40" t="s">
        <v>1550</v>
      </c>
      <c r="B271" s="40" t="s">
        <v>508</v>
      </c>
      <c r="C271" s="51" t="str">
        <f>VLOOKUP(B271,'Sales Order'!A$2:B$1029,1,0)</f>
        <v>SO0270</v>
      </c>
      <c r="D271" s="17" t="s">
        <v>1279</v>
      </c>
      <c r="E271" s="29" t="s">
        <v>2312</v>
      </c>
      <c r="F271" s="29" t="s">
        <v>1288</v>
      </c>
      <c r="G271" s="18">
        <v>32352</v>
      </c>
      <c r="H271" s="43">
        <v>0.11</v>
      </c>
      <c r="I271" s="38">
        <v>18675068.399999999</v>
      </c>
      <c r="J271" s="42">
        <f>'Sales Order'!H271+('Sales Order'!H271*0.11)+Invoice!G271</f>
        <v>18675068.399999999</v>
      </c>
      <c r="K271" s="41"/>
    </row>
    <row r="272" spans="1:11" ht="15.75" customHeight="1" x14ac:dyDescent="0.3">
      <c r="A272" s="40" t="s">
        <v>1551</v>
      </c>
      <c r="B272" s="40" t="s">
        <v>509</v>
      </c>
      <c r="C272" s="51" t="str">
        <f>VLOOKUP(B272,'Sales Order'!A$2:B$1029,1,0)</f>
        <v>SO0271</v>
      </c>
      <c r="D272" s="17" t="s">
        <v>1275</v>
      </c>
      <c r="E272" s="29" t="s">
        <v>2318</v>
      </c>
      <c r="F272" s="29" t="s">
        <v>1295</v>
      </c>
      <c r="G272" s="32">
        <v>859350</v>
      </c>
      <c r="H272" s="43">
        <v>0.11</v>
      </c>
      <c r="I272" s="38">
        <v>410801342.10000002</v>
      </c>
      <c r="J272" s="42">
        <f>'Sales Order'!H272+('Sales Order'!H272*0.11)+Invoice!G272</f>
        <v>410801342.10000002</v>
      </c>
      <c r="K272" s="41"/>
    </row>
    <row r="273" spans="1:11" ht="15.75" customHeight="1" x14ac:dyDescent="0.3">
      <c r="A273" s="40" t="s">
        <v>1552</v>
      </c>
      <c r="B273" s="40" t="s">
        <v>510</v>
      </c>
      <c r="C273" s="51" t="str">
        <f>VLOOKUP(B273,'Sales Order'!A$2:B$1029,1,0)</f>
        <v>SO0272</v>
      </c>
      <c r="D273" s="17" t="s">
        <v>1275</v>
      </c>
      <c r="E273" s="29" t="s">
        <v>2320</v>
      </c>
      <c r="F273" s="29" t="s">
        <v>1288</v>
      </c>
      <c r="G273" s="32">
        <v>758250</v>
      </c>
      <c r="H273" s="43">
        <v>0.11</v>
      </c>
      <c r="I273" s="38">
        <v>258726283.74000001</v>
      </c>
      <c r="J273" s="42">
        <f>'Sales Order'!H273+('Sales Order'!H273*0.11)+Invoice!G273</f>
        <v>258726283.74000001</v>
      </c>
      <c r="K273" s="41"/>
    </row>
    <row r="274" spans="1:11" ht="15.75" customHeight="1" x14ac:dyDescent="0.3">
      <c r="A274" s="40" t="s">
        <v>1553</v>
      </c>
      <c r="B274" s="40" t="s">
        <v>511</v>
      </c>
      <c r="C274" s="51" t="str">
        <f>VLOOKUP(B274,'Sales Order'!A$2:B$1029,1,0)</f>
        <v>SO0273</v>
      </c>
      <c r="D274" s="17" t="s">
        <v>1279</v>
      </c>
      <c r="E274" s="29" t="s">
        <v>118</v>
      </c>
      <c r="F274" s="29" t="s">
        <v>1280</v>
      </c>
      <c r="G274" s="18">
        <v>8088</v>
      </c>
      <c r="H274" s="43">
        <v>0.11</v>
      </c>
      <c r="I274" s="38">
        <v>324860799</v>
      </c>
      <c r="J274" s="42">
        <f>'Sales Order'!H274+('Sales Order'!H274*0.11)+Invoice!G274</f>
        <v>324860799</v>
      </c>
      <c r="K274" s="41"/>
    </row>
    <row r="275" spans="1:11" ht="15.75" customHeight="1" x14ac:dyDescent="0.3">
      <c r="A275" s="40" t="s">
        <v>1554</v>
      </c>
      <c r="B275" s="40" t="s">
        <v>512</v>
      </c>
      <c r="C275" s="51" t="str">
        <f>VLOOKUP(B275,'Sales Order'!A$2:B$1029,1,0)</f>
        <v>SO0274</v>
      </c>
      <c r="D275" s="17" t="s">
        <v>1279</v>
      </c>
      <c r="E275" s="29" t="s">
        <v>2312</v>
      </c>
      <c r="F275" s="29" t="s">
        <v>1288</v>
      </c>
      <c r="G275" s="18">
        <v>32352</v>
      </c>
      <c r="H275" s="43">
        <v>0.11</v>
      </c>
      <c r="I275" s="38">
        <v>26220737.399999999</v>
      </c>
      <c r="J275" s="42">
        <f>'Sales Order'!H275+('Sales Order'!H275*0.11)+Invoice!G275</f>
        <v>26220737.399999999</v>
      </c>
      <c r="K275" s="41"/>
    </row>
    <row r="276" spans="1:11" ht="15.75" customHeight="1" x14ac:dyDescent="0.3">
      <c r="A276" s="40" t="s">
        <v>1555</v>
      </c>
      <c r="B276" s="40" t="s">
        <v>513</v>
      </c>
      <c r="C276" s="51" t="str">
        <f>VLOOKUP(B276,'Sales Order'!A$2:B$1029,1,0)</f>
        <v>SO0275</v>
      </c>
      <c r="D276" s="17" t="s">
        <v>1279</v>
      </c>
      <c r="E276" s="29" t="s">
        <v>118</v>
      </c>
      <c r="F276" s="29" t="s">
        <v>1276</v>
      </c>
      <c r="G276" s="18">
        <v>8088</v>
      </c>
      <c r="H276" s="43">
        <v>0.11</v>
      </c>
      <c r="I276" s="38">
        <v>88053443.400000006</v>
      </c>
      <c r="J276" s="42">
        <f>'Sales Order'!H276+('Sales Order'!H276*0.11)+Invoice!G276</f>
        <v>88053443.400000006</v>
      </c>
      <c r="K276" s="41"/>
    </row>
    <row r="277" spans="1:11" ht="15.75" customHeight="1" x14ac:dyDescent="0.3">
      <c r="A277" s="40" t="s">
        <v>1556</v>
      </c>
      <c r="B277" s="40" t="s">
        <v>514</v>
      </c>
      <c r="C277" s="51" t="str">
        <f>VLOOKUP(B277,'Sales Order'!A$2:B$1029,1,0)</f>
        <v>SO0276</v>
      </c>
      <c r="D277" s="17" t="s">
        <v>1275</v>
      </c>
      <c r="E277" s="29" t="s">
        <v>2318</v>
      </c>
      <c r="F277" s="29" t="s">
        <v>1285</v>
      </c>
      <c r="G277" s="32">
        <v>859350</v>
      </c>
      <c r="H277" s="43">
        <v>0.11</v>
      </c>
      <c r="I277" s="38">
        <v>601469449.79999995</v>
      </c>
      <c r="J277" s="42">
        <f>'Sales Order'!H277+('Sales Order'!H277*0.11)+Invoice!G277</f>
        <v>601469449.79999995</v>
      </c>
      <c r="K277" s="41"/>
    </row>
    <row r="278" spans="1:11" ht="15.75" customHeight="1" x14ac:dyDescent="0.3">
      <c r="A278" s="40" t="s">
        <v>1557</v>
      </c>
      <c r="B278" s="40" t="s">
        <v>515</v>
      </c>
      <c r="C278" s="51" t="str">
        <f>VLOOKUP(B278,'Sales Order'!A$2:B$1029,1,0)</f>
        <v>SO0277</v>
      </c>
      <c r="D278" s="17" t="s">
        <v>1275</v>
      </c>
      <c r="E278" s="29" t="s">
        <v>143</v>
      </c>
      <c r="F278" s="29" t="s">
        <v>1276</v>
      </c>
      <c r="G278" s="32">
        <v>859350</v>
      </c>
      <c r="H278" s="43">
        <v>0.11</v>
      </c>
      <c r="I278" s="38">
        <v>116494343.7</v>
      </c>
      <c r="J278" s="42">
        <f>'Sales Order'!H278+('Sales Order'!H278*0.11)+Invoice!G278</f>
        <v>116494343.7</v>
      </c>
      <c r="K278" s="41"/>
    </row>
    <row r="279" spans="1:11" ht="15.75" customHeight="1" x14ac:dyDescent="0.3">
      <c r="A279" s="40" t="s">
        <v>1558</v>
      </c>
      <c r="B279" s="40" t="s">
        <v>516</v>
      </c>
      <c r="C279" s="51" t="str">
        <f>VLOOKUP(B279,'Sales Order'!A$2:B$1029,1,0)</f>
        <v>SO0278</v>
      </c>
      <c r="D279" s="17" t="s">
        <v>1279</v>
      </c>
      <c r="E279" s="29" t="s">
        <v>2312</v>
      </c>
      <c r="F279" s="29" t="s">
        <v>1295</v>
      </c>
      <c r="G279" s="18">
        <v>32352</v>
      </c>
      <c r="H279" s="43">
        <v>0.11</v>
      </c>
      <c r="I279" s="38">
        <v>1110643029.5999999</v>
      </c>
      <c r="J279" s="42">
        <f>'Sales Order'!H279+('Sales Order'!H279*0.11)+Invoice!G279</f>
        <v>1110643029.5999999</v>
      </c>
      <c r="K279" s="41"/>
    </row>
    <row r="280" spans="1:11" ht="15.75" customHeight="1" x14ac:dyDescent="0.3">
      <c r="A280" s="40" t="s">
        <v>1559</v>
      </c>
      <c r="B280" s="40" t="s">
        <v>517</v>
      </c>
      <c r="C280" s="51" t="str">
        <f>VLOOKUP(B280,'Sales Order'!A$2:B$1029,1,0)</f>
        <v>SO0279</v>
      </c>
      <c r="D280" s="17" t="s">
        <v>1275</v>
      </c>
      <c r="E280" s="29" t="s">
        <v>2316</v>
      </c>
      <c r="F280" s="29" t="s">
        <v>1280</v>
      </c>
      <c r="G280" s="18">
        <v>556050</v>
      </c>
      <c r="H280" s="43">
        <v>0.11</v>
      </c>
      <c r="I280" s="38">
        <v>452781383.10000002</v>
      </c>
      <c r="J280" s="42">
        <f>'Sales Order'!H280+('Sales Order'!H280*0.11)+Invoice!G280</f>
        <v>452781383.10000002</v>
      </c>
      <c r="K280" s="41"/>
    </row>
    <row r="281" spans="1:11" ht="15.75" customHeight="1" x14ac:dyDescent="0.3">
      <c r="A281" s="40" t="s">
        <v>1560</v>
      </c>
      <c r="B281" s="40" t="s">
        <v>518</v>
      </c>
      <c r="C281" s="51" t="str">
        <f>VLOOKUP(B281,'Sales Order'!A$2:B$1029,1,0)</f>
        <v>SO0280</v>
      </c>
      <c r="D281" s="17" t="s">
        <v>1275</v>
      </c>
      <c r="E281" s="29" t="s">
        <v>170</v>
      </c>
      <c r="F281" s="29" t="s">
        <v>1288</v>
      </c>
      <c r="G281" s="32">
        <v>859350</v>
      </c>
      <c r="H281" s="43">
        <v>0.11</v>
      </c>
      <c r="I281" s="38">
        <v>35775376.799999997</v>
      </c>
      <c r="J281" s="42">
        <f>'Sales Order'!H281+('Sales Order'!H281*0.11)+Invoice!G281</f>
        <v>35775376.799999997</v>
      </c>
      <c r="K281" s="41"/>
    </row>
    <row r="282" spans="1:11" ht="15.75" customHeight="1" x14ac:dyDescent="0.3">
      <c r="A282" s="40" t="s">
        <v>1561</v>
      </c>
      <c r="B282" s="40" t="s">
        <v>519</v>
      </c>
      <c r="C282" s="51" t="str">
        <f>VLOOKUP(B282,'Sales Order'!A$2:B$1029,1,0)</f>
        <v>SO0281</v>
      </c>
      <c r="D282" s="17" t="s">
        <v>1279</v>
      </c>
      <c r="E282" s="29" t="s">
        <v>118</v>
      </c>
      <c r="F282" s="29" t="s">
        <v>1285</v>
      </c>
      <c r="G282" s="18">
        <v>8088</v>
      </c>
      <c r="H282" s="43">
        <v>0.11</v>
      </c>
      <c r="I282" s="38">
        <v>1232892386.25</v>
      </c>
      <c r="J282" s="42">
        <f>'Sales Order'!H282+('Sales Order'!H282*0.11)+Invoice!G282</f>
        <v>1232892386.25</v>
      </c>
      <c r="K282" s="41"/>
    </row>
    <row r="283" spans="1:11" ht="15.75" customHeight="1" x14ac:dyDescent="0.3">
      <c r="A283" s="40" t="s">
        <v>1562</v>
      </c>
      <c r="B283" s="40" t="s">
        <v>520</v>
      </c>
      <c r="C283" s="51" t="str">
        <f>VLOOKUP(B283,'Sales Order'!A$2:B$1029,1,0)</f>
        <v>SO0282</v>
      </c>
      <c r="D283" s="17" t="s">
        <v>1279</v>
      </c>
      <c r="E283" s="29" t="s">
        <v>2312</v>
      </c>
      <c r="F283" s="29" t="s">
        <v>1288</v>
      </c>
      <c r="G283" s="18">
        <v>32352</v>
      </c>
      <c r="H283" s="43">
        <v>0.11</v>
      </c>
      <c r="I283" s="38">
        <v>142144808.40000001</v>
      </c>
      <c r="J283" s="42">
        <f>'Sales Order'!H283+('Sales Order'!H283*0.11)+Invoice!G283</f>
        <v>142144808.40000001</v>
      </c>
      <c r="K283" s="41"/>
    </row>
    <row r="284" spans="1:11" ht="15.75" customHeight="1" x14ac:dyDescent="0.3">
      <c r="A284" s="40" t="s">
        <v>1563</v>
      </c>
      <c r="B284" s="40" t="s">
        <v>521</v>
      </c>
      <c r="C284" s="51" t="str">
        <f>VLOOKUP(B284,'Sales Order'!A$2:B$1029,1,0)</f>
        <v>SO0283</v>
      </c>
      <c r="D284" s="17" t="s">
        <v>1275</v>
      </c>
      <c r="E284" s="29" t="s">
        <v>143</v>
      </c>
      <c r="F284" s="29" t="s">
        <v>1295</v>
      </c>
      <c r="G284" s="32">
        <v>859350</v>
      </c>
      <c r="H284" s="43">
        <v>0.11</v>
      </c>
      <c r="I284" s="38">
        <v>1241884416</v>
      </c>
      <c r="J284" s="42">
        <f>'Sales Order'!H284+('Sales Order'!H284*0.11)+Invoice!G284</f>
        <v>1241884416</v>
      </c>
      <c r="K284" s="41"/>
    </row>
    <row r="285" spans="1:11" ht="15.75" customHeight="1" x14ac:dyDescent="0.3">
      <c r="A285" s="40" t="s">
        <v>1564</v>
      </c>
      <c r="B285" s="40" t="s">
        <v>522</v>
      </c>
      <c r="C285" s="51" t="str">
        <f>VLOOKUP(B285,'Sales Order'!A$2:B$1029,1,0)</f>
        <v>SO0284</v>
      </c>
      <c r="D285" s="17" t="s">
        <v>1279</v>
      </c>
      <c r="E285" s="29" t="s">
        <v>118</v>
      </c>
      <c r="F285" s="29" t="s">
        <v>1285</v>
      </c>
      <c r="G285" s="18">
        <v>8088</v>
      </c>
      <c r="H285" s="43">
        <v>0.11</v>
      </c>
      <c r="I285" s="38">
        <v>606559929</v>
      </c>
      <c r="J285" s="42">
        <f>'Sales Order'!H285+('Sales Order'!H285*0.11)+Invoice!G285</f>
        <v>606559929</v>
      </c>
      <c r="K285" s="41"/>
    </row>
    <row r="286" spans="1:11" ht="15.75" customHeight="1" x14ac:dyDescent="0.3">
      <c r="A286" s="40" t="s">
        <v>1565</v>
      </c>
      <c r="B286" s="40" t="s">
        <v>523</v>
      </c>
      <c r="C286" s="51" t="str">
        <f>VLOOKUP(B286,'Sales Order'!A$2:B$1029,1,0)</f>
        <v>SO0285</v>
      </c>
      <c r="D286" s="17" t="s">
        <v>1279</v>
      </c>
      <c r="E286" s="29" t="s">
        <v>118</v>
      </c>
      <c r="F286" s="29" t="s">
        <v>1288</v>
      </c>
      <c r="G286" s="18">
        <v>8088</v>
      </c>
      <c r="H286" s="43">
        <v>0.11</v>
      </c>
      <c r="I286" s="38">
        <v>170973595.80000001</v>
      </c>
      <c r="J286" s="42">
        <f>'Sales Order'!H286+('Sales Order'!H286*0.11)+Invoice!G286</f>
        <v>170973595.80000001</v>
      </c>
      <c r="K286" s="41"/>
    </row>
    <row r="287" spans="1:11" ht="15.75" customHeight="1" x14ac:dyDescent="0.3">
      <c r="A287" s="40" t="s">
        <v>1566</v>
      </c>
      <c r="B287" s="40" t="s">
        <v>524</v>
      </c>
      <c r="C287" s="51" t="str">
        <f>VLOOKUP(B287,'Sales Order'!A$2:B$1029,1,0)</f>
        <v>SO0286</v>
      </c>
      <c r="D287" s="17" t="s">
        <v>1275</v>
      </c>
      <c r="E287" s="29" t="s">
        <v>170</v>
      </c>
      <c r="F287" s="29" t="s">
        <v>1280</v>
      </c>
      <c r="G287" s="32">
        <v>859350</v>
      </c>
      <c r="H287" s="43">
        <v>0.11</v>
      </c>
      <c r="I287" s="38">
        <v>595606207.79999995</v>
      </c>
      <c r="J287" s="42">
        <f>'Sales Order'!H287+('Sales Order'!H287*0.11)+Invoice!G287</f>
        <v>595606207.79999995</v>
      </c>
      <c r="K287" s="41"/>
    </row>
    <row r="288" spans="1:11" ht="15.75" customHeight="1" x14ac:dyDescent="0.3">
      <c r="A288" s="40" t="s">
        <v>1567</v>
      </c>
      <c r="B288" s="40" t="s">
        <v>525</v>
      </c>
      <c r="C288" s="51" t="str">
        <f>VLOOKUP(B288,'Sales Order'!A$2:B$1029,1,0)</f>
        <v>SO0287</v>
      </c>
      <c r="D288" s="17" t="s">
        <v>1275</v>
      </c>
      <c r="E288" s="29" t="s">
        <v>2313</v>
      </c>
      <c r="F288" s="29" t="s">
        <v>1288</v>
      </c>
      <c r="G288" s="18">
        <v>808800</v>
      </c>
      <c r="H288" s="43">
        <v>0.11</v>
      </c>
      <c r="I288" s="38">
        <v>235597631.69999999</v>
      </c>
      <c r="J288" s="42">
        <f>'Sales Order'!H288+('Sales Order'!H288*0.11)+Invoice!G288</f>
        <v>235597631.69999999</v>
      </c>
      <c r="K288" s="41"/>
    </row>
    <row r="289" spans="1:11" ht="15.75" customHeight="1" x14ac:dyDescent="0.3">
      <c r="A289" s="40" t="s">
        <v>1568</v>
      </c>
      <c r="B289" s="40" t="s">
        <v>526</v>
      </c>
      <c r="C289" s="51" t="str">
        <f>VLOOKUP(B289,'Sales Order'!A$2:B$1029,1,0)</f>
        <v>SO0288</v>
      </c>
      <c r="D289" s="17" t="s">
        <v>1275</v>
      </c>
      <c r="E289" s="29" t="s">
        <v>2317</v>
      </c>
      <c r="F289" s="29" t="s">
        <v>1285</v>
      </c>
      <c r="G289" s="32">
        <v>859350</v>
      </c>
      <c r="H289" s="43">
        <v>0.11</v>
      </c>
      <c r="I289" s="38">
        <v>300631821.89999998</v>
      </c>
      <c r="J289" s="42">
        <f>'Sales Order'!H289+('Sales Order'!H289*0.11)+Invoice!G289</f>
        <v>300631821.89999998</v>
      </c>
      <c r="K289" s="41"/>
    </row>
    <row r="290" spans="1:11" ht="15.75" customHeight="1" x14ac:dyDescent="0.3">
      <c r="A290" s="40" t="s">
        <v>1569</v>
      </c>
      <c r="B290" s="40" t="s">
        <v>527</v>
      </c>
      <c r="C290" s="51" t="str">
        <f>VLOOKUP(B290,'Sales Order'!A$2:B$1029,1,0)</f>
        <v>SO0289</v>
      </c>
      <c r="D290" s="17" t="s">
        <v>1279</v>
      </c>
      <c r="E290" s="29" t="s">
        <v>118</v>
      </c>
      <c r="F290" s="29" t="s">
        <v>1276</v>
      </c>
      <c r="G290" s="18">
        <v>8088</v>
      </c>
      <c r="H290" s="43">
        <v>0.11</v>
      </c>
      <c r="I290" s="38">
        <v>87438625.5</v>
      </c>
      <c r="J290" s="42">
        <f>'Sales Order'!H290+('Sales Order'!H290*0.11)+Invoice!G290</f>
        <v>87438625.5</v>
      </c>
      <c r="K290" s="41"/>
    </row>
    <row r="291" spans="1:11" ht="15.75" customHeight="1" x14ac:dyDescent="0.3">
      <c r="A291" s="40" t="s">
        <v>1570</v>
      </c>
      <c r="B291" s="40" t="s">
        <v>528</v>
      </c>
      <c r="C291" s="51" t="str">
        <f>VLOOKUP(B291,'Sales Order'!A$2:B$1029,1,0)</f>
        <v>SO0290</v>
      </c>
      <c r="D291" s="17" t="s">
        <v>1279</v>
      </c>
      <c r="E291" s="29" t="s">
        <v>118</v>
      </c>
      <c r="F291" s="29" t="s">
        <v>1276</v>
      </c>
      <c r="G291" s="18">
        <v>8088</v>
      </c>
      <c r="H291" s="43">
        <v>0.11</v>
      </c>
      <c r="I291" s="38">
        <v>26935926.539999999</v>
      </c>
      <c r="J291" s="42">
        <f>'Sales Order'!H291+('Sales Order'!H291*0.11)+Invoice!G291</f>
        <v>26935926.539999999</v>
      </c>
      <c r="K291" s="41"/>
    </row>
    <row r="292" spans="1:11" ht="15.75" customHeight="1" x14ac:dyDescent="0.3">
      <c r="A292" s="40" t="s">
        <v>1571</v>
      </c>
      <c r="B292" s="40" t="s">
        <v>529</v>
      </c>
      <c r="C292" s="51" t="str">
        <f>VLOOKUP(B292,'Sales Order'!A$2:B$1029,1,0)</f>
        <v>SO0291</v>
      </c>
      <c r="D292" s="17" t="s">
        <v>1275</v>
      </c>
      <c r="E292" s="29" t="s">
        <v>2320</v>
      </c>
      <c r="F292" s="29" t="s">
        <v>1295</v>
      </c>
      <c r="G292" s="32">
        <v>758250</v>
      </c>
      <c r="H292" s="43">
        <v>0.11</v>
      </c>
      <c r="I292" s="38">
        <v>945793302.29999995</v>
      </c>
      <c r="J292" s="42">
        <f>'Sales Order'!H292+('Sales Order'!H292*0.11)+Invoice!G292</f>
        <v>945793302.29999995</v>
      </c>
      <c r="K292" s="41"/>
    </row>
    <row r="293" spans="1:11" ht="15.75" customHeight="1" x14ac:dyDescent="0.3">
      <c r="A293" s="40" t="s">
        <v>1572</v>
      </c>
      <c r="B293" s="40" t="s">
        <v>530</v>
      </c>
      <c r="C293" s="51" t="str">
        <f>VLOOKUP(B293,'Sales Order'!A$2:B$1029,1,0)</f>
        <v>SO0292</v>
      </c>
      <c r="D293" s="17" t="s">
        <v>1275</v>
      </c>
      <c r="E293" s="29" t="s">
        <v>2320</v>
      </c>
      <c r="F293" s="29" t="s">
        <v>1295</v>
      </c>
      <c r="G293" s="32">
        <v>758250</v>
      </c>
      <c r="H293" s="43">
        <v>0.11</v>
      </c>
      <c r="I293" s="38">
        <v>304951530</v>
      </c>
      <c r="J293" s="42">
        <f>'Sales Order'!H293+('Sales Order'!H293*0.11)+Invoice!G293</f>
        <v>304951530</v>
      </c>
      <c r="K293" s="41"/>
    </row>
    <row r="294" spans="1:11" ht="15.75" customHeight="1" x14ac:dyDescent="0.3">
      <c r="A294" s="40" t="s">
        <v>1573</v>
      </c>
      <c r="B294" s="40" t="s">
        <v>531</v>
      </c>
      <c r="C294" s="51" t="str">
        <f>VLOOKUP(B294,'Sales Order'!A$2:B$1029,1,0)</f>
        <v>SO0293</v>
      </c>
      <c r="D294" s="17" t="s">
        <v>1279</v>
      </c>
      <c r="E294" s="29" t="s">
        <v>118</v>
      </c>
      <c r="F294" s="29" t="s">
        <v>1280</v>
      </c>
      <c r="G294" s="18">
        <v>8088</v>
      </c>
      <c r="H294" s="43">
        <v>0.11</v>
      </c>
      <c r="I294" s="38">
        <v>1110149868.3</v>
      </c>
      <c r="J294" s="42">
        <f>'Sales Order'!H294+('Sales Order'!H294*0.11)+Invoice!G294</f>
        <v>1110149868.3</v>
      </c>
      <c r="K294" s="41"/>
    </row>
    <row r="295" spans="1:11" ht="15.75" customHeight="1" x14ac:dyDescent="0.3">
      <c r="A295" s="40" t="s">
        <v>1574</v>
      </c>
      <c r="B295" s="40" t="s">
        <v>532</v>
      </c>
      <c r="C295" s="51" t="str">
        <f>VLOOKUP(B295,'Sales Order'!A$2:B$1029,1,0)</f>
        <v>SO0294</v>
      </c>
      <c r="D295" s="17" t="s">
        <v>1279</v>
      </c>
      <c r="E295" s="29" t="s">
        <v>118</v>
      </c>
      <c r="F295" s="29" t="s">
        <v>1276</v>
      </c>
      <c r="G295" s="18">
        <v>8088</v>
      </c>
      <c r="H295" s="43">
        <v>0.11</v>
      </c>
      <c r="I295" s="38">
        <v>29175791.100000001</v>
      </c>
      <c r="J295" s="42">
        <f>'Sales Order'!H295+('Sales Order'!H295*0.11)+Invoice!G295</f>
        <v>29175791.100000001</v>
      </c>
      <c r="K295" s="41"/>
    </row>
    <row r="296" spans="1:11" ht="15.75" customHeight="1" x14ac:dyDescent="0.3">
      <c r="A296" s="40" t="s">
        <v>1575</v>
      </c>
      <c r="B296" s="40" t="s">
        <v>533</v>
      </c>
      <c r="C296" s="51" t="str">
        <f>VLOOKUP(B296,'Sales Order'!A$2:B$1029,1,0)</f>
        <v>SO0295</v>
      </c>
      <c r="D296" s="17" t="s">
        <v>1279</v>
      </c>
      <c r="E296" s="29" t="s">
        <v>2312</v>
      </c>
      <c r="F296" s="29" t="s">
        <v>1276</v>
      </c>
      <c r="G296" s="18">
        <v>32352</v>
      </c>
      <c r="H296" s="43">
        <v>0.11</v>
      </c>
      <c r="I296" s="38">
        <v>136547788.80000001</v>
      </c>
      <c r="J296" s="42">
        <f>'Sales Order'!H296+('Sales Order'!H296*0.11)+Invoice!G296</f>
        <v>136547788.80000001</v>
      </c>
      <c r="K296" s="41"/>
    </row>
    <row r="297" spans="1:11" ht="15.75" customHeight="1" x14ac:dyDescent="0.3">
      <c r="A297" s="40" t="s">
        <v>1576</v>
      </c>
      <c r="B297" s="40" t="s">
        <v>534</v>
      </c>
      <c r="C297" s="51" t="str">
        <f>VLOOKUP(B297,'Sales Order'!A$2:B$1029,1,0)</f>
        <v>SO0296</v>
      </c>
      <c r="D297" s="17" t="s">
        <v>1275</v>
      </c>
      <c r="E297" s="29" t="s">
        <v>2313</v>
      </c>
      <c r="F297" s="29" t="s">
        <v>1288</v>
      </c>
      <c r="G297" s="18">
        <v>808800</v>
      </c>
      <c r="H297" s="43">
        <v>0.11</v>
      </c>
      <c r="I297" s="38">
        <v>186039495</v>
      </c>
      <c r="J297" s="42">
        <f>'Sales Order'!H297+('Sales Order'!H297*0.11)+Invoice!G297</f>
        <v>186039495</v>
      </c>
      <c r="K297" s="41"/>
    </row>
    <row r="298" spans="1:11" ht="15.75" customHeight="1" x14ac:dyDescent="0.3">
      <c r="A298" s="40" t="s">
        <v>1577</v>
      </c>
      <c r="B298" s="40" t="s">
        <v>535</v>
      </c>
      <c r="C298" s="51" t="str">
        <f>VLOOKUP(B298,'Sales Order'!A$2:B$1029,1,0)</f>
        <v>SO0297</v>
      </c>
      <c r="D298" s="17" t="s">
        <v>1279</v>
      </c>
      <c r="E298" s="29" t="s">
        <v>2312</v>
      </c>
      <c r="F298" s="29" t="s">
        <v>1285</v>
      </c>
      <c r="G298" s="18">
        <v>32352</v>
      </c>
      <c r="H298" s="43">
        <v>0.11</v>
      </c>
      <c r="I298" s="38">
        <v>651568312.74000001</v>
      </c>
      <c r="J298" s="42">
        <f>'Sales Order'!H298+('Sales Order'!H298*0.11)+Invoice!G298</f>
        <v>651568312.74000001</v>
      </c>
      <c r="K298" s="41"/>
    </row>
    <row r="299" spans="1:11" ht="15.75" customHeight="1" x14ac:dyDescent="0.3">
      <c r="A299" s="40" t="s">
        <v>1578</v>
      </c>
      <c r="B299" s="40" t="s">
        <v>536</v>
      </c>
      <c r="C299" s="51" t="str">
        <f>VLOOKUP(B299,'Sales Order'!A$2:B$1029,1,0)</f>
        <v>SO0298</v>
      </c>
      <c r="D299" s="17" t="s">
        <v>1275</v>
      </c>
      <c r="E299" s="29" t="s">
        <v>143</v>
      </c>
      <c r="F299" s="29" t="s">
        <v>1295</v>
      </c>
      <c r="G299" s="32">
        <v>859350</v>
      </c>
      <c r="H299" s="43">
        <v>0.11</v>
      </c>
      <c r="I299" s="38">
        <v>280530765.30000001</v>
      </c>
      <c r="J299" s="42">
        <f>'Sales Order'!H299+('Sales Order'!H299*0.11)+Invoice!G299</f>
        <v>280530765.30000001</v>
      </c>
      <c r="K299" s="41"/>
    </row>
    <row r="300" spans="1:11" ht="15.75" customHeight="1" x14ac:dyDescent="0.3">
      <c r="A300" s="40" t="s">
        <v>1579</v>
      </c>
      <c r="B300" s="40" t="s">
        <v>537</v>
      </c>
      <c r="C300" s="51" t="str">
        <f>VLOOKUP(B300,'Sales Order'!A$2:B$1029,1,0)</f>
        <v>SO0299</v>
      </c>
      <c r="D300" s="17" t="s">
        <v>1275</v>
      </c>
      <c r="E300" s="29" t="s">
        <v>2318</v>
      </c>
      <c r="F300" s="29" t="s">
        <v>1285</v>
      </c>
      <c r="G300" s="32">
        <v>859350</v>
      </c>
      <c r="H300" s="43">
        <v>0.11</v>
      </c>
      <c r="I300" s="38">
        <v>302742131.69999999</v>
      </c>
      <c r="J300" s="42">
        <f>'Sales Order'!H300+('Sales Order'!H300*0.11)+Invoice!G300</f>
        <v>302742131.69999999</v>
      </c>
      <c r="K300" s="41"/>
    </row>
    <row r="301" spans="1:11" ht="15.75" customHeight="1" x14ac:dyDescent="0.3">
      <c r="A301" s="40" t="s">
        <v>1580</v>
      </c>
      <c r="B301" s="40" t="s">
        <v>538</v>
      </c>
      <c r="C301" s="51" t="str">
        <f>VLOOKUP(B301,'Sales Order'!A$2:B$1029,1,0)</f>
        <v>SO0300</v>
      </c>
      <c r="D301" s="17" t="s">
        <v>1279</v>
      </c>
      <c r="E301" s="29" t="s">
        <v>2312</v>
      </c>
      <c r="F301" s="29" t="s">
        <v>1295</v>
      </c>
      <c r="G301" s="18">
        <v>32352</v>
      </c>
      <c r="H301" s="43">
        <v>0.11</v>
      </c>
      <c r="I301" s="38">
        <v>1037793629.7</v>
      </c>
      <c r="J301" s="42">
        <f>'Sales Order'!H301+('Sales Order'!H301*0.11)+Invoice!G301</f>
        <v>1037793629.7</v>
      </c>
      <c r="K301" s="41"/>
    </row>
    <row r="302" spans="1:11" ht="15.75" customHeight="1" x14ac:dyDescent="0.3">
      <c r="A302" s="40" t="s">
        <v>1581</v>
      </c>
      <c r="B302" s="40" t="s">
        <v>539</v>
      </c>
      <c r="C302" s="51" t="str">
        <f>VLOOKUP(B302,'Sales Order'!A$2:B$1029,1,0)</f>
        <v>SO0301</v>
      </c>
      <c r="D302" s="17" t="s">
        <v>1275</v>
      </c>
      <c r="E302" s="29" t="s">
        <v>2320</v>
      </c>
      <c r="F302" s="29" t="s">
        <v>1276</v>
      </c>
      <c r="G302" s="32">
        <v>758250</v>
      </c>
      <c r="H302" s="43">
        <v>0.11</v>
      </c>
      <c r="I302" s="38">
        <v>181131862.5</v>
      </c>
      <c r="J302" s="42">
        <f>'Sales Order'!H302+('Sales Order'!H302*0.11)+Invoice!G302</f>
        <v>181131862.5</v>
      </c>
      <c r="K302" s="41"/>
    </row>
    <row r="303" spans="1:11" ht="15.75" customHeight="1" x14ac:dyDescent="0.3">
      <c r="A303" s="40" t="s">
        <v>1582</v>
      </c>
      <c r="B303" s="40" t="s">
        <v>540</v>
      </c>
      <c r="C303" s="51" t="str">
        <f>VLOOKUP(B303,'Sales Order'!A$2:B$1029,1,0)</f>
        <v>SO0302</v>
      </c>
      <c r="D303" s="17" t="s">
        <v>1275</v>
      </c>
      <c r="E303" s="29" t="s">
        <v>108</v>
      </c>
      <c r="F303" s="29" t="s">
        <v>1280</v>
      </c>
      <c r="G303" s="18">
        <v>556050</v>
      </c>
      <c r="H303" s="43">
        <v>0.11</v>
      </c>
      <c r="I303" s="38">
        <v>498533440.80000001</v>
      </c>
      <c r="J303" s="42">
        <f>'Sales Order'!H303+('Sales Order'!H303*0.11)+Invoice!G303</f>
        <v>498533440.80000001</v>
      </c>
      <c r="K303" s="41"/>
    </row>
    <row r="304" spans="1:11" ht="15.75" customHeight="1" x14ac:dyDescent="0.3">
      <c r="A304" s="40" t="s">
        <v>1583</v>
      </c>
      <c r="B304" s="40" t="s">
        <v>541</v>
      </c>
      <c r="C304" s="51" t="str">
        <f>VLOOKUP(B304,'Sales Order'!A$2:B$1029,1,0)</f>
        <v>SO0303</v>
      </c>
      <c r="D304" s="17" t="s">
        <v>1275</v>
      </c>
      <c r="E304" s="29" t="s">
        <v>2314</v>
      </c>
      <c r="F304" s="29" t="s">
        <v>1285</v>
      </c>
      <c r="G304" s="18">
        <v>808800</v>
      </c>
      <c r="H304" s="43">
        <v>0.11</v>
      </c>
      <c r="I304" s="38">
        <v>535258815</v>
      </c>
      <c r="J304" s="42">
        <f>'Sales Order'!H304+('Sales Order'!H304*0.11)+Invoice!G304</f>
        <v>535258815</v>
      </c>
      <c r="K304" s="41"/>
    </row>
    <row r="305" spans="1:11" ht="15.75" customHeight="1" x14ac:dyDescent="0.3">
      <c r="A305" s="40" t="s">
        <v>1584</v>
      </c>
      <c r="B305" s="40" t="s">
        <v>542</v>
      </c>
      <c r="C305" s="51" t="str">
        <f>VLOOKUP(B305,'Sales Order'!A$2:B$1029,1,0)</f>
        <v>SO0304</v>
      </c>
      <c r="D305" s="17" t="s">
        <v>1279</v>
      </c>
      <c r="E305" s="29" t="s">
        <v>118</v>
      </c>
      <c r="F305" s="29" t="s">
        <v>1280</v>
      </c>
      <c r="G305" s="18">
        <v>8088</v>
      </c>
      <c r="H305" s="43">
        <v>0.11</v>
      </c>
      <c r="I305" s="38">
        <v>285566588.10000002</v>
      </c>
      <c r="J305" s="42">
        <f>'Sales Order'!H305+('Sales Order'!H305*0.11)+Invoice!G305</f>
        <v>285566588.10000002</v>
      </c>
      <c r="K305" s="41"/>
    </row>
    <row r="306" spans="1:11" ht="15.75" customHeight="1" x14ac:dyDescent="0.3">
      <c r="A306" s="40" t="s">
        <v>1585</v>
      </c>
      <c r="B306" s="40" t="s">
        <v>543</v>
      </c>
      <c r="C306" s="51" t="str">
        <f>VLOOKUP(B306,'Sales Order'!A$2:B$1029,1,0)</f>
        <v>SO0305</v>
      </c>
      <c r="D306" s="17" t="s">
        <v>1279</v>
      </c>
      <c r="E306" s="29" t="s">
        <v>2312</v>
      </c>
      <c r="F306" s="29" t="s">
        <v>1280</v>
      </c>
      <c r="G306" s="18">
        <v>32352</v>
      </c>
      <c r="H306" s="43">
        <v>0.11</v>
      </c>
      <c r="I306" s="38">
        <v>616188567.89999998</v>
      </c>
      <c r="J306" s="42">
        <f>'Sales Order'!H306+('Sales Order'!H306*0.11)+Invoice!G306</f>
        <v>616188567.89999998</v>
      </c>
      <c r="K306" s="41"/>
    </row>
    <row r="307" spans="1:11" ht="15.75" customHeight="1" x14ac:dyDescent="0.3">
      <c r="A307" s="40" t="s">
        <v>1586</v>
      </c>
      <c r="B307" s="40" t="s">
        <v>544</v>
      </c>
      <c r="C307" s="51" t="str">
        <f>VLOOKUP(B307,'Sales Order'!A$2:B$1029,1,0)</f>
        <v>SO0306</v>
      </c>
      <c r="D307" s="17" t="s">
        <v>1275</v>
      </c>
      <c r="E307" s="29" t="s">
        <v>2313</v>
      </c>
      <c r="F307" s="29" t="s">
        <v>1288</v>
      </c>
      <c r="G307" s="18">
        <v>808800</v>
      </c>
      <c r="H307" s="43">
        <v>0.11</v>
      </c>
      <c r="I307" s="38">
        <v>130678467</v>
      </c>
      <c r="J307" s="42">
        <f>'Sales Order'!H307+('Sales Order'!H307*0.11)+Invoice!G307</f>
        <v>130678467</v>
      </c>
      <c r="K307" s="41"/>
    </row>
    <row r="308" spans="1:11" ht="15.75" customHeight="1" x14ac:dyDescent="0.3">
      <c r="A308" s="40" t="s">
        <v>1587</v>
      </c>
      <c r="B308" s="40" t="s">
        <v>545</v>
      </c>
      <c r="C308" s="51" t="str">
        <f>VLOOKUP(B308,'Sales Order'!A$2:B$1029,1,0)</f>
        <v>SO0307</v>
      </c>
      <c r="D308" s="17" t="s">
        <v>1275</v>
      </c>
      <c r="E308" s="29" t="s">
        <v>143</v>
      </c>
      <c r="F308" s="29" t="s">
        <v>1285</v>
      </c>
      <c r="G308" s="32">
        <v>859350</v>
      </c>
      <c r="H308" s="43">
        <v>0.11</v>
      </c>
      <c r="I308" s="38">
        <v>282118809</v>
      </c>
      <c r="J308" s="42">
        <f>'Sales Order'!H308+('Sales Order'!H308*0.11)+Invoice!G308</f>
        <v>282118809</v>
      </c>
      <c r="K308" s="41"/>
    </row>
    <row r="309" spans="1:11" ht="15.75" customHeight="1" x14ac:dyDescent="0.3">
      <c r="A309" s="40" t="s">
        <v>1588</v>
      </c>
      <c r="B309" s="40" t="s">
        <v>546</v>
      </c>
      <c r="C309" s="51" t="str">
        <f>VLOOKUP(B309,'Sales Order'!A$2:B$1029,1,0)</f>
        <v>SO0308</v>
      </c>
      <c r="D309" s="17" t="s">
        <v>1275</v>
      </c>
      <c r="E309" s="29" t="s">
        <v>170</v>
      </c>
      <c r="F309" s="29" t="s">
        <v>1285</v>
      </c>
      <c r="G309" s="32">
        <v>859350</v>
      </c>
      <c r="H309" s="43">
        <v>0.11</v>
      </c>
      <c r="I309" s="38">
        <v>286956266.69999999</v>
      </c>
      <c r="J309" s="42">
        <f>'Sales Order'!H309+('Sales Order'!H309*0.11)+Invoice!G309</f>
        <v>286956266.69999999</v>
      </c>
      <c r="K309" s="41"/>
    </row>
    <row r="310" spans="1:11" ht="15.75" customHeight="1" x14ac:dyDescent="0.3">
      <c r="A310" s="40" t="s">
        <v>1589</v>
      </c>
      <c r="B310" s="40" t="s">
        <v>547</v>
      </c>
      <c r="C310" s="51" t="str">
        <f>VLOOKUP(B310,'Sales Order'!A$2:B$1029,1,0)</f>
        <v>SO0309</v>
      </c>
      <c r="D310" s="17" t="s">
        <v>1275</v>
      </c>
      <c r="E310" s="29" t="s">
        <v>170</v>
      </c>
      <c r="F310" s="29" t="s">
        <v>1276</v>
      </c>
      <c r="G310" s="32">
        <v>859350</v>
      </c>
      <c r="H310" s="43">
        <v>0.11</v>
      </c>
      <c r="I310" s="38">
        <v>173497960.80000001</v>
      </c>
      <c r="J310" s="42">
        <f>'Sales Order'!H310+('Sales Order'!H310*0.11)+Invoice!G310</f>
        <v>173497960.80000001</v>
      </c>
      <c r="K310" s="41"/>
    </row>
    <row r="311" spans="1:11" ht="15.75" customHeight="1" x14ac:dyDescent="0.3">
      <c r="A311" s="40" t="s">
        <v>1590</v>
      </c>
      <c r="B311" s="40" t="s">
        <v>548</v>
      </c>
      <c r="C311" s="51" t="str">
        <f>VLOOKUP(B311,'Sales Order'!A$2:B$1029,1,0)</f>
        <v>SO0310</v>
      </c>
      <c r="D311" s="17" t="s">
        <v>1275</v>
      </c>
      <c r="E311" s="29" t="s">
        <v>2313</v>
      </c>
      <c r="F311" s="29" t="s">
        <v>1280</v>
      </c>
      <c r="G311" s="18">
        <v>808800</v>
      </c>
      <c r="H311" s="43">
        <v>0.11</v>
      </c>
      <c r="I311" s="38">
        <v>312918355.80000001</v>
      </c>
      <c r="J311" s="42">
        <f>'Sales Order'!H311+('Sales Order'!H311*0.11)+Invoice!G311</f>
        <v>312918355.80000001</v>
      </c>
      <c r="K311" s="41"/>
    </row>
    <row r="312" spans="1:11" ht="15.75" customHeight="1" x14ac:dyDescent="0.3">
      <c r="A312" s="40" t="s">
        <v>1591</v>
      </c>
      <c r="B312" s="40" t="s">
        <v>549</v>
      </c>
      <c r="C312" s="51" t="str">
        <f>VLOOKUP(B312,'Sales Order'!A$2:B$1029,1,0)</f>
        <v>SO0311</v>
      </c>
      <c r="D312" s="17" t="s">
        <v>1275</v>
      </c>
      <c r="E312" s="29" t="s">
        <v>2318</v>
      </c>
      <c r="F312" s="29" t="s">
        <v>1276</v>
      </c>
      <c r="G312" s="32">
        <v>859350</v>
      </c>
      <c r="H312" s="43">
        <v>0.11</v>
      </c>
      <c r="I312" s="38">
        <v>71013126</v>
      </c>
      <c r="J312" s="42">
        <f>'Sales Order'!H312+('Sales Order'!H312*0.11)+Invoice!G312</f>
        <v>71013126</v>
      </c>
      <c r="K312" s="41"/>
    </row>
    <row r="313" spans="1:11" ht="15.75" customHeight="1" x14ac:dyDescent="0.3">
      <c r="A313" s="40" t="s">
        <v>1592</v>
      </c>
      <c r="B313" s="40" t="s">
        <v>550</v>
      </c>
      <c r="C313" s="51" t="str">
        <f>VLOOKUP(B313,'Sales Order'!A$2:B$1029,1,0)</f>
        <v>SO0312</v>
      </c>
      <c r="D313" s="17" t="s">
        <v>1279</v>
      </c>
      <c r="E313" s="29" t="s">
        <v>118</v>
      </c>
      <c r="F313" s="29" t="s">
        <v>1288</v>
      </c>
      <c r="G313" s="18">
        <v>8088</v>
      </c>
      <c r="H313" s="43">
        <v>0.11</v>
      </c>
      <c r="I313" s="38">
        <v>27480588</v>
      </c>
      <c r="J313" s="42">
        <f>'Sales Order'!H313+('Sales Order'!H313*0.11)+Invoice!G313</f>
        <v>27480588</v>
      </c>
      <c r="K313" s="41"/>
    </row>
    <row r="314" spans="1:11" ht="15.75" customHeight="1" x14ac:dyDescent="0.3">
      <c r="A314" s="40" t="s">
        <v>1593</v>
      </c>
      <c r="B314" s="40" t="s">
        <v>551</v>
      </c>
      <c r="C314" s="51" t="str">
        <f>VLOOKUP(B314,'Sales Order'!A$2:B$1029,1,0)</f>
        <v>SO0313</v>
      </c>
      <c r="D314" s="17" t="s">
        <v>1275</v>
      </c>
      <c r="E314" s="29" t="s">
        <v>2317</v>
      </c>
      <c r="F314" s="29" t="s">
        <v>1276</v>
      </c>
      <c r="G314" s="32">
        <v>859350</v>
      </c>
      <c r="H314" s="43">
        <v>0.11</v>
      </c>
      <c r="I314" s="38">
        <v>134080650.90000001</v>
      </c>
      <c r="J314" s="42">
        <f>'Sales Order'!H314+('Sales Order'!H314*0.11)+Invoice!G314</f>
        <v>134080650.90000001</v>
      </c>
      <c r="K314" s="41"/>
    </row>
    <row r="315" spans="1:11" ht="15.75" customHeight="1" x14ac:dyDescent="0.3">
      <c r="A315" s="40" t="s">
        <v>1594</v>
      </c>
      <c r="B315" s="40" t="s">
        <v>552</v>
      </c>
      <c r="C315" s="51" t="str">
        <f>VLOOKUP(B315,'Sales Order'!A$2:B$1029,1,0)</f>
        <v>SO0314</v>
      </c>
      <c r="D315" s="17" t="s">
        <v>1275</v>
      </c>
      <c r="E315" s="29" t="s">
        <v>2313</v>
      </c>
      <c r="F315" s="29" t="s">
        <v>1276</v>
      </c>
      <c r="G315" s="18">
        <v>808800</v>
      </c>
      <c r="H315" s="43">
        <v>0.11</v>
      </c>
      <c r="I315" s="38">
        <v>96743957.700000003</v>
      </c>
      <c r="J315" s="42">
        <f>'Sales Order'!H315+('Sales Order'!H315*0.11)+Invoice!G315</f>
        <v>96743957.700000003</v>
      </c>
      <c r="K315" s="41"/>
    </row>
    <row r="316" spans="1:11" ht="15.75" customHeight="1" x14ac:dyDescent="0.3">
      <c r="A316" s="40" t="s">
        <v>1595</v>
      </c>
      <c r="B316" s="40" t="s">
        <v>553</v>
      </c>
      <c r="C316" s="51" t="str">
        <f>VLOOKUP(B316,'Sales Order'!A$2:B$1029,1,0)</f>
        <v>SO0315</v>
      </c>
      <c r="D316" s="17" t="s">
        <v>1275</v>
      </c>
      <c r="E316" s="29" t="s">
        <v>2318</v>
      </c>
      <c r="F316" s="29" t="s">
        <v>1280</v>
      </c>
      <c r="G316" s="32">
        <v>859350</v>
      </c>
      <c r="H316" s="43">
        <v>0.11</v>
      </c>
      <c r="I316" s="38">
        <v>610856187</v>
      </c>
      <c r="J316" s="42">
        <f>'Sales Order'!H316+('Sales Order'!H316*0.11)+Invoice!G316</f>
        <v>610856187</v>
      </c>
      <c r="K316" s="41"/>
    </row>
    <row r="317" spans="1:11" ht="15.75" customHeight="1" x14ac:dyDescent="0.3">
      <c r="A317" s="40" t="s">
        <v>1596</v>
      </c>
      <c r="B317" s="40" t="s">
        <v>554</v>
      </c>
      <c r="C317" s="51" t="str">
        <f>VLOOKUP(B317,'Sales Order'!A$2:B$1029,1,0)</f>
        <v>SO0316</v>
      </c>
      <c r="D317" s="17" t="s">
        <v>1275</v>
      </c>
      <c r="E317" s="29" t="s">
        <v>2314</v>
      </c>
      <c r="F317" s="29" t="s">
        <v>1295</v>
      </c>
      <c r="G317" s="18">
        <v>808800</v>
      </c>
      <c r="H317" s="43">
        <v>0.11</v>
      </c>
      <c r="I317" s="38">
        <v>820451658.89999998</v>
      </c>
      <c r="J317" s="42">
        <f>'Sales Order'!H317+('Sales Order'!H317*0.11)+Invoice!G317</f>
        <v>820451658.89999998</v>
      </c>
      <c r="K317" s="41"/>
    </row>
    <row r="318" spans="1:11" ht="15.75" customHeight="1" x14ac:dyDescent="0.3">
      <c r="A318" s="40" t="s">
        <v>1597</v>
      </c>
      <c r="B318" s="40" t="s">
        <v>555</v>
      </c>
      <c r="C318" s="51" t="str">
        <f>VLOOKUP(B318,'Sales Order'!A$2:B$1029,1,0)</f>
        <v>SO0317</v>
      </c>
      <c r="D318" s="17" t="s">
        <v>1279</v>
      </c>
      <c r="E318" s="29" t="s">
        <v>118</v>
      </c>
      <c r="F318" s="29" t="s">
        <v>1288</v>
      </c>
      <c r="G318" s="18">
        <v>8088</v>
      </c>
      <c r="H318" s="43">
        <v>0.11</v>
      </c>
      <c r="I318" s="38">
        <v>47935515.93</v>
      </c>
      <c r="J318" s="42">
        <f>'Sales Order'!H318+('Sales Order'!H318*0.11)+Invoice!G318</f>
        <v>47935515.93</v>
      </c>
      <c r="K318" s="41"/>
    </row>
    <row r="319" spans="1:11" ht="15.75" customHeight="1" x14ac:dyDescent="0.3">
      <c r="A319" s="40" t="s">
        <v>1598</v>
      </c>
      <c r="B319" s="40" t="s">
        <v>556</v>
      </c>
      <c r="C319" s="51" t="str">
        <f>VLOOKUP(B319,'Sales Order'!A$2:B$1029,1,0)</f>
        <v>SO0318</v>
      </c>
      <c r="D319" s="17" t="s">
        <v>1275</v>
      </c>
      <c r="E319" s="29" t="s">
        <v>2313</v>
      </c>
      <c r="F319" s="29" t="s">
        <v>1288</v>
      </c>
      <c r="G319" s="18">
        <v>808800</v>
      </c>
      <c r="H319" s="43">
        <v>0.11</v>
      </c>
      <c r="I319" s="38">
        <v>271428909</v>
      </c>
      <c r="J319" s="42">
        <f>'Sales Order'!H319+('Sales Order'!H319*0.11)+Invoice!G319</f>
        <v>271428909</v>
      </c>
      <c r="K319" s="41"/>
    </row>
    <row r="320" spans="1:11" ht="15.75" customHeight="1" x14ac:dyDescent="0.3">
      <c r="A320" s="40" t="s">
        <v>1599</v>
      </c>
      <c r="B320" s="40" t="s">
        <v>557</v>
      </c>
      <c r="C320" s="51" t="str">
        <f>VLOOKUP(B320,'Sales Order'!A$2:B$1029,1,0)</f>
        <v>SO0319</v>
      </c>
      <c r="D320" s="17" t="s">
        <v>1275</v>
      </c>
      <c r="E320" s="29" t="s">
        <v>2318</v>
      </c>
      <c r="F320" s="29" t="s">
        <v>1295</v>
      </c>
      <c r="G320" s="32">
        <v>859350</v>
      </c>
      <c r="H320" s="43">
        <v>0.11</v>
      </c>
      <c r="I320" s="38">
        <v>748470268.5</v>
      </c>
      <c r="J320" s="42">
        <f>'Sales Order'!H320+('Sales Order'!H320*0.11)+Invoice!G320</f>
        <v>748470268.5</v>
      </c>
      <c r="K320" s="41"/>
    </row>
    <row r="321" spans="1:11" ht="15.75" customHeight="1" x14ac:dyDescent="0.3">
      <c r="A321" s="40" t="s">
        <v>1600</v>
      </c>
      <c r="B321" s="40" t="s">
        <v>558</v>
      </c>
      <c r="C321" s="51" t="str">
        <f>VLOOKUP(B321,'Sales Order'!A$2:B$1029,1,0)</f>
        <v>SO0320</v>
      </c>
      <c r="D321" s="17" t="s">
        <v>1275</v>
      </c>
      <c r="E321" s="29" t="s">
        <v>170</v>
      </c>
      <c r="F321" s="29" t="s">
        <v>1288</v>
      </c>
      <c r="G321" s="32">
        <v>859350</v>
      </c>
      <c r="H321" s="43">
        <v>0.11</v>
      </c>
      <c r="I321" s="38">
        <v>19592065.199999999</v>
      </c>
      <c r="J321" s="42">
        <f>'Sales Order'!H321+('Sales Order'!H321*0.11)+Invoice!G321</f>
        <v>19592065.199999999</v>
      </c>
      <c r="K321" s="41"/>
    </row>
    <row r="322" spans="1:11" ht="15.75" customHeight="1" x14ac:dyDescent="0.3">
      <c r="A322" s="40" t="s">
        <v>1601</v>
      </c>
      <c r="B322" s="40" t="s">
        <v>559</v>
      </c>
      <c r="C322" s="51" t="str">
        <f>VLOOKUP(B322,'Sales Order'!A$2:B$1029,1,0)</f>
        <v>SO0321</v>
      </c>
      <c r="D322" s="17" t="s">
        <v>1275</v>
      </c>
      <c r="E322" s="29" t="s">
        <v>2314</v>
      </c>
      <c r="F322" s="29" t="s">
        <v>1276</v>
      </c>
      <c r="G322" s="18">
        <v>808800</v>
      </c>
      <c r="H322" s="43">
        <v>0.11</v>
      </c>
      <c r="I322" s="38">
        <v>117605364.3</v>
      </c>
      <c r="J322" s="42">
        <f>'Sales Order'!H322+('Sales Order'!H322*0.11)+Invoice!G322</f>
        <v>117605364.3</v>
      </c>
      <c r="K322" s="41"/>
    </row>
    <row r="323" spans="1:11" ht="15.75" customHeight="1" x14ac:dyDescent="0.3">
      <c r="A323" s="40" t="s">
        <v>1602</v>
      </c>
      <c r="B323" s="40" t="s">
        <v>560</v>
      </c>
      <c r="C323" s="51" t="str">
        <f>VLOOKUP(B323,'Sales Order'!A$2:B$1029,1,0)</f>
        <v>SO0322</v>
      </c>
      <c r="D323" s="17" t="s">
        <v>1275</v>
      </c>
      <c r="E323" s="29" t="s">
        <v>2315</v>
      </c>
      <c r="F323" s="29" t="s">
        <v>1285</v>
      </c>
      <c r="G323" s="18">
        <v>556050</v>
      </c>
      <c r="H323" s="43">
        <v>0.11</v>
      </c>
      <c r="I323" s="38">
        <v>412574130.60000002</v>
      </c>
      <c r="J323" s="42">
        <f>'Sales Order'!H323+('Sales Order'!H323*0.11)+Invoice!G323</f>
        <v>412574130.60000002</v>
      </c>
      <c r="K323" s="41"/>
    </row>
    <row r="324" spans="1:11" ht="15.75" customHeight="1" x14ac:dyDescent="0.3">
      <c r="A324" s="40" t="s">
        <v>1603</v>
      </c>
      <c r="B324" s="40" t="s">
        <v>561</v>
      </c>
      <c r="C324" s="51" t="str">
        <f>VLOOKUP(B324,'Sales Order'!A$2:B$1029,1,0)</f>
        <v>SO0323</v>
      </c>
      <c r="D324" s="17" t="s">
        <v>1275</v>
      </c>
      <c r="E324" s="29" t="s">
        <v>2314</v>
      </c>
      <c r="F324" s="29" t="s">
        <v>1295</v>
      </c>
      <c r="G324" s="18">
        <v>808800</v>
      </c>
      <c r="H324" s="43">
        <v>0.11</v>
      </c>
      <c r="I324" s="38">
        <v>320383017</v>
      </c>
      <c r="J324" s="42">
        <f>'Sales Order'!H324+('Sales Order'!H324*0.11)+Invoice!G324</f>
        <v>320383017</v>
      </c>
      <c r="K324" s="41"/>
    </row>
    <row r="325" spans="1:11" ht="15.75" customHeight="1" x14ac:dyDescent="0.3">
      <c r="A325" s="40" t="s">
        <v>1604</v>
      </c>
      <c r="B325" s="40" t="s">
        <v>562</v>
      </c>
      <c r="C325" s="51" t="str">
        <f>VLOOKUP(B325,'Sales Order'!A$2:B$1029,1,0)</f>
        <v>SO0324</v>
      </c>
      <c r="D325" s="17" t="s">
        <v>1275</v>
      </c>
      <c r="E325" s="29" t="s">
        <v>2313</v>
      </c>
      <c r="F325" s="29" t="s">
        <v>1285</v>
      </c>
      <c r="G325" s="18">
        <v>808800</v>
      </c>
      <c r="H325" s="43">
        <v>0.11</v>
      </c>
      <c r="I325" s="38">
        <v>323236272</v>
      </c>
      <c r="J325" s="42">
        <f>'Sales Order'!H325+('Sales Order'!H325*0.11)+Invoice!G325</f>
        <v>323236272</v>
      </c>
      <c r="K325" s="41"/>
    </row>
    <row r="326" spans="1:11" ht="15.75" customHeight="1" x14ac:dyDescent="0.3">
      <c r="A326" s="40" t="s">
        <v>1605</v>
      </c>
      <c r="B326" s="40" t="s">
        <v>563</v>
      </c>
      <c r="C326" s="51" t="str">
        <f>VLOOKUP(B326,'Sales Order'!A$2:B$1029,1,0)</f>
        <v>SO0325</v>
      </c>
      <c r="D326" s="17" t="s">
        <v>1275</v>
      </c>
      <c r="E326" s="29" t="s">
        <v>143</v>
      </c>
      <c r="F326" s="29" t="s">
        <v>1276</v>
      </c>
      <c r="G326" s="32">
        <v>859350</v>
      </c>
      <c r="H326" s="43">
        <v>0.11</v>
      </c>
      <c r="I326" s="38">
        <v>164699590.19999999</v>
      </c>
      <c r="J326" s="42">
        <f>'Sales Order'!H326+('Sales Order'!H326*0.11)+Invoice!G326</f>
        <v>164699590.19999999</v>
      </c>
      <c r="K326" s="41"/>
    </row>
    <row r="327" spans="1:11" ht="15.75" customHeight="1" x14ac:dyDescent="0.3">
      <c r="A327" s="40" t="s">
        <v>1606</v>
      </c>
      <c r="B327" s="40" t="s">
        <v>564</v>
      </c>
      <c r="C327" s="51" t="str">
        <f>VLOOKUP(B327,'Sales Order'!A$2:B$1029,1,0)</f>
        <v>SO0326</v>
      </c>
      <c r="D327" s="17" t="s">
        <v>1275</v>
      </c>
      <c r="E327" s="29" t="s">
        <v>2314</v>
      </c>
      <c r="F327" s="29" t="s">
        <v>1288</v>
      </c>
      <c r="G327" s="18">
        <v>808800</v>
      </c>
      <c r="H327" s="43">
        <v>0.11</v>
      </c>
      <c r="I327" s="38">
        <v>7999801.7999999998</v>
      </c>
      <c r="J327" s="42">
        <f>'Sales Order'!H327+('Sales Order'!H327*0.11)+Invoice!G327</f>
        <v>7999801.7999999998</v>
      </c>
      <c r="K327" s="41"/>
    </row>
    <row r="328" spans="1:11" ht="15.75" customHeight="1" x14ac:dyDescent="0.3">
      <c r="A328" s="40" t="s">
        <v>1607</v>
      </c>
      <c r="B328" s="40" t="s">
        <v>565</v>
      </c>
      <c r="C328" s="51" t="str">
        <f>VLOOKUP(B328,'Sales Order'!A$2:B$1029,1,0)</f>
        <v>SO0327</v>
      </c>
      <c r="D328" s="17" t="s">
        <v>1275</v>
      </c>
      <c r="E328" s="29" t="s">
        <v>143</v>
      </c>
      <c r="F328" s="29" t="s">
        <v>1285</v>
      </c>
      <c r="G328" s="32">
        <v>859350</v>
      </c>
      <c r="H328" s="43">
        <v>0.11</v>
      </c>
      <c r="I328" s="38">
        <v>346426770</v>
      </c>
      <c r="J328" s="42">
        <f>'Sales Order'!H328+('Sales Order'!H328*0.11)+Invoice!G328</f>
        <v>346426770</v>
      </c>
      <c r="K328" s="41"/>
    </row>
    <row r="329" spans="1:11" ht="15.75" customHeight="1" x14ac:dyDescent="0.3">
      <c r="A329" s="40" t="s">
        <v>1608</v>
      </c>
      <c r="B329" s="40" t="s">
        <v>566</v>
      </c>
      <c r="C329" s="51" t="str">
        <f>VLOOKUP(B329,'Sales Order'!A$2:B$1029,1,0)</f>
        <v>SO0328</v>
      </c>
      <c r="D329" s="17" t="s">
        <v>1279</v>
      </c>
      <c r="E329" s="29" t="s">
        <v>2312</v>
      </c>
      <c r="F329" s="29" t="s">
        <v>1288</v>
      </c>
      <c r="G329" s="18">
        <v>32352</v>
      </c>
      <c r="H329" s="43">
        <v>0.11</v>
      </c>
      <c r="I329" s="38">
        <v>170810425.19999999</v>
      </c>
      <c r="J329" s="42">
        <f>'Sales Order'!H329+('Sales Order'!H329*0.11)+Invoice!G329</f>
        <v>170810425.19999999</v>
      </c>
      <c r="K329" s="41"/>
    </row>
    <row r="330" spans="1:11" ht="15.75" customHeight="1" x14ac:dyDescent="0.3">
      <c r="A330" s="40" t="s">
        <v>1609</v>
      </c>
      <c r="B330" s="40" t="s">
        <v>567</v>
      </c>
      <c r="C330" s="51" t="str">
        <f>VLOOKUP(B330,'Sales Order'!A$2:B$1029,1,0)</f>
        <v>SO0329</v>
      </c>
      <c r="D330" s="17" t="s">
        <v>1275</v>
      </c>
      <c r="E330" s="29" t="s">
        <v>2318</v>
      </c>
      <c r="F330" s="29" t="s">
        <v>1295</v>
      </c>
      <c r="G330" s="32">
        <v>859350</v>
      </c>
      <c r="H330" s="43">
        <v>0.11</v>
      </c>
      <c r="I330" s="38">
        <v>698776201.20000005</v>
      </c>
      <c r="J330" s="42">
        <f>'Sales Order'!H330+('Sales Order'!H330*0.11)+Invoice!G330</f>
        <v>698776201.20000005</v>
      </c>
      <c r="K330" s="41"/>
    </row>
    <row r="331" spans="1:11" ht="15.75" customHeight="1" x14ac:dyDescent="0.3">
      <c r="A331" s="40" t="s">
        <v>1610</v>
      </c>
      <c r="B331" s="40" t="s">
        <v>568</v>
      </c>
      <c r="C331" s="51" t="str">
        <f>VLOOKUP(B331,'Sales Order'!A$2:B$1029,1,0)</f>
        <v>SO0330</v>
      </c>
      <c r="D331" s="17" t="s">
        <v>1275</v>
      </c>
      <c r="E331" s="29" t="s">
        <v>2320</v>
      </c>
      <c r="F331" s="29" t="s">
        <v>1285</v>
      </c>
      <c r="G331" s="32">
        <v>758250</v>
      </c>
      <c r="H331" s="43">
        <v>0.11</v>
      </c>
      <c r="I331" s="38">
        <v>413227701</v>
      </c>
      <c r="J331" s="42">
        <f>'Sales Order'!H331+('Sales Order'!H331*0.11)+Invoice!G331</f>
        <v>413227701</v>
      </c>
      <c r="K331" s="41"/>
    </row>
    <row r="332" spans="1:11" ht="15.75" customHeight="1" x14ac:dyDescent="0.3">
      <c r="A332" s="40" t="s">
        <v>1611</v>
      </c>
      <c r="B332" s="40" t="s">
        <v>569</v>
      </c>
      <c r="C332" s="51" t="str">
        <f>VLOOKUP(B332,'Sales Order'!A$2:B$1029,1,0)</f>
        <v>SO0331</v>
      </c>
      <c r="D332" s="17" t="s">
        <v>1275</v>
      </c>
      <c r="E332" s="29" t="s">
        <v>2313</v>
      </c>
      <c r="F332" s="29" t="s">
        <v>1285</v>
      </c>
      <c r="G332" s="18">
        <v>808800</v>
      </c>
      <c r="H332" s="43">
        <v>0.11</v>
      </c>
      <c r="I332" s="38">
        <v>664018637.39999998</v>
      </c>
      <c r="J332" s="42">
        <f>'Sales Order'!H332+('Sales Order'!H332*0.11)+Invoice!G332</f>
        <v>664018637.39999998</v>
      </c>
      <c r="K332" s="41"/>
    </row>
    <row r="333" spans="1:11" ht="15.75" customHeight="1" x14ac:dyDescent="0.3">
      <c r="A333" s="40" t="s">
        <v>1612</v>
      </c>
      <c r="B333" s="40" t="s">
        <v>570</v>
      </c>
      <c r="C333" s="51" t="str">
        <f>VLOOKUP(B333,'Sales Order'!A$2:B$1029,1,0)</f>
        <v>SO0332</v>
      </c>
      <c r="D333" s="17" t="s">
        <v>1275</v>
      </c>
      <c r="E333" s="29" t="s">
        <v>170</v>
      </c>
      <c r="F333" s="29" t="s">
        <v>1276</v>
      </c>
      <c r="G333" s="32">
        <v>859350</v>
      </c>
      <c r="H333" s="43">
        <v>0.11</v>
      </c>
      <c r="I333" s="38">
        <v>248714136</v>
      </c>
      <c r="J333" s="42">
        <f>'Sales Order'!H333+('Sales Order'!H333*0.11)+Invoice!G333</f>
        <v>248714136</v>
      </c>
      <c r="K333" s="41"/>
    </row>
    <row r="334" spans="1:11" ht="15.75" customHeight="1" x14ac:dyDescent="0.3">
      <c r="A334" s="40" t="s">
        <v>1613</v>
      </c>
      <c r="B334" s="40" t="s">
        <v>571</v>
      </c>
      <c r="C334" s="51" t="str">
        <f>VLOOKUP(B334,'Sales Order'!A$2:B$1029,1,0)</f>
        <v>SO0333</v>
      </c>
      <c r="D334" s="17" t="s">
        <v>1275</v>
      </c>
      <c r="E334" s="29" t="s">
        <v>2316</v>
      </c>
      <c r="F334" s="29" t="s">
        <v>1288</v>
      </c>
      <c r="G334" s="18">
        <v>556050</v>
      </c>
      <c r="H334" s="43">
        <v>0.11</v>
      </c>
      <c r="I334" s="38">
        <v>234936135.30000001</v>
      </c>
      <c r="J334" s="42">
        <f>'Sales Order'!H334+('Sales Order'!H334*0.11)+Invoice!G334</f>
        <v>234936135.30000001</v>
      </c>
      <c r="K334" s="41"/>
    </row>
    <row r="335" spans="1:11" ht="15.75" customHeight="1" x14ac:dyDescent="0.3">
      <c r="A335" s="40" t="s">
        <v>1614</v>
      </c>
      <c r="B335" s="40" t="s">
        <v>572</v>
      </c>
      <c r="C335" s="51" t="str">
        <f>VLOOKUP(B335,'Sales Order'!A$2:B$1029,1,0)</f>
        <v>SO0334</v>
      </c>
      <c r="D335" s="17" t="s">
        <v>1275</v>
      </c>
      <c r="E335" s="29" t="s">
        <v>170</v>
      </c>
      <c r="F335" s="29" t="s">
        <v>1285</v>
      </c>
      <c r="G335" s="32">
        <v>859350</v>
      </c>
      <c r="H335" s="43">
        <v>0.11</v>
      </c>
      <c r="I335" s="38">
        <v>926113336.5</v>
      </c>
      <c r="J335" s="42">
        <f>'Sales Order'!H335+('Sales Order'!H335*0.11)+Invoice!G335</f>
        <v>926113336.5</v>
      </c>
      <c r="K335" s="41"/>
    </row>
    <row r="336" spans="1:11" ht="15.75" customHeight="1" x14ac:dyDescent="0.3">
      <c r="A336" s="40" t="s">
        <v>1615</v>
      </c>
      <c r="B336" s="40" t="s">
        <v>573</v>
      </c>
      <c r="C336" s="51" t="str">
        <f>VLOOKUP(B336,'Sales Order'!A$2:B$1029,1,0)</f>
        <v>SO0335</v>
      </c>
      <c r="D336" s="17" t="s">
        <v>1275</v>
      </c>
      <c r="E336" s="29" t="s">
        <v>143</v>
      </c>
      <c r="F336" s="29" t="s">
        <v>1280</v>
      </c>
      <c r="G336" s="32">
        <v>859350</v>
      </c>
      <c r="H336" s="43">
        <v>0.11</v>
      </c>
      <c r="I336" s="38">
        <v>533117392.5</v>
      </c>
      <c r="J336" s="42">
        <f>'Sales Order'!H336+('Sales Order'!H336*0.11)+Invoice!G336</f>
        <v>533117392.5</v>
      </c>
      <c r="K336" s="41"/>
    </row>
    <row r="337" spans="1:11" ht="15.75" customHeight="1" x14ac:dyDescent="0.3">
      <c r="A337" s="40" t="s">
        <v>1616</v>
      </c>
      <c r="B337" s="40" t="s">
        <v>574</v>
      </c>
      <c r="C337" s="51" t="str">
        <f>VLOOKUP(B337,'Sales Order'!A$2:B$1029,1,0)</f>
        <v>SO0336</v>
      </c>
      <c r="D337" s="17" t="s">
        <v>1275</v>
      </c>
      <c r="E337" s="29" t="s">
        <v>2313</v>
      </c>
      <c r="F337" s="29" t="s">
        <v>1280</v>
      </c>
      <c r="G337" s="18">
        <v>808800</v>
      </c>
      <c r="H337" s="43">
        <v>0.11</v>
      </c>
      <c r="I337" s="38">
        <v>615888249.29999995</v>
      </c>
      <c r="J337" s="42">
        <f>'Sales Order'!H337+('Sales Order'!H337*0.11)+Invoice!G337</f>
        <v>615888249.29999995</v>
      </c>
      <c r="K337" s="41"/>
    </row>
    <row r="338" spans="1:11" ht="15.75" customHeight="1" x14ac:dyDescent="0.3">
      <c r="A338" s="40" t="s">
        <v>1617</v>
      </c>
      <c r="B338" s="40" t="s">
        <v>575</v>
      </c>
      <c r="C338" s="51" t="str">
        <f>VLOOKUP(B338,'Sales Order'!A$2:B$1029,1,0)</f>
        <v>SO0337</v>
      </c>
      <c r="D338" s="17" t="s">
        <v>1275</v>
      </c>
      <c r="E338" s="29" t="s">
        <v>170</v>
      </c>
      <c r="F338" s="29" t="s">
        <v>1295</v>
      </c>
      <c r="G338" s="32">
        <v>859350</v>
      </c>
      <c r="H338" s="43">
        <v>0.11</v>
      </c>
      <c r="I338" s="38">
        <v>515146636.80000001</v>
      </c>
      <c r="J338" s="42">
        <f>'Sales Order'!H338+('Sales Order'!H338*0.11)+Invoice!G338</f>
        <v>515146636.80000001</v>
      </c>
      <c r="K338" s="41"/>
    </row>
    <row r="339" spans="1:11" ht="15.75" customHeight="1" x14ac:dyDescent="0.3">
      <c r="A339" s="40" t="s">
        <v>1618</v>
      </c>
      <c r="B339" s="40" t="s">
        <v>576</v>
      </c>
      <c r="C339" s="51" t="str">
        <f>VLOOKUP(B339,'Sales Order'!A$2:B$1029,1,0)</f>
        <v>SO0338</v>
      </c>
      <c r="D339" s="17" t="s">
        <v>1275</v>
      </c>
      <c r="E339" s="29" t="s">
        <v>2313</v>
      </c>
      <c r="F339" s="29" t="s">
        <v>1280</v>
      </c>
      <c r="G339" s="18">
        <v>808800</v>
      </c>
      <c r="H339" s="43">
        <v>0.11</v>
      </c>
      <c r="I339" s="38">
        <v>492325058.39999998</v>
      </c>
      <c r="J339" s="42">
        <f>'Sales Order'!H339+('Sales Order'!H339*0.11)+Invoice!G339</f>
        <v>492325058.39999998</v>
      </c>
      <c r="K339" s="41"/>
    </row>
    <row r="340" spans="1:11" ht="15.75" customHeight="1" x14ac:dyDescent="0.3">
      <c r="A340" s="40" t="s">
        <v>1619</v>
      </c>
      <c r="B340" s="40" t="s">
        <v>577</v>
      </c>
      <c r="C340" s="51" t="str">
        <f>VLOOKUP(B340,'Sales Order'!A$2:B$1029,1,0)</f>
        <v>SO0339</v>
      </c>
      <c r="D340" s="17" t="s">
        <v>1275</v>
      </c>
      <c r="E340" s="29" t="s">
        <v>2313</v>
      </c>
      <c r="F340" s="29" t="s">
        <v>1276</v>
      </c>
      <c r="G340" s="18">
        <v>808800</v>
      </c>
      <c r="H340" s="43">
        <v>0.11</v>
      </c>
      <c r="I340" s="38">
        <v>86977782.540000007</v>
      </c>
      <c r="J340" s="42">
        <f>'Sales Order'!H340+('Sales Order'!H340*0.11)+Invoice!G340</f>
        <v>86977782.540000007</v>
      </c>
      <c r="K340" s="41"/>
    </row>
    <row r="341" spans="1:11" ht="15.75" customHeight="1" x14ac:dyDescent="0.3">
      <c r="A341" s="40" t="s">
        <v>1620</v>
      </c>
      <c r="B341" s="40" t="s">
        <v>578</v>
      </c>
      <c r="C341" s="51" t="str">
        <f>VLOOKUP(B341,'Sales Order'!A$2:B$1029,1,0)</f>
        <v>SO0340</v>
      </c>
      <c r="D341" s="17" t="s">
        <v>1275</v>
      </c>
      <c r="E341" s="29" t="s">
        <v>2313</v>
      </c>
      <c r="F341" s="29" t="s">
        <v>1288</v>
      </c>
      <c r="G341" s="18">
        <v>808800</v>
      </c>
      <c r="H341" s="43">
        <v>0.11</v>
      </c>
      <c r="I341" s="38">
        <v>84957900</v>
      </c>
      <c r="J341" s="42">
        <f>'Sales Order'!H341+('Sales Order'!H341*0.11)+Invoice!G341</f>
        <v>84957900</v>
      </c>
      <c r="K341" s="41"/>
    </row>
    <row r="342" spans="1:11" ht="15.75" customHeight="1" x14ac:dyDescent="0.3">
      <c r="A342" s="40" t="s">
        <v>1621</v>
      </c>
      <c r="B342" s="40" t="s">
        <v>579</v>
      </c>
      <c r="C342" s="51" t="str">
        <f>VLOOKUP(B342,'Sales Order'!A$2:B$1029,1,0)</f>
        <v>SO0341</v>
      </c>
      <c r="D342" s="17" t="s">
        <v>1275</v>
      </c>
      <c r="E342" s="29" t="s">
        <v>2318</v>
      </c>
      <c r="F342" s="29" t="s">
        <v>1276</v>
      </c>
      <c r="G342" s="32">
        <v>859350</v>
      </c>
      <c r="H342" s="43">
        <v>0.11</v>
      </c>
      <c r="I342" s="38">
        <v>58411218.299999997</v>
      </c>
      <c r="J342" s="42">
        <f>'Sales Order'!H342+('Sales Order'!H342*0.11)+Invoice!G342</f>
        <v>58411218.299999997</v>
      </c>
      <c r="K342" s="41"/>
    </row>
    <row r="343" spans="1:11" ht="15.75" customHeight="1" x14ac:dyDescent="0.3">
      <c r="A343" s="40" t="s">
        <v>1622</v>
      </c>
      <c r="B343" s="40" t="s">
        <v>580</v>
      </c>
      <c r="C343" s="51" t="str">
        <f>VLOOKUP(B343,'Sales Order'!A$2:B$1029,1,0)</f>
        <v>SO0342</v>
      </c>
      <c r="D343" s="17" t="s">
        <v>1279</v>
      </c>
      <c r="E343" s="29" t="s">
        <v>118</v>
      </c>
      <c r="F343" s="29" t="s">
        <v>1280</v>
      </c>
      <c r="G343" s="18">
        <v>8088</v>
      </c>
      <c r="H343" s="43">
        <v>0.11</v>
      </c>
      <c r="I343" s="38">
        <v>375377370.75</v>
      </c>
      <c r="J343" s="42">
        <f>'Sales Order'!H343+('Sales Order'!H343*0.11)+Invoice!G343</f>
        <v>375377370.75</v>
      </c>
      <c r="K343" s="41"/>
    </row>
    <row r="344" spans="1:11" ht="15.75" customHeight="1" x14ac:dyDescent="0.3">
      <c r="A344" s="40" t="s">
        <v>1623</v>
      </c>
      <c r="B344" s="40" t="s">
        <v>581</v>
      </c>
      <c r="C344" s="51" t="str">
        <f>VLOOKUP(B344,'Sales Order'!A$2:B$1029,1,0)</f>
        <v>SO0343</v>
      </c>
      <c r="D344" s="17" t="s">
        <v>1275</v>
      </c>
      <c r="E344" s="29" t="s">
        <v>2314</v>
      </c>
      <c r="F344" s="29" t="s">
        <v>1288</v>
      </c>
      <c r="G344" s="18">
        <v>808800</v>
      </c>
      <c r="H344" s="43">
        <v>0.11</v>
      </c>
      <c r="I344" s="38">
        <v>21934053.600000001</v>
      </c>
      <c r="J344" s="42">
        <f>'Sales Order'!H344+('Sales Order'!H344*0.11)+Invoice!G344</f>
        <v>21934053.600000001</v>
      </c>
      <c r="K344" s="41"/>
    </row>
    <row r="345" spans="1:11" ht="15.75" customHeight="1" x14ac:dyDescent="0.3">
      <c r="A345" s="40" t="s">
        <v>1624</v>
      </c>
      <c r="B345" s="40" t="s">
        <v>582</v>
      </c>
      <c r="C345" s="51" t="str">
        <f>VLOOKUP(B345,'Sales Order'!A$2:B$1029,1,0)</f>
        <v>SO0344</v>
      </c>
      <c r="D345" s="17" t="s">
        <v>1279</v>
      </c>
      <c r="E345" s="29" t="s">
        <v>118</v>
      </c>
      <c r="F345" s="29" t="s">
        <v>1276</v>
      </c>
      <c r="G345" s="18">
        <v>8088</v>
      </c>
      <c r="H345" s="43">
        <v>0.11</v>
      </c>
      <c r="I345" s="38">
        <v>144818177.40000001</v>
      </c>
      <c r="J345" s="42">
        <f>'Sales Order'!H345+('Sales Order'!H345*0.11)+Invoice!G345</f>
        <v>144818177.40000001</v>
      </c>
      <c r="K345" s="41"/>
    </row>
    <row r="346" spans="1:11" ht="15.75" customHeight="1" x14ac:dyDescent="0.3">
      <c r="A346" s="40" t="s">
        <v>1625</v>
      </c>
      <c r="B346" s="40" t="s">
        <v>583</v>
      </c>
      <c r="C346" s="51" t="str">
        <f>VLOOKUP(B346,'Sales Order'!A$2:B$1029,1,0)</f>
        <v>SO0345</v>
      </c>
      <c r="D346" s="17" t="s">
        <v>1279</v>
      </c>
      <c r="E346" s="29" t="s">
        <v>118</v>
      </c>
      <c r="F346" s="29" t="s">
        <v>1280</v>
      </c>
      <c r="G346" s="18">
        <v>8088</v>
      </c>
      <c r="H346" s="43">
        <v>0.11</v>
      </c>
      <c r="I346" s="38">
        <v>390400243.94999999</v>
      </c>
      <c r="J346" s="42">
        <f>'Sales Order'!H346+('Sales Order'!H346*0.11)+Invoice!G346</f>
        <v>390400243.94999999</v>
      </c>
      <c r="K346" s="41"/>
    </row>
    <row r="347" spans="1:11" ht="15.75" customHeight="1" x14ac:dyDescent="0.3">
      <c r="A347" s="40" t="s">
        <v>1626</v>
      </c>
      <c r="B347" s="40" t="s">
        <v>584</v>
      </c>
      <c r="C347" s="51" t="str">
        <f>VLOOKUP(B347,'Sales Order'!A$2:B$1029,1,0)</f>
        <v>SO0346</v>
      </c>
      <c r="D347" s="17" t="s">
        <v>1275</v>
      </c>
      <c r="E347" s="29" t="s">
        <v>170</v>
      </c>
      <c r="F347" s="29" t="s">
        <v>1276</v>
      </c>
      <c r="G347" s="32">
        <v>859350</v>
      </c>
      <c r="H347" s="43">
        <v>0.11</v>
      </c>
      <c r="I347" s="38">
        <v>87690092.340000004</v>
      </c>
      <c r="J347" s="42">
        <f>'Sales Order'!H347+('Sales Order'!H347*0.11)+Invoice!G347</f>
        <v>87690092.340000004</v>
      </c>
      <c r="K347" s="41"/>
    </row>
    <row r="348" spans="1:11" ht="15.75" customHeight="1" x14ac:dyDescent="0.3">
      <c r="A348" s="40" t="s">
        <v>1627</v>
      </c>
      <c r="B348" s="40" t="s">
        <v>585</v>
      </c>
      <c r="C348" s="51" t="str">
        <f>VLOOKUP(B348,'Sales Order'!A$2:B$1029,1,0)</f>
        <v>SO0347</v>
      </c>
      <c r="D348" s="17" t="s">
        <v>1279</v>
      </c>
      <c r="E348" s="29" t="s">
        <v>118</v>
      </c>
      <c r="F348" s="29" t="s">
        <v>1288</v>
      </c>
      <c r="G348" s="18">
        <v>8088</v>
      </c>
      <c r="H348" s="43">
        <v>0.11</v>
      </c>
      <c r="I348" s="38">
        <v>140482717.19999999</v>
      </c>
      <c r="J348" s="42">
        <f>'Sales Order'!H348+('Sales Order'!H348*0.11)+Invoice!G348</f>
        <v>140482717.19999999</v>
      </c>
      <c r="K348" s="41"/>
    </row>
    <row r="349" spans="1:11" ht="15.75" customHeight="1" x14ac:dyDescent="0.3">
      <c r="A349" s="40" t="s">
        <v>1628</v>
      </c>
      <c r="B349" s="40" t="s">
        <v>586</v>
      </c>
      <c r="C349" s="51" t="str">
        <f>VLOOKUP(B349,'Sales Order'!A$2:B$1029,1,0)</f>
        <v>SO0348</v>
      </c>
      <c r="D349" s="17" t="s">
        <v>1275</v>
      </c>
      <c r="E349" s="29" t="s">
        <v>2314</v>
      </c>
      <c r="F349" s="29" t="s">
        <v>1288</v>
      </c>
      <c r="G349" s="18">
        <v>808800</v>
      </c>
      <c r="H349" s="43">
        <v>0.11</v>
      </c>
      <c r="I349" s="38">
        <v>100997244.59999999</v>
      </c>
      <c r="J349" s="42">
        <f>'Sales Order'!H349+('Sales Order'!H349*0.11)+Invoice!G349</f>
        <v>100997244.59999999</v>
      </c>
      <c r="K349" s="41"/>
    </row>
    <row r="350" spans="1:11" ht="15.75" customHeight="1" x14ac:dyDescent="0.3">
      <c r="A350" s="40" t="s">
        <v>1629</v>
      </c>
      <c r="B350" s="40" t="s">
        <v>587</v>
      </c>
      <c r="C350" s="51" t="str">
        <f>VLOOKUP(B350,'Sales Order'!A$2:B$1029,1,0)</f>
        <v>SO0349</v>
      </c>
      <c r="D350" s="17" t="s">
        <v>1275</v>
      </c>
      <c r="E350" s="29" t="s">
        <v>170</v>
      </c>
      <c r="F350" s="29" t="s">
        <v>1295</v>
      </c>
      <c r="G350" s="32">
        <v>859350</v>
      </c>
      <c r="H350" s="43">
        <v>0.11</v>
      </c>
      <c r="I350" s="38">
        <v>808764380.70000005</v>
      </c>
      <c r="J350" s="42">
        <f>'Sales Order'!H350+('Sales Order'!H350*0.11)+Invoice!G350</f>
        <v>808764380.70000005</v>
      </c>
      <c r="K350" s="41"/>
    </row>
    <row r="351" spans="1:11" ht="15.75" customHeight="1" x14ac:dyDescent="0.3">
      <c r="A351" s="40" t="s">
        <v>1630</v>
      </c>
      <c r="B351" s="40" t="s">
        <v>588</v>
      </c>
      <c r="C351" s="51" t="str">
        <f>VLOOKUP(B351,'Sales Order'!A$2:B$1029,1,0)</f>
        <v>SO0350</v>
      </c>
      <c r="D351" s="17" t="s">
        <v>1279</v>
      </c>
      <c r="E351" s="29" t="s">
        <v>118</v>
      </c>
      <c r="F351" s="29" t="s">
        <v>1280</v>
      </c>
      <c r="G351" s="18">
        <v>8088</v>
      </c>
      <c r="H351" s="43">
        <v>0.11</v>
      </c>
      <c r="I351" s="38">
        <v>523441896.89999998</v>
      </c>
      <c r="J351" s="42">
        <f>'Sales Order'!H351+('Sales Order'!H351*0.11)+Invoice!G351</f>
        <v>523441896.89999998</v>
      </c>
      <c r="K351" s="41"/>
    </row>
    <row r="352" spans="1:11" ht="15.75" customHeight="1" x14ac:dyDescent="0.3">
      <c r="A352" s="40" t="s">
        <v>1631</v>
      </c>
      <c r="B352" s="40" t="s">
        <v>589</v>
      </c>
      <c r="C352" s="51" t="str">
        <f>VLOOKUP(B352,'Sales Order'!A$2:B$1029,1,0)</f>
        <v>SO0351</v>
      </c>
      <c r="D352" s="17" t="s">
        <v>1275</v>
      </c>
      <c r="E352" s="29" t="s">
        <v>170</v>
      </c>
      <c r="F352" s="29" t="s">
        <v>1276</v>
      </c>
      <c r="G352" s="32">
        <v>859350</v>
      </c>
      <c r="H352" s="43">
        <v>0.11</v>
      </c>
      <c r="I352" s="38">
        <v>18639063.600000001</v>
      </c>
      <c r="J352" s="42">
        <f>'Sales Order'!H352+('Sales Order'!H352*0.11)+Invoice!G352</f>
        <v>18639063.600000001</v>
      </c>
      <c r="K352" s="41"/>
    </row>
    <row r="353" spans="1:11" ht="15.75" customHeight="1" x14ac:dyDescent="0.3">
      <c r="A353" s="40" t="s">
        <v>1632</v>
      </c>
      <c r="B353" s="40" t="s">
        <v>590</v>
      </c>
      <c r="C353" s="51" t="str">
        <f>VLOOKUP(B353,'Sales Order'!A$2:B$1029,1,0)</f>
        <v>SO0352</v>
      </c>
      <c r="D353" s="17" t="s">
        <v>1275</v>
      </c>
      <c r="E353" s="29" t="s">
        <v>2318</v>
      </c>
      <c r="F353" s="29" t="s">
        <v>1288</v>
      </c>
      <c r="G353" s="32">
        <v>859350</v>
      </c>
      <c r="H353" s="43">
        <v>0.11</v>
      </c>
      <c r="I353" s="38">
        <v>87619702.799999997</v>
      </c>
      <c r="J353" s="42">
        <f>'Sales Order'!H353+('Sales Order'!H353*0.11)+Invoice!G353</f>
        <v>87619702.799999997</v>
      </c>
      <c r="K353" s="41"/>
    </row>
    <row r="354" spans="1:11" ht="15.75" customHeight="1" x14ac:dyDescent="0.3">
      <c r="A354" s="40" t="s">
        <v>1633</v>
      </c>
      <c r="B354" s="40" t="s">
        <v>591</v>
      </c>
      <c r="C354" s="51" t="str">
        <f>VLOOKUP(B354,'Sales Order'!A$2:B$1029,1,0)</f>
        <v>SO0353</v>
      </c>
      <c r="D354" s="17" t="s">
        <v>1279</v>
      </c>
      <c r="E354" s="29" t="s">
        <v>118</v>
      </c>
      <c r="F354" s="29" t="s">
        <v>1276</v>
      </c>
      <c r="G354" s="18">
        <v>8088</v>
      </c>
      <c r="H354" s="43">
        <v>0.11</v>
      </c>
      <c r="I354" s="38">
        <v>56456083.5</v>
      </c>
      <c r="J354" s="42">
        <f>'Sales Order'!H354+('Sales Order'!H354*0.11)+Invoice!G354</f>
        <v>56456083.5</v>
      </c>
      <c r="K354" s="41"/>
    </row>
    <row r="355" spans="1:11" ht="15.75" customHeight="1" x14ac:dyDescent="0.3">
      <c r="A355" s="40" t="s">
        <v>1634</v>
      </c>
      <c r="B355" s="40" t="s">
        <v>592</v>
      </c>
      <c r="C355" s="51" t="str">
        <f>VLOOKUP(B355,'Sales Order'!A$2:B$1029,1,0)</f>
        <v>SO0354</v>
      </c>
      <c r="D355" s="17" t="s">
        <v>1275</v>
      </c>
      <c r="E355" s="29" t="s">
        <v>2314</v>
      </c>
      <c r="F355" s="29" t="s">
        <v>1288</v>
      </c>
      <c r="G355" s="18">
        <v>808800</v>
      </c>
      <c r="H355" s="43">
        <v>0.11</v>
      </c>
      <c r="I355" s="38">
        <v>137710521.24000001</v>
      </c>
      <c r="J355" s="42">
        <f>'Sales Order'!H355+('Sales Order'!H355*0.11)+Invoice!G355</f>
        <v>137710521.24000001</v>
      </c>
      <c r="K355" s="41"/>
    </row>
    <row r="356" spans="1:11" ht="15.75" customHeight="1" x14ac:dyDescent="0.3">
      <c r="A356" s="40" t="s">
        <v>1635</v>
      </c>
      <c r="B356" s="40" t="s">
        <v>593</v>
      </c>
      <c r="C356" s="51" t="str">
        <f>VLOOKUP(B356,'Sales Order'!A$2:B$1029,1,0)</f>
        <v>SO0355</v>
      </c>
      <c r="D356" s="17" t="s">
        <v>1275</v>
      </c>
      <c r="E356" s="29" t="s">
        <v>143</v>
      </c>
      <c r="F356" s="29" t="s">
        <v>1295</v>
      </c>
      <c r="G356" s="32">
        <v>859350</v>
      </c>
      <c r="H356" s="43">
        <v>0.11</v>
      </c>
      <c r="I356" s="38">
        <v>340061697</v>
      </c>
      <c r="J356" s="42">
        <f>'Sales Order'!H356+('Sales Order'!H356*0.11)+Invoice!G356</f>
        <v>340061697</v>
      </c>
      <c r="K356" s="41"/>
    </row>
    <row r="357" spans="1:11" ht="15.75" customHeight="1" x14ac:dyDescent="0.3">
      <c r="A357" s="40" t="s">
        <v>1636</v>
      </c>
      <c r="B357" s="40" t="s">
        <v>594</v>
      </c>
      <c r="C357" s="51" t="str">
        <f>VLOOKUP(B357,'Sales Order'!A$2:B$1029,1,0)</f>
        <v>SO0356</v>
      </c>
      <c r="D357" s="17" t="s">
        <v>1275</v>
      </c>
      <c r="E357" s="29" t="s">
        <v>2318</v>
      </c>
      <c r="F357" s="29" t="s">
        <v>1288</v>
      </c>
      <c r="G357" s="32">
        <v>859350</v>
      </c>
      <c r="H357" s="43">
        <v>0.11</v>
      </c>
      <c r="I357" s="38">
        <v>20837352</v>
      </c>
      <c r="J357" s="42">
        <f>'Sales Order'!H357+('Sales Order'!H357*0.11)+Invoice!G357</f>
        <v>20837352</v>
      </c>
      <c r="K357" s="41"/>
    </row>
    <row r="358" spans="1:11" ht="15.75" customHeight="1" x14ac:dyDescent="0.3">
      <c r="A358" s="40" t="s">
        <v>1637</v>
      </c>
      <c r="B358" s="40" t="s">
        <v>595</v>
      </c>
      <c r="C358" s="51" t="str">
        <f>VLOOKUP(B358,'Sales Order'!A$2:B$1029,1,0)</f>
        <v>SO0357</v>
      </c>
      <c r="D358" s="17" t="s">
        <v>1279</v>
      </c>
      <c r="E358" s="29" t="s">
        <v>2312</v>
      </c>
      <c r="F358" s="29" t="s">
        <v>1285</v>
      </c>
      <c r="G358" s="18">
        <v>32352</v>
      </c>
      <c r="H358" s="43">
        <v>0.11</v>
      </c>
      <c r="I358" s="38">
        <v>487271181</v>
      </c>
      <c r="J358" s="42">
        <f>'Sales Order'!H358+('Sales Order'!H358*0.11)+Invoice!G358</f>
        <v>487271181</v>
      </c>
      <c r="K358" s="41"/>
    </row>
    <row r="359" spans="1:11" ht="15.75" customHeight="1" x14ac:dyDescent="0.3">
      <c r="A359" s="40" t="s">
        <v>1638</v>
      </c>
      <c r="B359" s="40" t="s">
        <v>596</v>
      </c>
      <c r="C359" s="51" t="str">
        <f>VLOOKUP(B359,'Sales Order'!A$2:B$1029,1,0)</f>
        <v>SO0358</v>
      </c>
      <c r="D359" s="17" t="s">
        <v>1279</v>
      </c>
      <c r="E359" s="29" t="s">
        <v>2312</v>
      </c>
      <c r="F359" s="29" t="s">
        <v>1276</v>
      </c>
      <c r="G359" s="18">
        <v>32352</v>
      </c>
      <c r="H359" s="43">
        <v>0.11</v>
      </c>
      <c r="I359" s="38">
        <v>31882969.500000004</v>
      </c>
      <c r="J359" s="42">
        <f>'Sales Order'!H359+('Sales Order'!H359*0.11)+Invoice!G359</f>
        <v>31882969.500000004</v>
      </c>
      <c r="K359" s="41"/>
    </row>
    <row r="360" spans="1:11" ht="15.75" customHeight="1" x14ac:dyDescent="0.3">
      <c r="A360" s="40" t="s">
        <v>1639</v>
      </c>
      <c r="B360" s="40" t="s">
        <v>597</v>
      </c>
      <c r="C360" s="51" t="str">
        <f>VLOOKUP(B360,'Sales Order'!A$2:B$1029,1,0)</f>
        <v>SO0359</v>
      </c>
      <c r="D360" s="17" t="s">
        <v>1279</v>
      </c>
      <c r="E360" s="29" t="s">
        <v>2312</v>
      </c>
      <c r="F360" s="29" t="s">
        <v>1288</v>
      </c>
      <c r="G360" s="18">
        <v>32352</v>
      </c>
      <c r="H360" s="43">
        <v>0.11</v>
      </c>
      <c r="I360" s="38">
        <v>2442606</v>
      </c>
      <c r="J360" s="42">
        <f>'Sales Order'!H360+('Sales Order'!H360*0.11)+Invoice!G360</f>
        <v>2442606</v>
      </c>
      <c r="K360" s="41"/>
    </row>
    <row r="361" spans="1:11" ht="15.75" customHeight="1" x14ac:dyDescent="0.3">
      <c r="A361" s="40" t="s">
        <v>1640</v>
      </c>
      <c r="B361" s="40" t="s">
        <v>598</v>
      </c>
      <c r="C361" s="51" t="str">
        <f>VLOOKUP(B361,'Sales Order'!A$2:B$1029,1,0)</f>
        <v>SO0360</v>
      </c>
      <c r="D361" s="17" t="s">
        <v>1279</v>
      </c>
      <c r="E361" s="29" t="s">
        <v>118</v>
      </c>
      <c r="F361" s="29" t="s">
        <v>1288</v>
      </c>
      <c r="G361" s="18">
        <v>8088</v>
      </c>
      <c r="H361" s="43">
        <v>0.11</v>
      </c>
      <c r="I361" s="38">
        <v>22711112.25</v>
      </c>
      <c r="J361" s="42">
        <f>'Sales Order'!H361+('Sales Order'!H361*0.11)+Invoice!G361</f>
        <v>22711112.25</v>
      </c>
      <c r="K361" s="41"/>
    </row>
    <row r="362" spans="1:11" ht="15.75" customHeight="1" x14ac:dyDescent="0.3">
      <c r="A362" s="40" t="s">
        <v>1641</v>
      </c>
      <c r="B362" s="40" t="s">
        <v>599</v>
      </c>
      <c r="C362" s="51" t="str">
        <f>VLOOKUP(B362,'Sales Order'!A$2:B$1029,1,0)</f>
        <v>SO0361</v>
      </c>
      <c r="D362" s="17" t="s">
        <v>1275</v>
      </c>
      <c r="E362" s="29" t="s">
        <v>108</v>
      </c>
      <c r="F362" s="29" t="s">
        <v>1288</v>
      </c>
      <c r="G362" s="18">
        <v>556050</v>
      </c>
      <c r="H362" s="43">
        <v>0.11</v>
      </c>
      <c r="I362" s="38">
        <v>29829680.399999999</v>
      </c>
      <c r="J362" s="42">
        <f>'Sales Order'!H362+('Sales Order'!H362*0.11)+Invoice!G362</f>
        <v>29829680.399999999</v>
      </c>
      <c r="K362" s="41"/>
    </row>
    <row r="363" spans="1:11" ht="15.75" customHeight="1" x14ac:dyDescent="0.3">
      <c r="A363" s="40" t="s">
        <v>1642</v>
      </c>
      <c r="B363" s="40" t="s">
        <v>600</v>
      </c>
      <c r="C363" s="51" t="str">
        <f>VLOOKUP(B363,'Sales Order'!A$2:B$1029,1,0)</f>
        <v>SO0362</v>
      </c>
      <c r="D363" s="17" t="s">
        <v>1275</v>
      </c>
      <c r="E363" s="29" t="s">
        <v>170</v>
      </c>
      <c r="F363" s="29" t="s">
        <v>1276</v>
      </c>
      <c r="G363" s="32">
        <v>859350</v>
      </c>
      <c r="H363" s="43">
        <v>0.11</v>
      </c>
      <c r="I363" s="38">
        <v>272829529.80000001</v>
      </c>
      <c r="J363" s="42">
        <f>'Sales Order'!H363+('Sales Order'!H363*0.11)+Invoice!G363</f>
        <v>272829529.80000001</v>
      </c>
      <c r="K363" s="41"/>
    </row>
    <row r="364" spans="1:11" ht="15.75" customHeight="1" x14ac:dyDescent="0.3">
      <c r="A364" s="40" t="s">
        <v>1643</v>
      </c>
      <c r="B364" s="40" t="s">
        <v>601</v>
      </c>
      <c r="C364" s="51" t="str">
        <f>VLOOKUP(B364,'Sales Order'!A$2:B$1029,1,0)</f>
        <v>SO0363</v>
      </c>
      <c r="D364" s="17" t="s">
        <v>1275</v>
      </c>
      <c r="E364" s="29" t="s">
        <v>143</v>
      </c>
      <c r="F364" s="29" t="s">
        <v>1276</v>
      </c>
      <c r="G364" s="32">
        <v>859350</v>
      </c>
      <c r="H364" s="43">
        <v>0.11</v>
      </c>
      <c r="I364" s="38">
        <v>28018852.199999999</v>
      </c>
      <c r="J364" s="42">
        <f>'Sales Order'!H364+('Sales Order'!H364*0.11)+Invoice!G364</f>
        <v>28018852.199999999</v>
      </c>
      <c r="K364" s="41"/>
    </row>
    <row r="365" spans="1:11" ht="15.75" customHeight="1" x14ac:dyDescent="0.3">
      <c r="A365" s="40" t="s">
        <v>1644</v>
      </c>
      <c r="B365" s="40" t="s">
        <v>602</v>
      </c>
      <c r="C365" s="51" t="str">
        <f>VLOOKUP(B365,'Sales Order'!A$2:B$1029,1,0)</f>
        <v>SO0364</v>
      </c>
      <c r="D365" s="17" t="s">
        <v>1279</v>
      </c>
      <c r="E365" s="29" t="s">
        <v>2312</v>
      </c>
      <c r="F365" s="29" t="s">
        <v>1285</v>
      </c>
      <c r="G365" s="18">
        <v>32352</v>
      </c>
      <c r="H365" s="43">
        <v>0.11</v>
      </c>
      <c r="I365" s="38">
        <v>279600448.5</v>
      </c>
      <c r="J365" s="42">
        <f>'Sales Order'!H365+('Sales Order'!H365*0.11)+Invoice!G365</f>
        <v>279600448.5</v>
      </c>
      <c r="K365" s="41"/>
    </row>
    <row r="366" spans="1:11" ht="15.75" customHeight="1" x14ac:dyDescent="0.3">
      <c r="A366" s="40" t="s">
        <v>1645</v>
      </c>
      <c r="B366" s="40" t="s">
        <v>603</v>
      </c>
      <c r="C366" s="51" t="str">
        <f>VLOOKUP(B366,'Sales Order'!A$2:B$1029,1,0)</f>
        <v>SO0365</v>
      </c>
      <c r="D366" s="17" t="s">
        <v>1275</v>
      </c>
      <c r="E366" s="29" t="s">
        <v>2318</v>
      </c>
      <c r="F366" s="29" t="s">
        <v>1288</v>
      </c>
      <c r="G366" s="32">
        <v>859350</v>
      </c>
      <c r="H366" s="43">
        <v>0.11</v>
      </c>
      <c r="I366" s="38">
        <v>44503765.230000004</v>
      </c>
      <c r="J366" s="42">
        <f>'Sales Order'!H366+('Sales Order'!H366*0.11)+Invoice!G366</f>
        <v>44503765.230000004</v>
      </c>
      <c r="K366" s="41"/>
    </row>
    <row r="367" spans="1:11" ht="15.75" customHeight="1" x14ac:dyDescent="0.3">
      <c r="A367" s="40" t="s">
        <v>1646</v>
      </c>
      <c r="B367" s="40" t="s">
        <v>604</v>
      </c>
      <c r="C367" s="51" t="str">
        <f>VLOOKUP(B367,'Sales Order'!A$2:B$1029,1,0)</f>
        <v>SO0366</v>
      </c>
      <c r="D367" s="17" t="s">
        <v>1275</v>
      </c>
      <c r="E367" s="29" t="s">
        <v>170</v>
      </c>
      <c r="F367" s="29" t="s">
        <v>1280</v>
      </c>
      <c r="G367" s="32">
        <v>859350</v>
      </c>
      <c r="H367" s="43">
        <v>0.11</v>
      </c>
      <c r="I367" s="38">
        <v>303713004.30000001</v>
      </c>
      <c r="J367" s="42">
        <f>'Sales Order'!H367+('Sales Order'!H367*0.11)+Invoice!G367</f>
        <v>303713004.30000001</v>
      </c>
      <c r="K367" s="41"/>
    </row>
    <row r="368" spans="1:11" ht="15.75" customHeight="1" x14ac:dyDescent="0.3">
      <c r="A368" s="40" t="s">
        <v>1647</v>
      </c>
      <c r="B368" s="40" t="s">
        <v>605</v>
      </c>
      <c r="C368" s="51" t="str">
        <f>VLOOKUP(B368,'Sales Order'!A$2:B$1029,1,0)</f>
        <v>SO0367</v>
      </c>
      <c r="D368" s="17" t="s">
        <v>1275</v>
      </c>
      <c r="E368" s="29" t="s">
        <v>143</v>
      </c>
      <c r="F368" s="29" t="s">
        <v>1285</v>
      </c>
      <c r="G368" s="32">
        <v>859350</v>
      </c>
      <c r="H368" s="43">
        <v>0.11</v>
      </c>
      <c r="I368" s="38">
        <v>651015469.74000001</v>
      </c>
      <c r="J368" s="42">
        <f>'Sales Order'!H368+('Sales Order'!H368*0.11)+Invoice!G368</f>
        <v>651015469.74000001</v>
      </c>
      <c r="K368" s="41"/>
    </row>
    <row r="369" spans="1:11" ht="15.75" customHeight="1" x14ac:dyDescent="0.3">
      <c r="A369" s="40" t="s">
        <v>1648</v>
      </c>
      <c r="B369" s="40" t="s">
        <v>606</v>
      </c>
      <c r="C369" s="51" t="str">
        <f>VLOOKUP(B369,'Sales Order'!A$2:B$1029,1,0)</f>
        <v>SO0368</v>
      </c>
      <c r="D369" s="17" t="s">
        <v>1275</v>
      </c>
      <c r="E369" s="29" t="s">
        <v>2313</v>
      </c>
      <c r="F369" s="29" t="s">
        <v>1288</v>
      </c>
      <c r="G369" s="18">
        <v>808800</v>
      </c>
      <c r="H369" s="43">
        <v>0.11</v>
      </c>
      <c r="I369" s="38">
        <v>137986163.09999999</v>
      </c>
      <c r="J369" s="42">
        <f>'Sales Order'!H369+('Sales Order'!H369*0.11)+Invoice!G369</f>
        <v>137986163.09999999</v>
      </c>
      <c r="K369" s="41"/>
    </row>
    <row r="370" spans="1:11" ht="15.75" customHeight="1" x14ac:dyDescent="0.3">
      <c r="A370" s="40" t="s">
        <v>1649</v>
      </c>
      <c r="B370" s="40" t="s">
        <v>607</v>
      </c>
      <c r="C370" s="51" t="str">
        <f>VLOOKUP(B370,'Sales Order'!A$2:B$1029,1,0)</f>
        <v>SO0369</v>
      </c>
      <c r="D370" s="17" t="s">
        <v>1275</v>
      </c>
      <c r="E370" s="29" t="s">
        <v>2319</v>
      </c>
      <c r="F370" s="29" t="s">
        <v>1276</v>
      </c>
      <c r="G370" s="18">
        <v>353850</v>
      </c>
      <c r="H370" s="43">
        <v>0.11</v>
      </c>
      <c r="I370" s="38">
        <v>14349784.5</v>
      </c>
      <c r="J370" s="42">
        <f>'Sales Order'!H370+('Sales Order'!H370*0.11)+Invoice!G370</f>
        <v>14349784.5</v>
      </c>
      <c r="K370" s="41"/>
    </row>
    <row r="371" spans="1:11" ht="15.75" customHeight="1" x14ac:dyDescent="0.3">
      <c r="A371" s="40" t="s">
        <v>1650</v>
      </c>
      <c r="B371" s="40" t="s">
        <v>608</v>
      </c>
      <c r="C371" s="51" t="str">
        <f>VLOOKUP(B371,'Sales Order'!A$2:B$1029,1,0)</f>
        <v>SO0370</v>
      </c>
      <c r="D371" s="17" t="s">
        <v>1275</v>
      </c>
      <c r="E371" s="29" t="s">
        <v>143</v>
      </c>
      <c r="F371" s="29" t="s">
        <v>1280</v>
      </c>
      <c r="G371" s="32">
        <v>859350</v>
      </c>
      <c r="H371" s="43">
        <v>0.11</v>
      </c>
      <c r="I371" s="38">
        <v>383529601.13999999</v>
      </c>
      <c r="J371" s="42">
        <f>'Sales Order'!H371+('Sales Order'!H371*0.11)+Invoice!G371</f>
        <v>383529601.13999999</v>
      </c>
      <c r="K371" s="41"/>
    </row>
    <row r="372" spans="1:11" ht="15.75" customHeight="1" x14ac:dyDescent="0.3">
      <c r="A372" s="40" t="s">
        <v>1651</v>
      </c>
      <c r="B372" s="40" t="s">
        <v>609</v>
      </c>
      <c r="C372" s="51" t="str">
        <f>VLOOKUP(B372,'Sales Order'!A$2:B$1029,1,0)</f>
        <v>SO0371</v>
      </c>
      <c r="D372" s="17" t="s">
        <v>1279</v>
      </c>
      <c r="E372" s="29" t="s">
        <v>118</v>
      </c>
      <c r="F372" s="29" t="s">
        <v>1295</v>
      </c>
      <c r="G372" s="18">
        <v>8088</v>
      </c>
      <c r="H372" s="43">
        <v>0.11</v>
      </c>
      <c r="I372" s="38">
        <v>754938668.39999998</v>
      </c>
      <c r="J372" s="42">
        <f>'Sales Order'!H372+('Sales Order'!H372*0.11)+Invoice!G372</f>
        <v>754938668.39999998</v>
      </c>
      <c r="K372" s="41"/>
    </row>
    <row r="373" spans="1:11" ht="15.75" customHeight="1" x14ac:dyDescent="0.3">
      <c r="A373" s="40" t="s">
        <v>1652</v>
      </c>
      <c r="B373" s="40" t="s">
        <v>610</v>
      </c>
      <c r="C373" s="51" t="str">
        <f>VLOOKUP(B373,'Sales Order'!A$2:B$1029,1,0)</f>
        <v>SO0372</v>
      </c>
      <c r="D373" s="17" t="s">
        <v>1279</v>
      </c>
      <c r="E373" s="29" t="s">
        <v>118</v>
      </c>
      <c r="F373" s="29" t="s">
        <v>1280</v>
      </c>
      <c r="G373" s="18">
        <v>8088</v>
      </c>
      <c r="H373" s="43">
        <v>0.11</v>
      </c>
      <c r="I373" s="38">
        <v>782067234.89999998</v>
      </c>
      <c r="J373" s="42">
        <f>'Sales Order'!H373+('Sales Order'!H373*0.11)+Invoice!G373</f>
        <v>782067234.89999998</v>
      </c>
      <c r="K373" s="41"/>
    </row>
    <row r="374" spans="1:11" ht="15.75" customHeight="1" x14ac:dyDescent="0.3">
      <c r="A374" s="40" t="s">
        <v>1653</v>
      </c>
      <c r="B374" s="40" t="s">
        <v>611</v>
      </c>
      <c r="C374" s="51" t="str">
        <f>VLOOKUP(B374,'Sales Order'!A$2:B$1029,1,0)</f>
        <v>SO0373</v>
      </c>
      <c r="D374" s="17" t="s">
        <v>1275</v>
      </c>
      <c r="E374" s="29" t="s">
        <v>143</v>
      </c>
      <c r="F374" s="29" t="s">
        <v>1280</v>
      </c>
      <c r="G374" s="32">
        <v>859350</v>
      </c>
      <c r="H374" s="43">
        <v>0.11</v>
      </c>
      <c r="I374" s="38">
        <v>289123552.80000001</v>
      </c>
      <c r="J374" s="42">
        <f>'Sales Order'!H374+('Sales Order'!H374*0.11)+Invoice!G374</f>
        <v>289123552.80000001</v>
      </c>
      <c r="K374" s="41"/>
    </row>
    <row r="375" spans="1:11" ht="15.75" customHeight="1" x14ac:dyDescent="0.3">
      <c r="A375" s="40" t="s">
        <v>1654</v>
      </c>
      <c r="B375" s="40" t="s">
        <v>612</v>
      </c>
      <c r="C375" s="51" t="str">
        <f>VLOOKUP(B375,'Sales Order'!A$2:B$1029,1,0)</f>
        <v>SO0374</v>
      </c>
      <c r="D375" s="17" t="s">
        <v>1275</v>
      </c>
      <c r="E375" s="29" t="s">
        <v>143</v>
      </c>
      <c r="F375" s="29" t="s">
        <v>1276</v>
      </c>
      <c r="G375" s="32">
        <v>859350</v>
      </c>
      <c r="H375" s="43">
        <v>0.11</v>
      </c>
      <c r="I375" s="38">
        <v>51129851.399999999</v>
      </c>
      <c r="J375" s="42">
        <f>'Sales Order'!H375+('Sales Order'!H375*0.11)+Invoice!G375</f>
        <v>51129851.399999999</v>
      </c>
      <c r="K375" s="41"/>
    </row>
    <row r="376" spans="1:11" ht="15.75" customHeight="1" x14ac:dyDescent="0.3">
      <c r="A376" s="40" t="s">
        <v>1655</v>
      </c>
      <c r="B376" s="40" t="s">
        <v>613</v>
      </c>
      <c r="C376" s="51" t="str">
        <f>VLOOKUP(B376,'Sales Order'!A$2:B$1029,1,0)</f>
        <v>SO0375</v>
      </c>
      <c r="D376" s="17" t="s">
        <v>1275</v>
      </c>
      <c r="E376" s="29" t="s">
        <v>143</v>
      </c>
      <c r="F376" s="29" t="s">
        <v>1276</v>
      </c>
      <c r="G376" s="32">
        <v>859350</v>
      </c>
      <c r="H376" s="43">
        <v>0.11</v>
      </c>
      <c r="I376" s="38">
        <v>72768946.200000003</v>
      </c>
      <c r="J376" s="42">
        <f>'Sales Order'!H376+('Sales Order'!H376*0.11)+Invoice!G376</f>
        <v>72768946.200000003</v>
      </c>
      <c r="K376" s="41"/>
    </row>
    <row r="377" spans="1:11" ht="15.75" customHeight="1" x14ac:dyDescent="0.3">
      <c r="A377" s="40" t="s">
        <v>1656</v>
      </c>
      <c r="B377" s="40" t="s">
        <v>614</v>
      </c>
      <c r="C377" s="51" t="str">
        <f>VLOOKUP(B377,'Sales Order'!A$2:B$1029,1,0)</f>
        <v>SO0376</v>
      </c>
      <c r="D377" s="17" t="s">
        <v>1275</v>
      </c>
      <c r="E377" s="29" t="s">
        <v>170</v>
      </c>
      <c r="F377" s="29" t="s">
        <v>1285</v>
      </c>
      <c r="G377" s="32">
        <v>859350</v>
      </c>
      <c r="H377" s="43">
        <v>0.11</v>
      </c>
      <c r="I377" s="38">
        <v>378964777.19999999</v>
      </c>
      <c r="J377" s="42">
        <f>'Sales Order'!H377+('Sales Order'!H377*0.11)+Invoice!G377</f>
        <v>378964777.19999999</v>
      </c>
      <c r="K377" s="41"/>
    </row>
    <row r="378" spans="1:11" ht="15.75" customHeight="1" x14ac:dyDescent="0.3">
      <c r="A378" s="40" t="s">
        <v>1657</v>
      </c>
      <c r="B378" s="40" t="s">
        <v>615</v>
      </c>
      <c r="C378" s="51" t="str">
        <f>VLOOKUP(B378,'Sales Order'!A$2:B$1029,1,0)</f>
        <v>SO0377</v>
      </c>
      <c r="D378" s="17" t="s">
        <v>1275</v>
      </c>
      <c r="E378" s="29" t="s">
        <v>2314</v>
      </c>
      <c r="F378" s="29" t="s">
        <v>1288</v>
      </c>
      <c r="G378" s="18">
        <v>808800</v>
      </c>
      <c r="H378" s="43">
        <v>0.11</v>
      </c>
      <c r="I378" s="38">
        <v>178977120</v>
      </c>
      <c r="J378" s="42">
        <f>'Sales Order'!H378+('Sales Order'!H378*0.11)+Invoice!G378</f>
        <v>178977120</v>
      </c>
      <c r="K378" s="41"/>
    </row>
    <row r="379" spans="1:11" ht="15.75" customHeight="1" x14ac:dyDescent="0.3">
      <c r="A379" s="40" t="s">
        <v>1658</v>
      </c>
      <c r="B379" s="40" t="s">
        <v>616</v>
      </c>
      <c r="C379" s="51" t="str">
        <f>VLOOKUP(B379,'Sales Order'!A$2:B$1029,1,0)</f>
        <v>SO0378</v>
      </c>
      <c r="D379" s="17" t="s">
        <v>1279</v>
      </c>
      <c r="E379" s="29" t="s">
        <v>118</v>
      </c>
      <c r="F379" s="29" t="s">
        <v>1276</v>
      </c>
      <c r="G379" s="18">
        <v>8088</v>
      </c>
      <c r="H379" s="43">
        <v>0.11</v>
      </c>
      <c r="I379" s="38">
        <v>20794503</v>
      </c>
      <c r="J379" s="42">
        <f>'Sales Order'!H379+('Sales Order'!H379*0.11)+Invoice!G379</f>
        <v>20794503</v>
      </c>
      <c r="K379" s="41"/>
    </row>
    <row r="380" spans="1:11" ht="15.75" customHeight="1" x14ac:dyDescent="0.3">
      <c r="A380" s="40" t="s">
        <v>1659</v>
      </c>
      <c r="B380" s="40" t="s">
        <v>617</v>
      </c>
      <c r="C380" s="51" t="str">
        <f>VLOOKUP(B380,'Sales Order'!A$2:B$1029,1,0)</f>
        <v>SO0379</v>
      </c>
      <c r="D380" s="17" t="s">
        <v>1275</v>
      </c>
      <c r="E380" s="29" t="s">
        <v>143</v>
      </c>
      <c r="F380" s="29" t="s">
        <v>1288</v>
      </c>
      <c r="G380" s="32">
        <v>859350</v>
      </c>
      <c r="H380" s="43">
        <v>0.11</v>
      </c>
      <c r="I380" s="38">
        <v>72938865</v>
      </c>
      <c r="J380" s="42">
        <f>'Sales Order'!H380+('Sales Order'!H380*0.11)+Invoice!G380</f>
        <v>72938865</v>
      </c>
      <c r="K380" s="41"/>
    </row>
    <row r="381" spans="1:11" ht="15.75" customHeight="1" x14ac:dyDescent="0.3">
      <c r="A381" s="40" t="s">
        <v>1660</v>
      </c>
      <c r="B381" s="40" t="s">
        <v>618</v>
      </c>
      <c r="C381" s="51" t="str">
        <f>VLOOKUP(B381,'Sales Order'!A$2:B$1029,1,0)</f>
        <v>SO0380</v>
      </c>
      <c r="D381" s="17" t="s">
        <v>1279</v>
      </c>
      <c r="E381" s="29" t="s">
        <v>2312</v>
      </c>
      <c r="F381" s="29" t="s">
        <v>1288</v>
      </c>
      <c r="G381" s="18">
        <v>32352</v>
      </c>
      <c r="H381" s="43">
        <v>0.11</v>
      </c>
      <c r="I381" s="38">
        <v>186640268.40000001</v>
      </c>
      <c r="J381" s="42">
        <f>'Sales Order'!H381+('Sales Order'!H381*0.11)+Invoice!G381</f>
        <v>186640268.40000001</v>
      </c>
      <c r="K381" s="41"/>
    </row>
    <row r="382" spans="1:11" ht="15.75" customHeight="1" x14ac:dyDescent="0.3">
      <c r="A382" s="40" t="s">
        <v>1661</v>
      </c>
      <c r="B382" s="40" t="s">
        <v>619</v>
      </c>
      <c r="C382" s="51" t="str">
        <f>VLOOKUP(B382,'Sales Order'!A$2:B$1029,1,0)</f>
        <v>SO0381</v>
      </c>
      <c r="D382" s="17" t="s">
        <v>1275</v>
      </c>
      <c r="E382" s="29" t="s">
        <v>143</v>
      </c>
      <c r="F382" s="29" t="s">
        <v>1285</v>
      </c>
      <c r="G382" s="32">
        <v>859350</v>
      </c>
      <c r="H382" s="43">
        <v>0.11</v>
      </c>
      <c r="I382" s="38">
        <v>645185934</v>
      </c>
      <c r="J382" s="42">
        <f>'Sales Order'!H382+('Sales Order'!H382*0.11)+Invoice!G382</f>
        <v>645185934</v>
      </c>
      <c r="K382" s="41"/>
    </row>
    <row r="383" spans="1:11" ht="15.75" customHeight="1" x14ac:dyDescent="0.3">
      <c r="A383" s="40" t="s">
        <v>1662</v>
      </c>
      <c r="B383" s="40" t="s">
        <v>620</v>
      </c>
      <c r="C383" s="51" t="str">
        <f>VLOOKUP(B383,'Sales Order'!A$2:B$1029,1,0)</f>
        <v>SO0382</v>
      </c>
      <c r="D383" s="17" t="s">
        <v>1275</v>
      </c>
      <c r="E383" s="29" t="s">
        <v>2315</v>
      </c>
      <c r="F383" s="29" t="s">
        <v>1276</v>
      </c>
      <c r="G383" s="18">
        <v>556050</v>
      </c>
      <c r="H383" s="43">
        <v>0.11</v>
      </c>
      <c r="I383" s="38">
        <v>68030325.959999993</v>
      </c>
      <c r="J383" s="42">
        <f>'Sales Order'!H383+('Sales Order'!H383*0.11)+Invoice!G383</f>
        <v>68030325.959999993</v>
      </c>
      <c r="K383" s="41"/>
    </row>
    <row r="384" spans="1:11" ht="15.75" customHeight="1" x14ac:dyDescent="0.3">
      <c r="A384" s="40" t="s">
        <v>1663</v>
      </c>
      <c r="B384" s="40" t="s">
        <v>621</v>
      </c>
      <c r="C384" s="51" t="str">
        <f>VLOOKUP(B384,'Sales Order'!A$2:B$1029,1,0)</f>
        <v>SO0383</v>
      </c>
      <c r="D384" s="17" t="s">
        <v>1275</v>
      </c>
      <c r="E384" s="29" t="s">
        <v>2313</v>
      </c>
      <c r="F384" s="29" t="s">
        <v>1276</v>
      </c>
      <c r="G384" s="18">
        <v>808800</v>
      </c>
      <c r="H384" s="43">
        <v>0.11</v>
      </c>
      <c r="I384" s="38">
        <v>90698109.599999994</v>
      </c>
      <c r="J384" s="42">
        <f>'Sales Order'!H384+('Sales Order'!H384*0.11)+Invoice!G384</f>
        <v>90698109.599999994</v>
      </c>
      <c r="K384" s="41"/>
    </row>
    <row r="385" spans="1:11" ht="15.75" customHeight="1" x14ac:dyDescent="0.3">
      <c r="A385" s="40" t="s">
        <v>1664</v>
      </c>
      <c r="B385" s="40" t="s">
        <v>622</v>
      </c>
      <c r="C385" s="51" t="str">
        <f>VLOOKUP(B385,'Sales Order'!A$2:B$1029,1,0)</f>
        <v>SO0384</v>
      </c>
      <c r="D385" s="17" t="s">
        <v>1275</v>
      </c>
      <c r="E385" s="29" t="s">
        <v>2314</v>
      </c>
      <c r="F385" s="29" t="s">
        <v>1285</v>
      </c>
      <c r="G385" s="18">
        <v>808800</v>
      </c>
      <c r="H385" s="43">
        <v>0.11</v>
      </c>
      <c r="I385" s="38">
        <v>380969358.89999998</v>
      </c>
      <c r="J385" s="42">
        <f>'Sales Order'!H385+('Sales Order'!H385*0.11)+Invoice!G385</f>
        <v>380969358.89999998</v>
      </c>
      <c r="K385" s="41"/>
    </row>
    <row r="386" spans="1:11" ht="15.75" customHeight="1" x14ac:dyDescent="0.3">
      <c r="A386" s="40" t="s">
        <v>1665</v>
      </c>
      <c r="B386" s="40" t="s">
        <v>623</v>
      </c>
      <c r="C386" s="51" t="str">
        <f>VLOOKUP(B386,'Sales Order'!A$2:B$1029,1,0)</f>
        <v>SO0385</v>
      </c>
      <c r="D386" s="17" t="s">
        <v>1275</v>
      </c>
      <c r="E386" s="29" t="s">
        <v>2317</v>
      </c>
      <c r="F386" s="29" t="s">
        <v>1288</v>
      </c>
      <c r="G386" s="32">
        <v>859350</v>
      </c>
      <c r="H386" s="43">
        <v>0.11</v>
      </c>
      <c r="I386" s="38">
        <v>1878330</v>
      </c>
      <c r="J386" s="42">
        <f>'Sales Order'!H386+('Sales Order'!H386*0.11)+Invoice!G386</f>
        <v>1878330</v>
      </c>
      <c r="K386" s="41"/>
    </row>
    <row r="387" spans="1:11" ht="15.75" customHeight="1" x14ac:dyDescent="0.3">
      <c r="A387" s="40" t="s">
        <v>1666</v>
      </c>
      <c r="B387" s="40" t="s">
        <v>624</v>
      </c>
      <c r="C387" s="51" t="str">
        <f>VLOOKUP(B387,'Sales Order'!A$2:B$1029,1,0)</f>
        <v>SO0386</v>
      </c>
      <c r="D387" s="17" t="s">
        <v>1275</v>
      </c>
      <c r="E387" s="29" t="s">
        <v>143</v>
      </c>
      <c r="F387" s="29" t="s">
        <v>1288</v>
      </c>
      <c r="G387" s="32">
        <v>859350</v>
      </c>
      <c r="H387" s="43">
        <v>0.11</v>
      </c>
      <c r="I387" s="38">
        <v>258104858.09999999</v>
      </c>
      <c r="J387" s="42">
        <f>'Sales Order'!H387+('Sales Order'!H387*0.11)+Invoice!G387</f>
        <v>258104858.09999999</v>
      </c>
      <c r="K387" s="41"/>
    </row>
    <row r="388" spans="1:11" ht="15.75" customHeight="1" x14ac:dyDescent="0.3">
      <c r="A388" s="40" t="s">
        <v>1667</v>
      </c>
      <c r="B388" s="40" t="s">
        <v>625</v>
      </c>
      <c r="C388" s="51" t="str">
        <f>VLOOKUP(B388,'Sales Order'!A$2:B$1029,1,0)</f>
        <v>SO0387</v>
      </c>
      <c r="D388" s="17" t="s">
        <v>1275</v>
      </c>
      <c r="E388" s="29" t="s">
        <v>2316</v>
      </c>
      <c r="F388" s="29" t="s">
        <v>1285</v>
      </c>
      <c r="G388" s="18">
        <v>556050</v>
      </c>
      <c r="H388" s="43">
        <v>0.11</v>
      </c>
      <c r="I388" s="38">
        <v>412965198.02999997</v>
      </c>
      <c r="J388" s="42">
        <f>'Sales Order'!H388+('Sales Order'!H388*0.11)+Invoice!G388</f>
        <v>412965198.02999997</v>
      </c>
      <c r="K388" s="41"/>
    </row>
    <row r="389" spans="1:11" ht="15.75" customHeight="1" x14ac:dyDescent="0.3">
      <c r="A389" s="40" t="s">
        <v>1668</v>
      </c>
      <c r="B389" s="40" t="s">
        <v>626</v>
      </c>
      <c r="C389" s="51" t="str">
        <f>VLOOKUP(B389,'Sales Order'!A$2:B$1029,1,0)</f>
        <v>SO0388</v>
      </c>
      <c r="D389" s="17" t="s">
        <v>1279</v>
      </c>
      <c r="E389" s="29" t="s">
        <v>2312</v>
      </c>
      <c r="F389" s="29" t="s">
        <v>1288</v>
      </c>
      <c r="G389" s="18">
        <v>32352</v>
      </c>
      <c r="H389" s="43">
        <v>0.11</v>
      </c>
      <c r="I389" s="38">
        <v>78485209.5</v>
      </c>
      <c r="J389" s="42">
        <f>'Sales Order'!H389+('Sales Order'!H389*0.11)+Invoice!G389</f>
        <v>78485209.5</v>
      </c>
      <c r="K389" s="41"/>
    </row>
    <row r="390" spans="1:11" ht="15.75" customHeight="1" x14ac:dyDescent="0.3">
      <c r="A390" s="40" t="s">
        <v>1669</v>
      </c>
      <c r="B390" s="40" t="s">
        <v>627</v>
      </c>
      <c r="C390" s="51" t="str">
        <f>VLOOKUP(B390,'Sales Order'!A$2:B$1029,1,0)</f>
        <v>SO0389</v>
      </c>
      <c r="D390" s="17" t="s">
        <v>1275</v>
      </c>
      <c r="E390" s="29" t="s">
        <v>2315</v>
      </c>
      <c r="F390" s="29" t="s">
        <v>1276</v>
      </c>
      <c r="G390" s="18">
        <v>556050</v>
      </c>
      <c r="H390" s="43">
        <v>0.11</v>
      </c>
      <c r="I390" s="38">
        <v>189715767.59999999</v>
      </c>
      <c r="J390" s="42">
        <f>'Sales Order'!H390+('Sales Order'!H390*0.11)+Invoice!G390</f>
        <v>189715767.59999999</v>
      </c>
      <c r="K390" s="41"/>
    </row>
    <row r="391" spans="1:11" ht="15.75" customHeight="1" x14ac:dyDescent="0.3">
      <c r="A391" s="40" t="s">
        <v>1670</v>
      </c>
      <c r="B391" s="40" t="s">
        <v>628</v>
      </c>
      <c r="C391" s="51" t="str">
        <f>VLOOKUP(B391,'Sales Order'!A$2:B$1029,1,0)</f>
        <v>SO0390</v>
      </c>
      <c r="D391" s="17" t="s">
        <v>1275</v>
      </c>
      <c r="E391" s="29" t="s">
        <v>170</v>
      </c>
      <c r="F391" s="29" t="s">
        <v>1295</v>
      </c>
      <c r="G391" s="32">
        <v>859350</v>
      </c>
      <c r="H391" s="43">
        <v>0.11</v>
      </c>
      <c r="I391" s="38">
        <v>619430493</v>
      </c>
      <c r="J391" s="42">
        <f>'Sales Order'!H391+('Sales Order'!H391*0.11)+Invoice!G391</f>
        <v>619430493</v>
      </c>
      <c r="K391" s="41"/>
    </row>
    <row r="392" spans="1:11" ht="15.75" customHeight="1" x14ac:dyDescent="0.3">
      <c r="A392" s="40" t="s">
        <v>1671</v>
      </c>
      <c r="B392" s="40" t="s">
        <v>629</v>
      </c>
      <c r="C392" s="51" t="str">
        <f>VLOOKUP(B392,'Sales Order'!A$2:B$1029,1,0)</f>
        <v>SO0391</v>
      </c>
      <c r="D392" s="17" t="s">
        <v>1275</v>
      </c>
      <c r="E392" s="29" t="s">
        <v>170</v>
      </c>
      <c r="F392" s="29" t="s">
        <v>1295</v>
      </c>
      <c r="G392" s="32">
        <v>859350</v>
      </c>
      <c r="H392" s="43">
        <v>0.11</v>
      </c>
      <c r="I392" s="38">
        <v>1423132586.4000001</v>
      </c>
      <c r="J392" s="42">
        <f>'Sales Order'!H392+('Sales Order'!H392*0.11)+Invoice!G392</f>
        <v>1423132586.4000001</v>
      </c>
      <c r="K392" s="41"/>
    </row>
    <row r="393" spans="1:11" ht="15.75" customHeight="1" x14ac:dyDescent="0.3">
      <c r="A393" s="40" t="s">
        <v>1672</v>
      </c>
      <c r="B393" s="40" t="s">
        <v>630</v>
      </c>
      <c r="C393" s="51" t="str">
        <f>VLOOKUP(B393,'Sales Order'!A$2:B$1029,1,0)</f>
        <v>SO0392</v>
      </c>
      <c r="D393" s="17" t="s">
        <v>1275</v>
      </c>
      <c r="E393" s="29" t="s">
        <v>2313</v>
      </c>
      <c r="F393" s="29" t="s">
        <v>1280</v>
      </c>
      <c r="G393" s="18">
        <v>808800</v>
      </c>
      <c r="H393" s="43">
        <v>0.11</v>
      </c>
      <c r="I393" s="38">
        <v>475324675.80000001</v>
      </c>
      <c r="J393" s="42">
        <f>'Sales Order'!H393+('Sales Order'!H393*0.11)+Invoice!G393</f>
        <v>475324675.80000001</v>
      </c>
      <c r="K393" s="41"/>
    </row>
    <row r="394" spans="1:11" ht="15.75" customHeight="1" x14ac:dyDescent="0.3">
      <c r="A394" s="40" t="s">
        <v>1673</v>
      </c>
      <c r="B394" s="40" t="s">
        <v>631</v>
      </c>
      <c r="C394" s="51" t="str">
        <f>VLOOKUP(B394,'Sales Order'!A$2:B$1029,1,0)</f>
        <v>SO0393</v>
      </c>
      <c r="D394" s="17" t="s">
        <v>1275</v>
      </c>
      <c r="E394" s="29" t="s">
        <v>170</v>
      </c>
      <c r="F394" s="29" t="s">
        <v>1285</v>
      </c>
      <c r="G394" s="32">
        <v>859350</v>
      </c>
      <c r="H394" s="43">
        <v>0.11</v>
      </c>
      <c r="I394" s="38">
        <v>786747830.39999998</v>
      </c>
      <c r="J394" s="42">
        <f>'Sales Order'!H394+('Sales Order'!H394*0.11)+Invoice!G394</f>
        <v>786747830.39999998</v>
      </c>
      <c r="K394" s="41"/>
    </row>
    <row r="395" spans="1:11" ht="15.75" customHeight="1" x14ac:dyDescent="0.3">
      <c r="A395" s="40" t="s">
        <v>1674</v>
      </c>
      <c r="B395" s="40" t="s">
        <v>632</v>
      </c>
      <c r="C395" s="51" t="str">
        <f>VLOOKUP(B395,'Sales Order'!A$2:B$1029,1,0)</f>
        <v>SO0394</v>
      </c>
      <c r="D395" s="17" t="s">
        <v>1275</v>
      </c>
      <c r="E395" s="29" t="s">
        <v>170</v>
      </c>
      <c r="F395" s="29" t="s">
        <v>1295</v>
      </c>
      <c r="G395" s="32">
        <v>859350</v>
      </c>
      <c r="H395" s="43">
        <v>0.11</v>
      </c>
      <c r="I395" s="38">
        <v>651015642.89999998</v>
      </c>
      <c r="J395" s="42">
        <f>'Sales Order'!H395+('Sales Order'!H395*0.11)+Invoice!G395</f>
        <v>651015642.89999998</v>
      </c>
      <c r="K395" s="41"/>
    </row>
    <row r="396" spans="1:11" ht="15.75" customHeight="1" x14ac:dyDescent="0.3">
      <c r="A396" s="40" t="s">
        <v>1675</v>
      </c>
      <c r="B396" s="40" t="s">
        <v>633</v>
      </c>
      <c r="C396" s="51" t="str">
        <f>VLOOKUP(B396,'Sales Order'!A$2:B$1029,1,0)</f>
        <v>SO0395</v>
      </c>
      <c r="D396" s="17" t="s">
        <v>1275</v>
      </c>
      <c r="E396" s="29" t="s">
        <v>2316</v>
      </c>
      <c r="F396" s="29" t="s">
        <v>1288</v>
      </c>
      <c r="G396" s="18">
        <v>556050</v>
      </c>
      <c r="H396" s="43">
        <v>0.11</v>
      </c>
      <c r="I396" s="38">
        <v>127230859.5</v>
      </c>
      <c r="J396" s="42">
        <f>'Sales Order'!H396+('Sales Order'!H396*0.11)+Invoice!G396</f>
        <v>127230859.5</v>
      </c>
      <c r="K396" s="41"/>
    </row>
    <row r="397" spans="1:11" ht="15.75" customHeight="1" x14ac:dyDescent="0.3">
      <c r="A397" s="40" t="s">
        <v>1676</v>
      </c>
      <c r="B397" s="40" t="s">
        <v>634</v>
      </c>
      <c r="C397" s="51" t="str">
        <f>VLOOKUP(B397,'Sales Order'!A$2:B$1029,1,0)</f>
        <v>SO0396</v>
      </c>
      <c r="D397" s="17" t="s">
        <v>1275</v>
      </c>
      <c r="E397" s="29" t="s">
        <v>2313</v>
      </c>
      <c r="F397" s="29" t="s">
        <v>1295</v>
      </c>
      <c r="G397" s="18">
        <v>808800</v>
      </c>
      <c r="H397" s="43">
        <v>0.11</v>
      </c>
      <c r="I397" s="38">
        <v>514933360.80000001</v>
      </c>
      <c r="J397" s="42">
        <f>'Sales Order'!H397+('Sales Order'!H397*0.11)+Invoice!G397</f>
        <v>514933360.80000001</v>
      </c>
      <c r="K397" s="41"/>
    </row>
    <row r="398" spans="1:11" ht="15.75" customHeight="1" x14ac:dyDescent="0.3">
      <c r="A398" s="40" t="s">
        <v>1677</v>
      </c>
      <c r="B398" s="40" t="s">
        <v>635</v>
      </c>
      <c r="C398" s="51" t="str">
        <f>VLOOKUP(B398,'Sales Order'!A$2:B$1029,1,0)</f>
        <v>SO0397</v>
      </c>
      <c r="D398" s="17" t="s">
        <v>1275</v>
      </c>
      <c r="E398" s="29" t="s">
        <v>2314</v>
      </c>
      <c r="F398" s="29" t="s">
        <v>1276</v>
      </c>
      <c r="G398" s="18">
        <v>808800</v>
      </c>
      <c r="H398" s="43">
        <v>0.11</v>
      </c>
      <c r="I398" s="38">
        <v>234864510</v>
      </c>
      <c r="J398" s="42">
        <f>'Sales Order'!H398+('Sales Order'!H398*0.11)+Invoice!G398</f>
        <v>234864510</v>
      </c>
      <c r="K398" s="41"/>
    </row>
    <row r="399" spans="1:11" ht="15.75" customHeight="1" x14ac:dyDescent="0.3">
      <c r="A399" s="40" t="s">
        <v>1678</v>
      </c>
      <c r="B399" s="40" t="s">
        <v>636</v>
      </c>
      <c r="C399" s="51" t="str">
        <f>VLOOKUP(B399,'Sales Order'!A$2:B$1029,1,0)</f>
        <v>SO0398</v>
      </c>
      <c r="D399" s="17" t="s">
        <v>1275</v>
      </c>
      <c r="E399" s="29" t="s">
        <v>170</v>
      </c>
      <c r="F399" s="29" t="s">
        <v>1288</v>
      </c>
      <c r="G399" s="32">
        <v>859350</v>
      </c>
      <c r="H399" s="43">
        <v>0.11</v>
      </c>
      <c r="I399" s="38">
        <v>181821384.59999999</v>
      </c>
      <c r="J399" s="42">
        <f>'Sales Order'!H399+('Sales Order'!H399*0.11)+Invoice!G399</f>
        <v>181821384.59999999</v>
      </c>
      <c r="K399" s="41"/>
    </row>
    <row r="400" spans="1:11" ht="15.75" customHeight="1" x14ac:dyDescent="0.3">
      <c r="A400" s="40" t="s">
        <v>1679</v>
      </c>
      <c r="B400" s="40" t="s">
        <v>637</v>
      </c>
      <c r="C400" s="51" t="str">
        <f>VLOOKUP(B400,'Sales Order'!A$2:B$1029,1,0)</f>
        <v>SO0399</v>
      </c>
      <c r="D400" s="17" t="s">
        <v>1275</v>
      </c>
      <c r="E400" s="29" t="s">
        <v>2315</v>
      </c>
      <c r="F400" s="29" t="s">
        <v>1288</v>
      </c>
      <c r="G400" s="18">
        <v>556050</v>
      </c>
      <c r="H400" s="43">
        <v>0.11</v>
      </c>
      <c r="I400" s="38">
        <v>261501476.69999999</v>
      </c>
      <c r="J400" s="42">
        <f>'Sales Order'!H400+('Sales Order'!H400*0.11)+Invoice!G400</f>
        <v>261501476.69999999</v>
      </c>
      <c r="K400" s="41"/>
    </row>
    <row r="401" spans="1:11" ht="15.75" customHeight="1" x14ac:dyDescent="0.3">
      <c r="A401" s="40" t="s">
        <v>1680</v>
      </c>
      <c r="B401" s="40" t="s">
        <v>638</v>
      </c>
      <c r="C401" s="51" t="str">
        <f>VLOOKUP(B401,'Sales Order'!A$2:B$1029,1,0)</f>
        <v>SO0400</v>
      </c>
      <c r="D401" s="17" t="s">
        <v>1279</v>
      </c>
      <c r="E401" s="29" t="s">
        <v>118</v>
      </c>
      <c r="F401" s="29" t="s">
        <v>1276</v>
      </c>
      <c r="G401" s="18">
        <v>8088</v>
      </c>
      <c r="H401" s="43">
        <v>0.11</v>
      </c>
      <c r="I401" s="38">
        <v>241810388.09999999</v>
      </c>
      <c r="J401" s="42">
        <f>'Sales Order'!H401+('Sales Order'!H401*0.11)+Invoice!G401</f>
        <v>241810388.09999999</v>
      </c>
      <c r="K401" s="41"/>
    </row>
    <row r="402" spans="1:11" ht="15.75" customHeight="1" x14ac:dyDescent="0.3">
      <c r="A402" s="40" t="s">
        <v>1681</v>
      </c>
      <c r="B402" s="40" t="s">
        <v>639</v>
      </c>
      <c r="C402" s="51" t="str">
        <f>VLOOKUP(B402,'Sales Order'!A$2:B$1029,1,0)</f>
        <v>SO0401</v>
      </c>
      <c r="D402" s="17" t="s">
        <v>1275</v>
      </c>
      <c r="E402" s="29" t="s">
        <v>143</v>
      </c>
      <c r="F402" s="29" t="s">
        <v>1276</v>
      </c>
      <c r="G402" s="32">
        <v>859350</v>
      </c>
      <c r="H402" s="43">
        <v>0.11</v>
      </c>
      <c r="I402" s="38">
        <v>68923329</v>
      </c>
      <c r="J402" s="42">
        <f>'Sales Order'!H402+('Sales Order'!H402*0.11)+Invoice!G402</f>
        <v>68923329</v>
      </c>
      <c r="K402" s="41"/>
    </row>
    <row r="403" spans="1:11" ht="15.75" customHeight="1" x14ac:dyDescent="0.3">
      <c r="A403" s="40" t="s">
        <v>1682</v>
      </c>
      <c r="B403" s="40" t="s">
        <v>640</v>
      </c>
      <c r="C403" s="51" t="str">
        <f>VLOOKUP(B403,'Sales Order'!A$2:B$1029,1,0)</f>
        <v>SO0402</v>
      </c>
      <c r="D403" s="17" t="s">
        <v>1279</v>
      </c>
      <c r="E403" s="29" t="s">
        <v>150</v>
      </c>
      <c r="F403" s="29" t="s">
        <v>1288</v>
      </c>
      <c r="G403" s="18">
        <v>32352</v>
      </c>
      <c r="H403" s="43">
        <v>0.11</v>
      </c>
      <c r="I403" s="38">
        <v>39942013.5</v>
      </c>
      <c r="J403" s="42">
        <f>'Sales Order'!H403+('Sales Order'!H403*0.11)+Invoice!G403</f>
        <v>39942013.5</v>
      </c>
      <c r="K403" s="41"/>
    </row>
    <row r="404" spans="1:11" ht="15.75" customHeight="1" x14ac:dyDescent="0.3">
      <c r="A404" s="40" t="s">
        <v>1683</v>
      </c>
      <c r="B404" s="40" t="s">
        <v>641</v>
      </c>
      <c r="C404" s="51" t="str">
        <f>VLOOKUP(B404,'Sales Order'!A$2:B$1029,1,0)</f>
        <v>SO0403</v>
      </c>
      <c r="D404" s="17" t="s">
        <v>1275</v>
      </c>
      <c r="E404" s="29" t="s">
        <v>2314</v>
      </c>
      <c r="F404" s="29" t="s">
        <v>1285</v>
      </c>
      <c r="G404" s="18">
        <v>808800</v>
      </c>
      <c r="H404" s="43">
        <v>0.11</v>
      </c>
      <c r="I404" s="38">
        <v>471249099.89999998</v>
      </c>
      <c r="J404" s="42">
        <f>'Sales Order'!H404+('Sales Order'!H404*0.11)+Invoice!G404</f>
        <v>471249099.89999998</v>
      </c>
      <c r="K404" s="41"/>
    </row>
    <row r="405" spans="1:11" ht="15.75" customHeight="1" x14ac:dyDescent="0.3">
      <c r="A405" s="40" t="s">
        <v>1684</v>
      </c>
      <c r="B405" s="40" t="s">
        <v>642</v>
      </c>
      <c r="C405" s="51" t="str">
        <f>VLOOKUP(B405,'Sales Order'!A$2:B$1029,1,0)</f>
        <v>SO0404</v>
      </c>
      <c r="D405" s="17" t="s">
        <v>1275</v>
      </c>
      <c r="E405" s="29" t="s">
        <v>2318</v>
      </c>
      <c r="F405" s="29" t="s">
        <v>1285</v>
      </c>
      <c r="G405" s="32">
        <v>859350</v>
      </c>
      <c r="H405" s="43">
        <v>0.11</v>
      </c>
      <c r="I405" s="38">
        <v>356758228.19999999</v>
      </c>
      <c r="J405" s="42">
        <f>'Sales Order'!H405+('Sales Order'!H405*0.11)+Invoice!G405</f>
        <v>356758228.19999999</v>
      </c>
      <c r="K405" s="41"/>
    </row>
    <row r="406" spans="1:11" ht="15.75" customHeight="1" x14ac:dyDescent="0.3">
      <c r="A406" s="40" t="s">
        <v>1685</v>
      </c>
      <c r="B406" s="40" t="s">
        <v>643</v>
      </c>
      <c r="C406" s="51" t="str">
        <f>VLOOKUP(B406,'Sales Order'!A$2:B$1029,1,0)</f>
        <v>SO0405</v>
      </c>
      <c r="D406" s="17" t="s">
        <v>1275</v>
      </c>
      <c r="E406" s="29" t="s">
        <v>143</v>
      </c>
      <c r="F406" s="29" t="s">
        <v>1276</v>
      </c>
      <c r="G406" s="32">
        <v>859350</v>
      </c>
      <c r="H406" s="43">
        <v>0.11</v>
      </c>
      <c r="I406" s="38">
        <v>173798571</v>
      </c>
      <c r="J406" s="42">
        <f>'Sales Order'!H406+('Sales Order'!H406*0.11)+Invoice!G406</f>
        <v>173798571</v>
      </c>
      <c r="K406" s="41"/>
    </row>
    <row r="407" spans="1:11" ht="15.75" customHeight="1" x14ac:dyDescent="0.3">
      <c r="A407" s="40" t="s">
        <v>1686</v>
      </c>
      <c r="B407" s="40" t="s">
        <v>644</v>
      </c>
      <c r="C407" s="51" t="str">
        <f>VLOOKUP(B407,'Sales Order'!A$2:B$1029,1,0)</f>
        <v>SO0406</v>
      </c>
      <c r="D407" s="17" t="s">
        <v>1279</v>
      </c>
      <c r="E407" s="29" t="s">
        <v>118</v>
      </c>
      <c r="F407" s="29" t="s">
        <v>1285</v>
      </c>
      <c r="G407" s="18">
        <v>8088</v>
      </c>
      <c r="H407" s="43">
        <v>0.11</v>
      </c>
      <c r="I407" s="38">
        <v>1261057542.9000001</v>
      </c>
      <c r="J407" s="42">
        <f>'Sales Order'!H407+('Sales Order'!H407*0.11)+Invoice!G407</f>
        <v>1261057542.9000001</v>
      </c>
      <c r="K407" s="41"/>
    </row>
    <row r="408" spans="1:11" ht="15.75" customHeight="1" x14ac:dyDescent="0.3">
      <c r="A408" s="40" t="s">
        <v>1687</v>
      </c>
      <c r="B408" s="40" t="s">
        <v>645</v>
      </c>
      <c r="C408" s="51" t="str">
        <f>VLOOKUP(B408,'Sales Order'!A$2:B$1029,1,0)</f>
        <v>SO0407</v>
      </c>
      <c r="D408" s="17" t="s">
        <v>1275</v>
      </c>
      <c r="E408" s="29" t="s">
        <v>2314</v>
      </c>
      <c r="F408" s="29" t="s">
        <v>1276</v>
      </c>
      <c r="G408" s="18">
        <v>808800</v>
      </c>
      <c r="H408" s="43">
        <v>0.11</v>
      </c>
      <c r="I408" s="38">
        <v>229090933.80000001</v>
      </c>
      <c r="J408" s="42">
        <f>'Sales Order'!H408+('Sales Order'!H408*0.11)+Invoice!G408</f>
        <v>229090933.80000001</v>
      </c>
      <c r="K408" s="41"/>
    </row>
    <row r="409" spans="1:11" ht="15.75" customHeight="1" x14ac:dyDescent="0.3">
      <c r="A409" s="40" t="s">
        <v>1688</v>
      </c>
      <c r="B409" s="40" t="s">
        <v>646</v>
      </c>
      <c r="C409" s="51" t="str">
        <f>VLOOKUP(B409,'Sales Order'!A$2:B$1029,1,0)</f>
        <v>SO0408</v>
      </c>
      <c r="D409" s="17" t="s">
        <v>1275</v>
      </c>
      <c r="E409" s="29" t="s">
        <v>143</v>
      </c>
      <c r="F409" s="29" t="s">
        <v>1276</v>
      </c>
      <c r="G409" s="32">
        <v>859350</v>
      </c>
      <c r="H409" s="43">
        <v>0.11</v>
      </c>
      <c r="I409" s="38">
        <v>46699974.600000001</v>
      </c>
      <c r="J409" s="42">
        <f>'Sales Order'!H409+('Sales Order'!H409*0.11)+Invoice!G409</f>
        <v>46699974.600000001</v>
      </c>
      <c r="K409" s="41"/>
    </row>
    <row r="410" spans="1:11" ht="15.75" customHeight="1" x14ac:dyDescent="0.3">
      <c r="A410" s="40" t="s">
        <v>1689</v>
      </c>
      <c r="B410" s="40" t="s">
        <v>647</v>
      </c>
      <c r="C410" s="51" t="str">
        <f>VLOOKUP(B410,'Sales Order'!A$2:B$1029,1,0)</f>
        <v>SO0409</v>
      </c>
      <c r="D410" s="17" t="s">
        <v>1279</v>
      </c>
      <c r="E410" s="29" t="s">
        <v>118</v>
      </c>
      <c r="F410" s="29" t="s">
        <v>1276</v>
      </c>
      <c r="G410" s="18">
        <v>8088</v>
      </c>
      <c r="H410" s="43">
        <v>0.11</v>
      </c>
      <c r="I410" s="38">
        <v>26682498</v>
      </c>
      <c r="J410" s="42">
        <f>'Sales Order'!H410+('Sales Order'!H410*0.11)+Invoice!G410</f>
        <v>26682498</v>
      </c>
      <c r="K410" s="41"/>
    </row>
    <row r="411" spans="1:11" ht="15.75" customHeight="1" x14ac:dyDescent="0.3">
      <c r="A411" s="40" t="s">
        <v>1690</v>
      </c>
      <c r="B411" s="40" t="s">
        <v>648</v>
      </c>
      <c r="C411" s="51" t="str">
        <f>VLOOKUP(B411,'Sales Order'!A$2:B$1029,1,0)</f>
        <v>SO0410</v>
      </c>
      <c r="D411" s="17" t="s">
        <v>1275</v>
      </c>
      <c r="E411" s="29" t="s">
        <v>143</v>
      </c>
      <c r="F411" s="29" t="s">
        <v>1295</v>
      </c>
      <c r="G411" s="32">
        <v>859350</v>
      </c>
      <c r="H411" s="43">
        <v>0.11</v>
      </c>
      <c r="I411" s="38">
        <v>831562049.10000002</v>
      </c>
      <c r="J411" s="42">
        <f>'Sales Order'!H411+('Sales Order'!H411*0.11)+Invoice!G411</f>
        <v>831562049.10000002</v>
      </c>
      <c r="K411" s="41"/>
    </row>
    <row r="412" spans="1:11" ht="15.75" customHeight="1" x14ac:dyDescent="0.3">
      <c r="A412" s="40" t="s">
        <v>1691</v>
      </c>
      <c r="B412" s="40" t="s">
        <v>649</v>
      </c>
      <c r="C412" s="51" t="str">
        <f>VLOOKUP(B412,'Sales Order'!A$2:B$1029,1,0)</f>
        <v>SO0411</v>
      </c>
      <c r="D412" s="17" t="s">
        <v>1275</v>
      </c>
      <c r="E412" s="29" t="s">
        <v>170</v>
      </c>
      <c r="F412" s="29" t="s">
        <v>1288</v>
      </c>
      <c r="G412" s="32">
        <v>859350</v>
      </c>
      <c r="H412" s="43">
        <v>0.11</v>
      </c>
      <c r="I412" s="38">
        <v>91618500</v>
      </c>
      <c r="J412" s="42">
        <f>'Sales Order'!H412+('Sales Order'!H412*0.11)+Invoice!G412</f>
        <v>91618500</v>
      </c>
      <c r="K412" s="41"/>
    </row>
    <row r="413" spans="1:11" ht="15.75" customHeight="1" x14ac:dyDescent="0.3">
      <c r="A413" s="40" t="s">
        <v>1692</v>
      </c>
      <c r="B413" s="40" t="s">
        <v>650</v>
      </c>
      <c r="C413" s="51" t="str">
        <f>VLOOKUP(B413,'Sales Order'!A$2:B$1029,1,0)</f>
        <v>SO0412</v>
      </c>
      <c r="D413" s="17" t="s">
        <v>1275</v>
      </c>
      <c r="E413" s="29" t="s">
        <v>170</v>
      </c>
      <c r="F413" s="29" t="s">
        <v>1288</v>
      </c>
      <c r="G413" s="32">
        <v>859350</v>
      </c>
      <c r="H413" s="43">
        <v>0.11</v>
      </c>
      <c r="I413" s="38">
        <v>264020703</v>
      </c>
      <c r="J413" s="42">
        <f>'Sales Order'!H413+('Sales Order'!H413*0.11)+Invoice!G413</f>
        <v>264020703</v>
      </c>
      <c r="K413" s="41"/>
    </row>
    <row r="414" spans="1:11" ht="15.75" customHeight="1" x14ac:dyDescent="0.3">
      <c r="A414" s="40" t="s">
        <v>1693</v>
      </c>
      <c r="B414" s="40" t="s">
        <v>651</v>
      </c>
      <c r="C414" s="51" t="str">
        <f>VLOOKUP(B414,'Sales Order'!A$2:B$1029,1,0)</f>
        <v>SO0413</v>
      </c>
      <c r="D414" s="17" t="s">
        <v>1275</v>
      </c>
      <c r="E414" s="29" t="s">
        <v>2318</v>
      </c>
      <c r="F414" s="29" t="s">
        <v>1280</v>
      </c>
      <c r="G414" s="32">
        <v>859350</v>
      </c>
      <c r="H414" s="43">
        <v>0.11</v>
      </c>
      <c r="I414" s="38">
        <v>381707309.69999999</v>
      </c>
      <c r="J414" s="42">
        <f>'Sales Order'!H414+('Sales Order'!H414*0.11)+Invoice!G414</f>
        <v>381707309.69999999</v>
      </c>
      <c r="K414" s="41"/>
    </row>
    <row r="415" spans="1:11" ht="15.75" customHeight="1" x14ac:dyDescent="0.3">
      <c r="A415" s="40" t="s">
        <v>1694</v>
      </c>
      <c r="B415" s="40" t="s">
        <v>652</v>
      </c>
      <c r="C415" s="51" t="str">
        <f>VLOOKUP(B415,'Sales Order'!A$2:B$1029,1,0)</f>
        <v>SO0414</v>
      </c>
      <c r="D415" s="17" t="s">
        <v>1275</v>
      </c>
      <c r="E415" s="29" t="s">
        <v>143</v>
      </c>
      <c r="F415" s="29" t="s">
        <v>1288</v>
      </c>
      <c r="G415" s="32">
        <v>859350</v>
      </c>
      <c r="H415" s="43">
        <v>0.11</v>
      </c>
      <c r="I415" s="38">
        <v>276697879.80000001</v>
      </c>
      <c r="J415" s="42">
        <f>'Sales Order'!H415+('Sales Order'!H415*0.11)+Invoice!G415</f>
        <v>276697879.80000001</v>
      </c>
      <c r="K415" s="41"/>
    </row>
    <row r="416" spans="1:11" ht="15.75" customHeight="1" x14ac:dyDescent="0.3">
      <c r="A416" s="40" t="s">
        <v>1695</v>
      </c>
      <c r="B416" s="40" t="s">
        <v>653</v>
      </c>
      <c r="C416" s="51" t="str">
        <f>VLOOKUP(B416,'Sales Order'!A$2:B$1029,1,0)</f>
        <v>SO0415</v>
      </c>
      <c r="D416" s="17" t="s">
        <v>1279</v>
      </c>
      <c r="E416" s="29" t="s">
        <v>118</v>
      </c>
      <c r="F416" s="29" t="s">
        <v>1280</v>
      </c>
      <c r="G416" s="18">
        <v>8088</v>
      </c>
      <c r="H416" s="43">
        <v>0.11</v>
      </c>
      <c r="I416" s="38">
        <v>884030460.72000003</v>
      </c>
      <c r="J416" s="42">
        <f>'Sales Order'!H416+('Sales Order'!H416*0.11)+Invoice!G416</f>
        <v>884030460.72000003</v>
      </c>
      <c r="K416" s="41"/>
    </row>
    <row r="417" spans="1:11" ht="15.75" customHeight="1" x14ac:dyDescent="0.3">
      <c r="A417" s="40" t="s">
        <v>1696</v>
      </c>
      <c r="B417" s="40" t="s">
        <v>654</v>
      </c>
      <c r="C417" s="51" t="str">
        <f>VLOOKUP(B417,'Sales Order'!A$2:B$1029,1,0)</f>
        <v>SO0416</v>
      </c>
      <c r="D417" s="17" t="s">
        <v>1275</v>
      </c>
      <c r="E417" s="29" t="s">
        <v>2318</v>
      </c>
      <c r="F417" s="29" t="s">
        <v>1288</v>
      </c>
      <c r="G417" s="32">
        <v>859350</v>
      </c>
      <c r="H417" s="43">
        <v>0.11</v>
      </c>
      <c r="I417" s="38">
        <v>158321119.5</v>
      </c>
      <c r="J417" s="42">
        <f>'Sales Order'!H417+('Sales Order'!H417*0.11)+Invoice!G417</f>
        <v>158321119.5</v>
      </c>
      <c r="K417" s="41"/>
    </row>
    <row r="418" spans="1:11" ht="15.75" customHeight="1" x14ac:dyDescent="0.3">
      <c r="A418" s="40" t="s">
        <v>1697</v>
      </c>
      <c r="B418" s="40" t="s">
        <v>655</v>
      </c>
      <c r="C418" s="51" t="str">
        <f>VLOOKUP(B418,'Sales Order'!A$2:B$1029,1,0)</f>
        <v>SO0417</v>
      </c>
      <c r="D418" s="17" t="s">
        <v>1275</v>
      </c>
      <c r="E418" s="29" t="s">
        <v>2320</v>
      </c>
      <c r="F418" s="29" t="s">
        <v>1285</v>
      </c>
      <c r="G418" s="32">
        <v>758250</v>
      </c>
      <c r="H418" s="43">
        <v>0.11</v>
      </c>
      <c r="I418" s="38">
        <v>589890283.79999995</v>
      </c>
      <c r="J418" s="42">
        <f>'Sales Order'!H418+('Sales Order'!H418*0.11)+Invoice!G418</f>
        <v>589890283.79999995</v>
      </c>
      <c r="K418" s="41"/>
    </row>
    <row r="419" spans="1:11" ht="15.75" customHeight="1" x14ac:dyDescent="0.3">
      <c r="A419" s="40" t="s">
        <v>1698</v>
      </c>
      <c r="B419" s="40" t="s">
        <v>656</v>
      </c>
      <c r="C419" s="51" t="str">
        <f>VLOOKUP(B419,'Sales Order'!A$2:B$1029,1,0)</f>
        <v>SO0418</v>
      </c>
      <c r="D419" s="17" t="s">
        <v>1275</v>
      </c>
      <c r="E419" s="29" t="s">
        <v>143</v>
      </c>
      <c r="F419" s="29" t="s">
        <v>1288</v>
      </c>
      <c r="G419" s="32">
        <v>859350</v>
      </c>
      <c r="H419" s="43">
        <v>0.11</v>
      </c>
      <c r="I419" s="38">
        <v>8425935.8399999999</v>
      </c>
      <c r="J419" s="42">
        <f>'Sales Order'!H419+('Sales Order'!H419*0.11)+Invoice!G419</f>
        <v>8425935.8399999999</v>
      </c>
      <c r="K419" s="41"/>
    </row>
    <row r="420" spans="1:11" ht="15.75" customHeight="1" x14ac:dyDescent="0.3">
      <c r="A420" s="40" t="s">
        <v>1699</v>
      </c>
      <c r="B420" s="40" t="s">
        <v>657</v>
      </c>
      <c r="C420" s="51" t="str">
        <f>VLOOKUP(B420,'Sales Order'!A$2:B$1029,1,0)</f>
        <v>SO0419</v>
      </c>
      <c r="D420" s="17" t="s">
        <v>1275</v>
      </c>
      <c r="E420" s="29" t="s">
        <v>143</v>
      </c>
      <c r="F420" s="29" t="s">
        <v>1285</v>
      </c>
      <c r="G420" s="32">
        <v>859350</v>
      </c>
      <c r="H420" s="43">
        <v>0.11</v>
      </c>
      <c r="I420" s="38">
        <v>460913801.69999999</v>
      </c>
      <c r="J420" s="42">
        <f>'Sales Order'!H420+('Sales Order'!H420*0.11)+Invoice!G420</f>
        <v>460913801.69999999</v>
      </c>
      <c r="K420" s="41"/>
    </row>
    <row r="421" spans="1:11" ht="15.75" customHeight="1" x14ac:dyDescent="0.3">
      <c r="A421" s="40" t="s">
        <v>1700</v>
      </c>
      <c r="B421" s="40" t="s">
        <v>658</v>
      </c>
      <c r="C421" s="51" t="str">
        <f>VLOOKUP(B421,'Sales Order'!A$2:B$1029,1,0)</f>
        <v>SO0420</v>
      </c>
      <c r="D421" s="17" t="s">
        <v>1275</v>
      </c>
      <c r="E421" s="29" t="s">
        <v>2315</v>
      </c>
      <c r="F421" s="29" t="s">
        <v>1276</v>
      </c>
      <c r="G421" s="18">
        <v>556050</v>
      </c>
      <c r="H421" s="43">
        <v>0.11</v>
      </c>
      <c r="I421" s="38">
        <v>255493102.19999999</v>
      </c>
      <c r="J421" s="42">
        <f>'Sales Order'!H421+('Sales Order'!H421*0.11)+Invoice!G421</f>
        <v>255493102.19999999</v>
      </c>
      <c r="K421" s="41"/>
    </row>
    <row r="422" spans="1:11" ht="15.75" customHeight="1" x14ac:dyDescent="0.3">
      <c r="A422" s="40" t="s">
        <v>1701</v>
      </c>
      <c r="B422" s="40" t="s">
        <v>659</v>
      </c>
      <c r="C422" s="51" t="str">
        <f>VLOOKUP(B422,'Sales Order'!A$2:B$1029,1,0)</f>
        <v>SO0421</v>
      </c>
      <c r="D422" s="17" t="s">
        <v>1279</v>
      </c>
      <c r="E422" s="29" t="s">
        <v>118</v>
      </c>
      <c r="F422" s="29" t="s">
        <v>1276</v>
      </c>
      <c r="G422" s="18">
        <v>8088</v>
      </c>
      <c r="H422" s="43">
        <v>0.11</v>
      </c>
      <c r="I422" s="38">
        <v>85593738.900000006</v>
      </c>
      <c r="J422" s="42">
        <f>'Sales Order'!H422+('Sales Order'!H422*0.11)+Invoice!G422</f>
        <v>85593738.900000006</v>
      </c>
      <c r="K422" s="41"/>
    </row>
    <row r="423" spans="1:11" ht="15.75" customHeight="1" x14ac:dyDescent="0.3">
      <c r="A423" s="40" t="s">
        <v>1702</v>
      </c>
      <c r="B423" s="40" t="s">
        <v>660</v>
      </c>
      <c r="C423" s="51" t="str">
        <f>VLOOKUP(B423,'Sales Order'!A$2:B$1029,1,0)</f>
        <v>SO0422</v>
      </c>
      <c r="D423" s="17" t="s">
        <v>1275</v>
      </c>
      <c r="E423" s="29" t="s">
        <v>170</v>
      </c>
      <c r="F423" s="29" t="s">
        <v>1285</v>
      </c>
      <c r="G423" s="32">
        <v>859350</v>
      </c>
      <c r="H423" s="43">
        <v>0.11</v>
      </c>
      <c r="I423" s="38">
        <v>652770652.79999995</v>
      </c>
      <c r="J423" s="42">
        <f>'Sales Order'!H423+('Sales Order'!H423*0.11)+Invoice!G423</f>
        <v>652770652.79999995</v>
      </c>
      <c r="K423" s="41"/>
    </row>
    <row r="424" spans="1:11" ht="15.75" customHeight="1" x14ac:dyDescent="0.3">
      <c r="A424" s="40" t="s">
        <v>1703</v>
      </c>
      <c r="B424" s="40" t="s">
        <v>661</v>
      </c>
      <c r="C424" s="51" t="str">
        <f>VLOOKUP(B424,'Sales Order'!A$2:B$1029,1,0)</f>
        <v>SO0423</v>
      </c>
      <c r="D424" s="17" t="s">
        <v>1275</v>
      </c>
      <c r="E424" s="29" t="s">
        <v>2313</v>
      </c>
      <c r="F424" s="29" t="s">
        <v>1288</v>
      </c>
      <c r="G424" s="18">
        <v>808800</v>
      </c>
      <c r="H424" s="43">
        <v>0.11</v>
      </c>
      <c r="I424" s="38">
        <v>112083669.3</v>
      </c>
      <c r="J424" s="42">
        <f>'Sales Order'!H424+('Sales Order'!H424*0.11)+Invoice!G424</f>
        <v>112083669.3</v>
      </c>
      <c r="K424" s="41"/>
    </row>
    <row r="425" spans="1:11" ht="15.75" customHeight="1" x14ac:dyDescent="0.3">
      <c r="A425" s="40" t="s">
        <v>1704</v>
      </c>
      <c r="B425" s="40" t="s">
        <v>662</v>
      </c>
      <c r="C425" s="51" t="str">
        <f>VLOOKUP(B425,'Sales Order'!A$2:B$1029,1,0)</f>
        <v>SO0424</v>
      </c>
      <c r="D425" s="17" t="s">
        <v>1275</v>
      </c>
      <c r="E425" s="29" t="s">
        <v>2313</v>
      </c>
      <c r="F425" s="29" t="s">
        <v>1280</v>
      </c>
      <c r="G425" s="18">
        <v>808800</v>
      </c>
      <c r="H425" s="43">
        <v>0.11</v>
      </c>
      <c r="I425" s="38">
        <v>325684443.60000002</v>
      </c>
      <c r="J425" s="42">
        <f>'Sales Order'!H425+('Sales Order'!H425*0.11)+Invoice!G425</f>
        <v>325684443.60000002</v>
      </c>
      <c r="K425" s="41"/>
    </row>
    <row r="426" spans="1:11" ht="15.75" customHeight="1" x14ac:dyDescent="0.3">
      <c r="A426" s="40" t="s">
        <v>1705</v>
      </c>
      <c r="B426" s="40" t="s">
        <v>663</v>
      </c>
      <c r="C426" s="51" t="str">
        <f>VLOOKUP(B426,'Sales Order'!A$2:B$1029,1,0)</f>
        <v>SO0425</v>
      </c>
      <c r="D426" s="17" t="s">
        <v>1275</v>
      </c>
      <c r="E426" s="29" t="s">
        <v>143</v>
      </c>
      <c r="F426" s="29" t="s">
        <v>1276</v>
      </c>
      <c r="G426" s="32">
        <v>859350</v>
      </c>
      <c r="H426" s="43">
        <v>0.11</v>
      </c>
      <c r="I426" s="38">
        <v>113085123</v>
      </c>
      <c r="J426" s="42">
        <f>'Sales Order'!H426+('Sales Order'!H426*0.11)+Invoice!G426</f>
        <v>113085123</v>
      </c>
      <c r="K426" s="41"/>
    </row>
    <row r="427" spans="1:11" ht="15.75" customHeight="1" x14ac:dyDescent="0.3">
      <c r="A427" s="40" t="s">
        <v>1706</v>
      </c>
      <c r="B427" s="40" t="s">
        <v>664</v>
      </c>
      <c r="C427" s="51" t="str">
        <f>VLOOKUP(B427,'Sales Order'!A$2:B$1029,1,0)</f>
        <v>SO0426</v>
      </c>
      <c r="D427" s="17" t="s">
        <v>1279</v>
      </c>
      <c r="E427" s="29" t="s">
        <v>2312</v>
      </c>
      <c r="F427" s="29" t="s">
        <v>1285</v>
      </c>
      <c r="G427" s="18">
        <v>32352</v>
      </c>
      <c r="H427" s="43">
        <v>0.11</v>
      </c>
      <c r="I427" s="38">
        <v>403729450.80000001</v>
      </c>
      <c r="J427" s="42">
        <f>'Sales Order'!H427+('Sales Order'!H427*0.11)+Invoice!G427</f>
        <v>403729450.80000001</v>
      </c>
      <c r="K427" s="41"/>
    </row>
    <row r="428" spans="1:11" ht="15.75" customHeight="1" x14ac:dyDescent="0.3">
      <c r="A428" s="40" t="s">
        <v>1707</v>
      </c>
      <c r="B428" s="40" t="s">
        <v>665</v>
      </c>
      <c r="C428" s="51" t="str">
        <f>VLOOKUP(B428,'Sales Order'!A$2:B$1029,1,0)</f>
        <v>SO0427</v>
      </c>
      <c r="D428" s="17" t="s">
        <v>1275</v>
      </c>
      <c r="E428" s="29" t="s">
        <v>108</v>
      </c>
      <c r="F428" s="29" t="s">
        <v>1285</v>
      </c>
      <c r="G428" s="18">
        <v>556050</v>
      </c>
      <c r="H428" s="43">
        <v>0.11</v>
      </c>
      <c r="I428" s="38">
        <v>304511912.10000002</v>
      </c>
      <c r="J428" s="42">
        <f>'Sales Order'!H428+('Sales Order'!H428*0.11)+Invoice!G428</f>
        <v>304511912.10000002</v>
      </c>
      <c r="K428" s="41"/>
    </row>
    <row r="429" spans="1:11" ht="15.75" customHeight="1" x14ac:dyDescent="0.3">
      <c r="A429" s="40" t="s">
        <v>1708</v>
      </c>
      <c r="B429" s="40" t="s">
        <v>666</v>
      </c>
      <c r="C429" s="51" t="str">
        <f>VLOOKUP(B429,'Sales Order'!A$2:B$1029,1,0)</f>
        <v>SO0428</v>
      </c>
      <c r="D429" s="17" t="s">
        <v>1275</v>
      </c>
      <c r="E429" s="29" t="s">
        <v>2320</v>
      </c>
      <c r="F429" s="29" t="s">
        <v>1285</v>
      </c>
      <c r="G429" s="32">
        <v>758250</v>
      </c>
      <c r="H429" s="43">
        <v>0.11</v>
      </c>
      <c r="I429" s="38">
        <v>868932984</v>
      </c>
      <c r="J429" s="42">
        <f>'Sales Order'!H429+('Sales Order'!H429*0.11)+Invoice!G429</f>
        <v>868932984</v>
      </c>
      <c r="K429" s="41"/>
    </row>
    <row r="430" spans="1:11" ht="15.75" customHeight="1" x14ac:dyDescent="0.3">
      <c r="A430" s="40" t="s">
        <v>1709</v>
      </c>
      <c r="B430" s="40" t="s">
        <v>667</v>
      </c>
      <c r="C430" s="51" t="str">
        <f>VLOOKUP(B430,'Sales Order'!A$2:B$1029,1,0)</f>
        <v>SO0429</v>
      </c>
      <c r="D430" s="17" t="s">
        <v>1279</v>
      </c>
      <c r="E430" s="29" t="s">
        <v>118</v>
      </c>
      <c r="F430" s="29" t="s">
        <v>1285</v>
      </c>
      <c r="G430" s="18">
        <v>8088</v>
      </c>
      <c r="H430" s="43">
        <v>0.11</v>
      </c>
      <c r="I430" s="38">
        <v>354296667</v>
      </c>
      <c r="J430" s="42">
        <f>'Sales Order'!H430+('Sales Order'!H430*0.11)+Invoice!G430</f>
        <v>354296667</v>
      </c>
      <c r="K430" s="41"/>
    </row>
    <row r="431" spans="1:11" ht="15.75" customHeight="1" x14ac:dyDescent="0.3">
      <c r="A431" s="40" t="s">
        <v>1710</v>
      </c>
      <c r="B431" s="40" t="s">
        <v>668</v>
      </c>
      <c r="C431" s="51" t="str">
        <f>VLOOKUP(B431,'Sales Order'!A$2:B$1029,1,0)</f>
        <v>SO0430</v>
      </c>
      <c r="D431" s="17" t="s">
        <v>1275</v>
      </c>
      <c r="E431" s="29" t="s">
        <v>170</v>
      </c>
      <c r="F431" s="29" t="s">
        <v>1280</v>
      </c>
      <c r="G431" s="32">
        <v>859350</v>
      </c>
      <c r="H431" s="43">
        <v>0.11</v>
      </c>
      <c r="I431" s="38">
        <v>338240409</v>
      </c>
      <c r="J431" s="42">
        <f>'Sales Order'!H431+('Sales Order'!H431*0.11)+Invoice!G431</f>
        <v>338240409</v>
      </c>
      <c r="K431" s="41"/>
    </row>
    <row r="432" spans="1:11" ht="15.75" customHeight="1" x14ac:dyDescent="0.3">
      <c r="A432" s="40" t="s">
        <v>1711</v>
      </c>
      <c r="B432" s="40" t="s">
        <v>669</v>
      </c>
      <c r="C432" s="51" t="str">
        <f>VLOOKUP(B432,'Sales Order'!A$2:B$1029,1,0)</f>
        <v>SO0431</v>
      </c>
      <c r="D432" s="17" t="s">
        <v>1279</v>
      </c>
      <c r="E432" s="29" t="s">
        <v>2312</v>
      </c>
      <c r="F432" s="29" t="s">
        <v>1288</v>
      </c>
      <c r="G432" s="18">
        <v>32352</v>
      </c>
      <c r="H432" s="43">
        <v>0.11</v>
      </c>
      <c r="I432" s="38">
        <v>236799170.40000001</v>
      </c>
      <c r="J432" s="42">
        <f>'Sales Order'!H432+('Sales Order'!H432*0.11)+Invoice!G432</f>
        <v>236799170.40000001</v>
      </c>
      <c r="K432" s="41"/>
    </row>
    <row r="433" spans="1:11" ht="15.75" customHeight="1" x14ac:dyDescent="0.3">
      <c r="A433" s="40" t="s">
        <v>1712</v>
      </c>
      <c r="B433" s="40" t="s">
        <v>670</v>
      </c>
      <c r="C433" s="51" t="str">
        <f>VLOOKUP(B433,'Sales Order'!A$2:B$1029,1,0)</f>
        <v>SO0432</v>
      </c>
      <c r="D433" s="17" t="s">
        <v>1275</v>
      </c>
      <c r="E433" s="29" t="s">
        <v>2319</v>
      </c>
      <c r="F433" s="29" t="s">
        <v>1295</v>
      </c>
      <c r="G433" s="18">
        <v>353850</v>
      </c>
      <c r="H433" s="43">
        <v>0.11</v>
      </c>
      <c r="I433" s="38">
        <v>293415495.00000006</v>
      </c>
      <c r="J433" s="42">
        <f>'Sales Order'!H433+('Sales Order'!H433*0.11)+Invoice!G433</f>
        <v>293415495.00000006</v>
      </c>
      <c r="K433" s="41"/>
    </row>
    <row r="434" spans="1:11" ht="15.75" customHeight="1" x14ac:dyDescent="0.3">
      <c r="A434" s="40" t="s">
        <v>1713</v>
      </c>
      <c r="B434" s="40" t="s">
        <v>671</v>
      </c>
      <c r="C434" s="51" t="str">
        <f>VLOOKUP(B434,'Sales Order'!A$2:B$1029,1,0)</f>
        <v>SO0433</v>
      </c>
      <c r="D434" s="17" t="s">
        <v>1275</v>
      </c>
      <c r="E434" s="29" t="s">
        <v>2316</v>
      </c>
      <c r="F434" s="29" t="s">
        <v>1288</v>
      </c>
      <c r="G434" s="18">
        <v>556050</v>
      </c>
      <c r="H434" s="43">
        <v>0.11</v>
      </c>
      <c r="I434" s="38">
        <v>259377513.90000001</v>
      </c>
      <c r="J434" s="42">
        <f>'Sales Order'!H434+('Sales Order'!H434*0.11)+Invoice!G434</f>
        <v>259377513.90000001</v>
      </c>
      <c r="K434" s="41"/>
    </row>
    <row r="435" spans="1:11" ht="15.75" customHeight="1" x14ac:dyDescent="0.3">
      <c r="A435" s="40" t="s">
        <v>1714</v>
      </c>
      <c r="B435" s="40" t="s">
        <v>672</v>
      </c>
      <c r="C435" s="51" t="str">
        <f>VLOOKUP(B435,'Sales Order'!A$2:B$1029,1,0)</f>
        <v>SO0434</v>
      </c>
      <c r="D435" s="17" t="s">
        <v>1275</v>
      </c>
      <c r="E435" s="29" t="s">
        <v>2313</v>
      </c>
      <c r="F435" s="29" t="s">
        <v>1280</v>
      </c>
      <c r="G435" s="18">
        <v>808800</v>
      </c>
      <c r="H435" s="43">
        <v>0.11</v>
      </c>
      <c r="I435" s="38">
        <v>851800218.96000004</v>
      </c>
      <c r="J435" s="42">
        <f>'Sales Order'!H435+('Sales Order'!H435*0.11)+Invoice!G435</f>
        <v>851800218.96000004</v>
      </c>
      <c r="K435" s="41"/>
    </row>
    <row r="436" spans="1:11" ht="15.75" customHeight="1" x14ac:dyDescent="0.3">
      <c r="A436" s="40" t="s">
        <v>1715</v>
      </c>
      <c r="B436" s="40" t="s">
        <v>673</v>
      </c>
      <c r="C436" s="51" t="str">
        <f>VLOOKUP(B436,'Sales Order'!A$2:B$1029,1,0)</f>
        <v>SO0435</v>
      </c>
      <c r="D436" s="17" t="s">
        <v>1275</v>
      </c>
      <c r="E436" s="29" t="s">
        <v>2316</v>
      </c>
      <c r="F436" s="29" t="s">
        <v>1285</v>
      </c>
      <c r="G436" s="18">
        <v>556050</v>
      </c>
      <c r="H436" s="43">
        <v>0.11</v>
      </c>
      <c r="I436" s="38">
        <v>837659442</v>
      </c>
      <c r="J436" s="42">
        <f>'Sales Order'!H436+('Sales Order'!H436*0.11)+Invoice!G436</f>
        <v>837659442</v>
      </c>
      <c r="K436" s="41"/>
    </row>
    <row r="437" spans="1:11" ht="15.75" customHeight="1" x14ac:dyDescent="0.3">
      <c r="A437" s="40" t="s">
        <v>1716</v>
      </c>
      <c r="B437" s="40" t="s">
        <v>674</v>
      </c>
      <c r="C437" s="51" t="str">
        <f>VLOOKUP(B437,'Sales Order'!A$2:B$1029,1,0)</f>
        <v>SO0436</v>
      </c>
      <c r="D437" s="17" t="s">
        <v>1275</v>
      </c>
      <c r="E437" s="29" t="s">
        <v>2316</v>
      </c>
      <c r="F437" s="29" t="s">
        <v>1288</v>
      </c>
      <c r="G437" s="18">
        <v>556050</v>
      </c>
      <c r="H437" s="43">
        <v>0.11</v>
      </c>
      <c r="I437" s="38">
        <v>234773265</v>
      </c>
      <c r="J437" s="42">
        <f>'Sales Order'!H437+('Sales Order'!H437*0.11)+Invoice!G437</f>
        <v>234773265</v>
      </c>
      <c r="K437" s="41"/>
    </row>
    <row r="438" spans="1:11" ht="15.75" customHeight="1" x14ac:dyDescent="0.3">
      <c r="A438" s="40" t="s">
        <v>1717</v>
      </c>
      <c r="B438" s="40" t="s">
        <v>675</v>
      </c>
      <c r="C438" s="51" t="str">
        <f>VLOOKUP(B438,'Sales Order'!A$2:B$1029,1,0)</f>
        <v>SO0437</v>
      </c>
      <c r="D438" s="17" t="s">
        <v>1275</v>
      </c>
      <c r="E438" s="29" t="s">
        <v>2318</v>
      </c>
      <c r="F438" s="29" t="s">
        <v>1295</v>
      </c>
      <c r="G438" s="32">
        <v>859350</v>
      </c>
      <c r="H438" s="43">
        <v>0.11</v>
      </c>
      <c r="I438" s="38">
        <v>637785885.89999998</v>
      </c>
      <c r="J438" s="42">
        <f>'Sales Order'!H438+('Sales Order'!H438*0.11)+Invoice!G438</f>
        <v>637785885.89999998</v>
      </c>
      <c r="K438" s="41"/>
    </row>
    <row r="439" spans="1:11" ht="15.75" customHeight="1" x14ac:dyDescent="0.3">
      <c r="A439" s="40" t="s">
        <v>1718</v>
      </c>
      <c r="B439" s="40" t="s">
        <v>676</v>
      </c>
      <c r="C439" s="51" t="str">
        <f>VLOOKUP(B439,'Sales Order'!A$2:B$1029,1,0)</f>
        <v>SO0438</v>
      </c>
      <c r="D439" s="17" t="s">
        <v>1275</v>
      </c>
      <c r="E439" s="29" t="s">
        <v>2313</v>
      </c>
      <c r="F439" s="29" t="s">
        <v>1288</v>
      </c>
      <c r="G439" s="18">
        <v>808800</v>
      </c>
      <c r="H439" s="43">
        <v>0.11</v>
      </c>
      <c r="I439" s="38">
        <v>69282613.200000003</v>
      </c>
      <c r="J439" s="42">
        <f>'Sales Order'!H439+('Sales Order'!H439*0.11)+Invoice!G439</f>
        <v>69282613.200000003</v>
      </c>
      <c r="K439" s="41"/>
    </row>
    <row r="440" spans="1:11" ht="15.75" customHeight="1" x14ac:dyDescent="0.3">
      <c r="A440" s="40" t="s">
        <v>1719</v>
      </c>
      <c r="B440" s="40" t="s">
        <v>677</v>
      </c>
      <c r="C440" s="51" t="str">
        <f>VLOOKUP(B440,'Sales Order'!A$2:B$1029,1,0)</f>
        <v>SO0439</v>
      </c>
      <c r="D440" s="17" t="s">
        <v>1279</v>
      </c>
      <c r="E440" s="29" t="s">
        <v>118</v>
      </c>
      <c r="F440" s="29" t="s">
        <v>1276</v>
      </c>
      <c r="G440" s="18">
        <v>8088</v>
      </c>
      <c r="H440" s="43">
        <v>0.11</v>
      </c>
      <c r="I440" s="38">
        <v>75492472.5</v>
      </c>
      <c r="J440" s="42">
        <f>'Sales Order'!H440+('Sales Order'!H440*0.11)+Invoice!G440</f>
        <v>75492472.5</v>
      </c>
      <c r="K440" s="41"/>
    </row>
    <row r="441" spans="1:11" ht="15.75" customHeight="1" x14ac:dyDescent="0.3">
      <c r="A441" s="40" t="s">
        <v>1720</v>
      </c>
      <c r="B441" s="40" t="s">
        <v>678</v>
      </c>
      <c r="C441" s="51" t="str">
        <f>VLOOKUP(B441,'Sales Order'!A$2:B$1029,1,0)</f>
        <v>SO0440</v>
      </c>
      <c r="D441" s="17" t="s">
        <v>1279</v>
      </c>
      <c r="E441" s="29" t="s">
        <v>118</v>
      </c>
      <c r="F441" s="29" t="s">
        <v>1295</v>
      </c>
      <c r="G441" s="18">
        <v>8088</v>
      </c>
      <c r="H441" s="43">
        <v>0.11</v>
      </c>
      <c r="I441" s="38">
        <v>518166522</v>
      </c>
      <c r="J441" s="42">
        <f>'Sales Order'!H441+('Sales Order'!H441*0.11)+Invoice!G441</f>
        <v>518166522</v>
      </c>
      <c r="K441" s="41"/>
    </row>
    <row r="442" spans="1:11" ht="15.75" customHeight="1" x14ac:dyDescent="0.3">
      <c r="A442" s="40" t="s">
        <v>1721</v>
      </c>
      <c r="B442" s="40" t="s">
        <v>679</v>
      </c>
      <c r="C442" s="51" t="str">
        <f>VLOOKUP(B442,'Sales Order'!A$2:B$1029,1,0)</f>
        <v>SO0441</v>
      </c>
      <c r="D442" s="17" t="s">
        <v>1275</v>
      </c>
      <c r="E442" s="29" t="s">
        <v>143</v>
      </c>
      <c r="F442" s="29" t="s">
        <v>1280</v>
      </c>
      <c r="G442" s="32">
        <v>859350</v>
      </c>
      <c r="H442" s="43">
        <v>0.11</v>
      </c>
      <c r="I442" s="38">
        <v>326320596.30000001</v>
      </c>
      <c r="J442" s="42">
        <f>'Sales Order'!H442+('Sales Order'!H442*0.11)+Invoice!G442</f>
        <v>326320596.30000001</v>
      </c>
      <c r="K442" s="41"/>
    </row>
    <row r="443" spans="1:11" ht="15.75" customHeight="1" x14ac:dyDescent="0.3">
      <c r="A443" s="40" t="s">
        <v>1722</v>
      </c>
      <c r="B443" s="40" t="s">
        <v>680</v>
      </c>
      <c r="C443" s="51" t="str">
        <f>VLOOKUP(B443,'Sales Order'!A$2:B$1029,1,0)</f>
        <v>SO0442</v>
      </c>
      <c r="D443" s="17" t="s">
        <v>1279</v>
      </c>
      <c r="E443" s="29" t="s">
        <v>118</v>
      </c>
      <c r="F443" s="29" t="s">
        <v>1280</v>
      </c>
      <c r="G443" s="18">
        <v>8088</v>
      </c>
      <c r="H443" s="43">
        <v>0.11</v>
      </c>
      <c r="I443" s="38">
        <v>386693948.39999998</v>
      </c>
      <c r="J443" s="42">
        <f>'Sales Order'!H443+('Sales Order'!H443*0.11)+Invoice!G443</f>
        <v>386693948.39999998</v>
      </c>
      <c r="K443" s="41"/>
    </row>
    <row r="444" spans="1:11" ht="15.75" customHeight="1" x14ac:dyDescent="0.3">
      <c r="A444" s="40" t="s">
        <v>1723</v>
      </c>
      <c r="B444" s="40" t="s">
        <v>681</v>
      </c>
      <c r="C444" s="51" t="str">
        <f>VLOOKUP(B444,'Sales Order'!A$2:B$1029,1,0)</f>
        <v>SO0443</v>
      </c>
      <c r="D444" s="17" t="s">
        <v>1275</v>
      </c>
      <c r="E444" s="29" t="s">
        <v>2318</v>
      </c>
      <c r="F444" s="29" t="s">
        <v>1295</v>
      </c>
      <c r="G444" s="32">
        <v>859350</v>
      </c>
      <c r="H444" s="43">
        <v>0.11</v>
      </c>
      <c r="I444" s="38">
        <v>386021202.60000002</v>
      </c>
      <c r="J444" s="42">
        <f>'Sales Order'!H444+('Sales Order'!H444*0.11)+Invoice!G444</f>
        <v>386021202.60000002</v>
      </c>
      <c r="K444" s="41"/>
    </row>
    <row r="445" spans="1:11" ht="15.75" customHeight="1" x14ac:dyDescent="0.3">
      <c r="A445" s="40" t="s">
        <v>1724</v>
      </c>
      <c r="B445" s="40" t="s">
        <v>682</v>
      </c>
      <c r="C445" s="51" t="str">
        <f>VLOOKUP(B445,'Sales Order'!A$2:B$1029,1,0)</f>
        <v>SO0444</v>
      </c>
      <c r="D445" s="17" t="s">
        <v>1279</v>
      </c>
      <c r="E445" s="29" t="s">
        <v>2312</v>
      </c>
      <c r="F445" s="29" t="s">
        <v>1288</v>
      </c>
      <c r="G445" s="18">
        <v>32352</v>
      </c>
      <c r="H445" s="43">
        <v>0.11</v>
      </c>
      <c r="I445" s="38">
        <v>247848387.90000001</v>
      </c>
      <c r="J445" s="42">
        <f>'Sales Order'!H445+('Sales Order'!H445*0.11)+Invoice!G445</f>
        <v>247848387.90000001</v>
      </c>
      <c r="K445" s="41"/>
    </row>
    <row r="446" spans="1:11" ht="15.75" customHeight="1" x14ac:dyDescent="0.3">
      <c r="A446" s="40" t="s">
        <v>1725</v>
      </c>
      <c r="B446" s="40" t="s">
        <v>683</v>
      </c>
      <c r="C446" s="51" t="str">
        <f>VLOOKUP(B446,'Sales Order'!A$2:B$1029,1,0)</f>
        <v>SO0445</v>
      </c>
      <c r="D446" s="17" t="s">
        <v>1275</v>
      </c>
      <c r="E446" s="29" t="s">
        <v>2318</v>
      </c>
      <c r="F446" s="29" t="s">
        <v>1276</v>
      </c>
      <c r="G446" s="32">
        <v>859350</v>
      </c>
      <c r="H446" s="43">
        <v>0.11</v>
      </c>
      <c r="I446" s="38">
        <v>248246404.19999999</v>
      </c>
      <c r="J446" s="42">
        <f>'Sales Order'!H446+('Sales Order'!H446*0.11)+Invoice!G446</f>
        <v>248246404.19999999</v>
      </c>
      <c r="K446" s="41"/>
    </row>
    <row r="447" spans="1:11" ht="15.75" customHeight="1" x14ac:dyDescent="0.3">
      <c r="A447" s="40" t="s">
        <v>1726</v>
      </c>
      <c r="B447" s="40" t="s">
        <v>684</v>
      </c>
      <c r="C447" s="51" t="str">
        <f>VLOOKUP(B447,'Sales Order'!A$2:B$1029,1,0)</f>
        <v>SO0446</v>
      </c>
      <c r="D447" s="17" t="s">
        <v>1275</v>
      </c>
      <c r="E447" s="29" t="s">
        <v>2316</v>
      </c>
      <c r="F447" s="29" t="s">
        <v>1295</v>
      </c>
      <c r="G447" s="18">
        <v>556050</v>
      </c>
      <c r="H447" s="43">
        <v>0.11</v>
      </c>
      <c r="I447" s="38">
        <v>363748227.60000002</v>
      </c>
      <c r="J447" s="42">
        <f>'Sales Order'!H447+('Sales Order'!H447*0.11)+Invoice!G447</f>
        <v>363748227.60000002</v>
      </c>
      <c r="K447" s="41"/>
    </row>
    <row r="448" spans="1:11" ht="15.75" customHeight="1" x14ac:dyDescent="0.3">
      <c r="A448" s="40" t="s">
        <v>1727</v>
      </c>
      <c r="B448" s="40" t="s">
        <v>685</v>
      </c>
      <c r="C448" s="51" t="str">
        <f>VLOOKUP(B448,'Sales Order'!A$2:B$1029,1,0)</f>
        <v>SO0447</v>
      </c>
      <c r="D448" s="17" t="s">
        <v>1275</v>
      </c>
      <c r="E448" s="29" t="s">
        <v>2318</v>
      </c>
      <c r="F448" s="29" t="s">
        <v>1276</v>
      </c>
      <c r="G448" s="32">
        <v>859350</v>
      </c>
      <c r="H448" s="43">
        <v>0.11</v>
      </c>
      <c r="I448" s="38">
        <v>17276916</v>
      </c>
      <c r="J448" s="42">
        <f>'Sales Order'!H448+('Sales Order'!H448*0.11)+Invoice!G448</f>
        <v>17276916</v>
      </c>
      <c r="K448" s="41"/>
    </row>
    <row r="449" spans="1:11" ht="15.75" customHeight="1" x14ac:dyDescent="0.3">
      <c r="A449" s="40" t="s">
        <v>1728</v>
      </c>
      <c r="B449" s="40" t="s">
        <v>686</v>
      </c>
      <c r="C449" s="51" t="str">
        <f>VLOOKUP(B449,'Sales Order'!A$2:B$1029,1,0)</f>
        <v>SO0448</v>
      </c>
      <c r="D449" s="17" t="s">
        <v>1279</v>
      </c>
      <c r="E449" s="29" t="s">
        <v>2312</v>
      </c>
      <c r="F449" s="29" t="s">
        <v>1280</v>
      </c>
      <c r="G449" s="18">
        <v>32352</v>
      </c>
      <c r="H449" s="43">
        <v>0.11</v>
      </c>
      <c r="I449" s="38">
        <v>450377667</v>
      </c>
      <c r="J449" s="42">
        <f>'Sales Order'!H449+('Sales Order'!H449*0.11)+Invoice!G449</f>
        <v>450377667</v>
      </c>
      <c r="K449" s="41"/>
    </row>
    <row r="450" spans="1:11" ht="15.75" customHeight="1" x14ac:dyDescent="0.3">
      <c r="A450" s="40" t="s">
        <v>1729</v>
      </c>
      <c r="B450" s="40" t="s">
        <v>687</v>
      </c>
      <c r="C450" s="51" t="str">
        <f>VLOOKUP(B450,'Sales Order'!A$2:B$1029,1,0)</f>
        <v>SO0449</v>
      </c>
      <c r="D450" s="17" t="s">
        <v>1275</v>
      </c>
      <c r="E450" s="29" t="s">
        <v>2313</v>
      </c>
      <c r="F450" s="29" t="s">
        <v>1276</v>
      </c>
      <c r="G450" s="18">
        <v>808800</v>
      </c>
      <c r="H450" s="43">
        <v>0.11</v>
      </c>
      <c r="I450" s="38">
        <v>7005676.9199999999</v>
      </c>
      <c r="J450" s="42">
        <f>'Sales Order'!H450+('Sales Order'!H450*0.11)+Invoice!G450</f>
        <v>7005676.9199999999</v>
      </c>
      <c r="K450" s="41"/>
    </row>
    <row r="451" spans="1:11" ht="15.75" customHeight="1" x14ac:dyDescent="0.3">
      <c r="A451" s="40" t="s">
        <v>1730</v>
      </c>
      <c r="B451" s="40" t="s">
        <v>688</v>
      </c>
      <c r="C451" s="51" t="str">
        <f>VLOOKUP(B451,'Sales Order'!A$2:B$1029,1,0)</f>
        <v>SO0450</v>
      </c>
      <c r="D451" s="17" t="s">
        <v>1275</v>
      </c>
      <c r="E451" s="29" t="s">
        <v>2314</v>
      </c>
      <c r="F451" s="29" t="s">
        <v>1285</v>
      </c>
      <c r="G451" s="18">
        <v>808800</v>
      </c>
      <c r="H451" s="43">
        <v>0.11</v>
      </c>
      <c r="I451" s="38">
        <v>386572539</v>
      </c>
      <c r="J451" s="42">
        <f>'Sales Order'!H451+('Sales Order'!H451*0.11)+Invoice!G451</f>
        <v>386572539</v>
      </c>
      <c r="K451" s="41"/>
    </row>
    <row r="452" spans="1:11" ht="15.75" customHeight="1" x14ac:dyDescent="0.3">
      <c r="A452" s="40" t="s">
        <v>1731</v>
      </c>
      <c r="B452" s="40" t="s">
        <v>689</v>
      </c>
      <c r="C452" s="51" t="str">
        <f>VLOOKUP(B452,'Sales Order'!A$2:B$1029,1,0)</f>
        <v>SO0451</v>
      </c>
      <c r="D452" s="17" t="s">
        <v>1275</v>
      </c>
      <c r="E452" s="29" t="s">
        <v>2316</v>
      </c>
      <c r="F452" s="29" t="s">
        <v>1276</v>
      </c>
      <c r="G452" s="18">
        <v>556050</v>
      </c>
      <c r="H452" s="43">
        <v>0.11</v>
      </c>
      <c r="I452" s="38">
        <v>127789089.59999999</v>
      </c>
      <c r="J452" s="42">
        <f>'Sales Order'!H452+('Sales Order'!H452*0.11)+Invoice!G452</f>
        <v>127789089.59999999</v>
      </c>
      <c r="K452" s="41"/>
    </row>
    <row r="453" spans="1:11" ht="15.75" customHeight="1" x14ac:dyDescent="0.3">
      <c r="A453" s="40" t="s">
        <v>1732</v>
      </c>
      <c r="B453" s="40" t="s">
        <v>690</v>
      </c>
      <c r="C453" s="51" t="str">
        <f>VLOOKUP(B453,'Sales Order'!A$2:B$1029,1,0)</f>
        <v>SO0452</v>
      </c>
      <c r="D453" s="17" t="s">
        <v>1275</v>
      </c>
      <c r="E453" s="29" t="s">
        <v>170</v>
      </c>
      <c r="F453" s="29" t="s">
        <v>1295</v>
      </c>
      <c r="G453" s="32">
        <v>859350</v>
      </c>
      <c r="H453" s="43">
        <v>0.11</v>
      </c>
      <c r="I453" s="38">
        <v>300112475.10000002</v>
      </c>
      <c r="J453" s="42">
        <f>'Sales Order'!H453+('Sales Order'!H453*0.11)+Invoice!G453</f>
        <v>300112475.10000002</v>
      </c>
      <c r="K453" s="41"/>
    </row>
    <row r="454" spans="1:11" ht="15.75" customHeight="1" x14ac:dyDescent="0.3">
      <c r="A454" s="40" t="s">
        <v>1733</v>
      </c>
      <c r="B454" s="40" t="s">
        <v>691</v>
      </c>
      <c r="C454" s="51" t="str">
        <f>VLOOKUP(B454,'Sales Order'!A$2:B$1029,1,0)</f>
        <v>SO0453</v>
      </c>
      <c r="D454" s="17" t="s">
        <v>1275</v>
      </c>
      <c r="E454" s="29" t="s">
        <v>2314</v>
      </c>
      <c r="F454" s="29" t="s">
        <v>1288</v>
      </c>
      <c r="G454" s="18">
        <v>808800</v>
      </c>
      <c r="H454" s="43">
        <v>0.11</v>
      </c>
      <c r="I454" s="38">
        <v>158022939.59999999</v>
      </c>
      <c r="J454" s="42">
        <f>'Sales Order'!H454+('Sales Order'!H454*0.11)+Invoice!G454</f>
        <v>158022939.59999999</v>
      </c>
      <c r="K454" s="41"/>
    </row>
    <row r="455" spans="1:11" ht="15.75" customHeight="1" x14ac:dyDescent="0.3">
      <c r="A455" s="40" t="s">
        <v>1734</v>
      </c>
      <c r="B455" s="40" t="s">
        <v>692</v>
      </c>
      <c r="C455" s="51" t="str">
        <f>VLOOKUP(B455,'Sales Order'!A$2:B$1029,1,0)</f>
        <v>SO0454</v>
      </c>
      <c r="D455" s="17" t="s">
        <v>1275</v>
      </c>
      <c r="E455" s="29" t="s">
        <v>2314</v>
      </c>
      <c r="F455" s="29" t="s">
        <v>1288</v>
      </c>
      <c r="G455" s="18">
        <v>808800</v>
      </c>
      <c r="H455" s="43">
        <v>0.11</v>
      </c>
      <c r="I455" s="38">
        <v>38178759.299999997</v>
      </c>
      <c r="J455" s="42">
        <f>'Sales Order'!H455+('Sales Order'!H455*0.11)+Invoice!G455</f>
        <v>38178759.299999997</v>
      </c>
      <c r="K455" s="41"/>
    </row>
    <row r="456" spans="1:11" ht="15.75" customHeight="1" x14ac:dyDescent="0.3">
      <c r="A456" s="40" t="s">
        <v>1735</v>
      </c>
      <c r="B456" s="40" t="s">
        <v>693</v>
      </c>
      <c r="C456" s="51" t="str">
        <f>VLOOKUP(B456,'Sales Order'!A$2:B$1029,1,0)</f>
        <v>SO0455</v>
      </c>
      <c r="D456" s="17" t="s">
        <v>1275</v>
      </c>
      <c r="E456" s="29" t="s">
        <v>170</v>
      </c>
      <c r="F456" s="29" t="s">
        <v>1276</v>
      </c>
      <c r="G456" s="32">
        <v>859350</v>
      </c>
      <c r="H456" s="43">
        <v>0.11</v>
      </c>
      <c r="I456" s="38">
        <v>166352779.80000001</v>
      </c>
      <c r="J456" s="42">
        <f>'Sales Order'!H456+('Sales Order'!H456*0.11)+Invoice!G456</f>
        <v>166352779.80000001</v>
      </c>
      <c r="K456" s="41"/>
    </row>
    <row r="457" spans="1:11" ht="15.75" customHeight="1" x14ac:dyDescent="0.3">
      <c r="A457" s="40" t="s">
        <v>1736</v>
      </c>
      <c r="B457" s="40" t="s">
        <v>694</v>
      </c>
      <c r="C457" s="51" t="str">
        <f>VLOOKUP(B457,'Sales Order'!A$2:B$1029,1,0)</f>
        <v>SO0456</v>
      </c>
      <c r="D457" s="17" t="s">
        <v>1279</v>
      </c>
      <c r="E457" s="29" t="s">
        <v>118</v>
      </c>
      <c r="F457" s="29" t="s">
        <v>1285</v>
      </c>
      <c r="G457" s="18">
        <v>8088</v>
      </c>
      <c r="H457" s="43">
        <v>0.11</v>
      </c>
      <c r="I457" s="38">
        <v>1001485807.8</v>
      </c>
      <c r="J457" s="42">
        <f>'Sales Order'!H457+('Sales Order'!H457*0.11)+Invoice!G457</f>
        <v>1001485807.8</v>
      </c>
      <c r="K457" s="41"/>
    </row>
    <row r="458" spans="1:11" ht="15.75" customHeight="1" x14ac:dyDescent="0.3">
      <c r="A458" s="40" t="s">
        <v>1737</v>
      </c>
      <c r="B458" s="40" t="s">
        <v>695</v>
      </c>
      <c r="C458" s="51" t="str">
        <f>VLOOKUP(B458,'Sales Order'!A$2:B$1029,1,0)</f>
        <v>SO0457</v>
      </c>
      <c r="D458" s="17" t="s">
        <v>1279</v>
      </c>
      <c r="E458" s="29" t="s">
        <v>118</v>
      </c>
      <c r="F458" s="29" t="s">
        <v>1280</v>
      </c>
      <c r="G458" s="18">
        <v>8088</v>
      </c>
      <c r="H458" s="43">
        <v>0.11</v>
      </c>
      <c r="I458" s="38">
        <v>507430857.30000001</v>
      </c>
      <c r="J458" s="42">
        <f>'Sales Order'!H458+('Sales Order'!H458*0.11)+Invoice!G458</f>
        <v>507430857.30000001</v>
      </c>
      <c r="K458" s="41"/>
    </row>
    <row r="459" spans="1:11" ht="15.75" customHeight="1" x14ac:dyDescent="0.3">
      <c r="A459" s="40" t="s">
        <v>1738</v>
      </c>
      <c r="B459" s="40" t="s">
        <v>696</v>
      </c>
      <c r="C459" s="51" t="str">
        <f>VLOOKUP(B459,'Sales Order'!A$2:B$1029,1,0)</f>
        <v>SO0458</v>
      </c>
      <c r="D459" s="17" t="s">
        <v>1279</v>
      </c>
      <c r="E459" s="29" t="s">
        <v>118</v>
      </c>
      <c r="F459" s="29" t="s">
        <v>1276</v>
      </c>
      <c r="G459" s="18">
        <v>8088</v>
      </c>
      <c r="H459" s="43">
        <v>0.11</v>
      </c>
      <c r="I459" s="38">
        <v>34682778.600000001</v>
      </c>
      <c r="J459" s="42">
        <f>'Sales Order'!H459+('Sales Order'!H459*0.11)+Invoice!G459</f>
        <v>34682778.600000001</v>
      </c>
      <c r="K459" s="41"/>
    </row>
    <row r="460" spans="1:11" ht="15.75" customHeight="1" x14ac:dyDescent="0.3">
      <c r="A460" s="40" t="s">
        <v>1739</v>
      </c>
      <c r="B460" s="40" t="s">
        <v>697</v>
      </c>
      <c r="C460" s="51" t="str">
        <f>VLOOKUP(B460,'Sales Order'!A$2:B$1029,1,0)</f>
        <v>SO0459</v>
      </c>
      <c r="D460" s="17" t="s">
        <v>1275</v>
      </c>
      <c r="E460" s="29" t="s">
        <v>143</v>
      </c>
      <c r="F460" s="29" t="s">
        <v>1288</v>
      </c>
      <c r="G460" s="32">
        <v>859350</v>
      </c>
      <c r="H460" s="43">
        <v>0.11</v>
      </c>
      <c r="I460" s="38">
        <v>106013401.8</v>
      </c>
      <c r="J460" s="42">
        <f>'Sales Order'!H460+('Sales Order'!H460*0.11)+Invoice!G460</f>
        <v>106013401.8</v>
      </c>
      <c r="K460" s="41"/>
    </row>
    <row r="461" spans="1:11" ht="15.75" customHeight="1" x14ac:dyDescent="0.3">
      <c r="A461" s="40" t="s">
        <v>1740</v>
      </c>
      <c r="B461" s="40" t="s">
        <v>698</v>
      </c>
      <c r="C461" s="51" t="str">
        <f>VLOOKUP(B461,'Sales Order'!A$2:B$1029,1,0)</f>
        <v>SO0460</v>
      </c>
      <c r="D461" s="17" t="s">
        <v>1275</v>
      </c>
      <c r="E461" s="29" t="s">
        <v>143</v>
      </c>
      <c r="F461" s="29" t="s">
        <v>1295</v>
      </c>
      <c r="G461" s="32">
        <v>859350</v>
      </c>
      <c r="H461" s="43">
        <v>0.11</v>
      </c>
      <c r="I461" s="38">
        <v>882047679.60000002</v>
      </c>
      <c r="J461" s="42">
        <f>'Sales Order'!H461+('Sales Order'!H461*0.11)+Invoice!G461</f>
        <v>882047679.60000002</v>
      </c>
      <c r="K461" s="41"/>
    </row>
    <row r="462" spans="1:11" ht="15.75" customHeight="1" x14ac:dyDescent="0.3">
      <c r="A462" s="40" t="s">
        <v>1741</v>
      </c>
      <c r="B462" s="40" t="s">
        <v>699</v>
      </c>
      <c r="C462" s="51" t="str">
        <f>VLOOKUP(B462,'Sales Order'!A$2:B$1029,1,0)</f>
        <v>SO0461</v>
      </c>
      <c r="D462" s="17" t="s">
        <v>1275</v>
      </c>
      <c r="E462" s="29" t="s">
        <v>2313</v>
      </c>
      <c r="F462" s="29" t="s">
        <v>1285</v>
      </c>
      <c r="G462" s="18">
        <v>808800</v>
      </c>
      <c r="H462" s="43">
        <v>0.11</v>
      </c>
      <c r="I462" s="38">
        <v>358110074.39999998</v>
      </c>
      <c r="J462" s="42">
        <f>'Sales Order'!H462+('Sales Order'!H462*0.11)+Invoice!G462</f>
        <v>358110074.39999998</v>
      </c>
      <c r="K462" s="41"/>
    </row>
    <row r="463" spans="1:11" ht="15.75" customHeight="1" x14ac:dyDescent="0.3">
      <c r="A463" s="40" t="s">
        <v>1742</v>
      </c>
      <c r="B463" s="40" t="s">
        <v>700</v>
      </c>
      <c r="C463" s="51" t="str">
        <f>VLOOKUP(B463,'Sales Order'!A$2:B$1029,1,0)</f>
        <v>SO0462</v>
      </c>
      <c r="D463" s="17" t="s">
        <v>1279</v>
      </c>
      <c r="E463" s="29" t="s">
        <v>118</v>
      </c>
      <c r="F463" s="29" t="s">
        <v>1280</v>
      </c>
      <c r="G463" s="18">
        <v>8088</v>
      </c>
      <c r="H463" s="43">
        <v>0.11</v>
      </c>
      <c r="I463" s="38">
        <v>502971779.73000002</v>
      </c>
      <c r="J463" s="42">
        <f>'Sales Order'!H463+('Sales Order'!H463*0.11)+Invoice!G463</f>
        <v>502971779.73000002</v>
      </c>
      <c r="K463" s="41"/>
    </row>
    <row r="464" spans="1:11" ht="15.75" customHeight="1" x14ac:dyDescent="0.3">
      <c r="A464" s="40" t="s">
        <v>1743</v>
      </c>
      <c r="B464" s="40" t="s">
        <v>701</v>
      </c>
      <c r="C464" s="51" t="str">
        <f>VLOOKUP(B464,'Sales Order'!A$2:B$1029,1,0)</f>
        <v>SO0463</v>
      </c>
      <c r="D464" s="17" t="s">
        <v>1275</v>
      </c>
      <c r="E464" s="29" t="s">
        <v>170</v>
      </c>
      <c r="F464" s="29" t="s">
        <v>1288</v>
      </c>
      <c r="G464" s="32">
        <v>859350</v>
      </c>
      <c r="H464" s="43">
        <v>0.11</v>
      </c>
      <c r="I464" s="38">
        <v>55806348</v>
      </c>
      <c r="J464" s="42">
        <f>'Sales Order'!H464+('Sales Order'!H464*0.11)+Invoice!G464</f>
        <v>55806348</v>
      </c>
      <c r="K464" s="41"/>
    </row>
    <row r="465" spans="1:11" ht="15.75" customHeight="1" x14ac:dyDescent="0.3">
      <c r="A465" s="40" t="s">
        <v>1744</v>
      </c>
      <c r="B465" s="40" t="s">
        <v>702</v>
      </c>
      <c r="C465" s="51" t="str">
        <f>VLOOKUP(B465,'Sales Order'!A$2:B$1029,1,0)</f>
        <v>SO0464</v>
      </c>
      <c r="D465" s="17" t="s">
        <v>1275</v>
      </c>
      <c r="E465" s="29" t="s">
        <v>143</v>
      </c>
      <c r="F465" s="29" t="s">
        <v>1280</v>
      </c>
      <c r="G465" s="32">
        <v>859350</v>
      </c>
      <c r="H465" s="43">
        <v>0.11</v>
      </c>
      <c r="I465" s="38">
        <v>366217037.69999999</v>
      </c>
      <c r="J465" s="42">
        <f>'Sales Order'!H465+('Sales Order'!H465*0.11)+Invoice!G465</f>
        <v>366217037.69999999</v>
      </c>
      <c r="K465" s="41"/>
    </row>
    <row r="466" spans="1:11" ht="15.75" customHeight="1" x14ac:dyDescent="0.3">
      <c r="A466" s="40" t="s">
        <v>1745</v>
      </c>
      <c r="B466" s="40" t="s">
        <v>703</v>
      </c>
      <c r="C466" s="51" t="str">
        <f>VLOOKUP(B466,'Sales Order'!A$2:B$1029,1,0)</f>
        <v>SO0465</v>
      </c>
      <c r="D466" s="17" t="s">
        <v>1279</v>
      </c>
      <c r="E466" s="29" t="s">
        <v>118</v>
      </c>
      <c r="F466" s="29" t="s">
        <v>1288</v>
      </c>
      <c r="G466" s="18">
        <v>8088</v>
      </c>
      <c r="H466" s="43">
        <v>0.11</v>
      </c>
      <c r="I466" s="38">
        <v>44026780.799999997</v>
      </c>
      <c r="J466" s="42">
        <f>'Sales Order'!H466+('Sales Order'!H466*0.11)+Invoice!G466</f>
        <v>44026780.799999997</v>
      </c>
      <c r="K466" s="41"/>
    </row>
    <row r="467" spans="1:11" ht="15.75" customHeight="1" x14ac:dyDescent="0.3">
      <c r="A467" s="40" t="s">
        <v>1746</v>
      </c>
      <c r="B467" s="40" t="s">
        <v>704</v>
      </c>
      <c r="C467" s="51" t="str">
        <f>VLOOKUP(B467,'Sales Order'!A$2:B$1029,1,0)</f>
        <v>SO0466</v>
      </c>
      <c r="D467" s="17" t="s">
        <v>1279</v>
      </c>
      <c r="E467" s="29" t="s">
        <v>2312</v>
      </c>
      <c r="F467" s="29" t="s">
        <v>1288</v>
      </c>
      <c r="G467" s="18">
        <v>32352</v>
      </c>
      <c r="H467" s="43">
        <v>0.11</v>
      </c>
      <c r="I467" s="38">
        <v>7980828.9000000004</v>
      </c>
      <c r="J467" s="42">
        <f>'Sales Order'!H467+('Sales Order'!H467*0.11)+Invoice!G467</f>
        <v>7980828.9000000004</v>
      </c>
      <c r="K467" s="41"/>
    </row>
    <row r="468" spans="1:11" ht="15.75" customHeight="1" x14ac:dyDescent="0.3">
      <c r="A468" s="40" t="s">
        <v>1747</v>
      </c>
      <c r="B468" s="40" t="s">
        <v>705</v>
      </c>
      <c r="C468" s="51" t="str">
        <f>VLOOKUP(B468,'Sales Order'!A$2:B$1029,1,0)</f>
        <v>SO0467</v>
      </c>
      <c r="D468" s="17" t="s">
        <v>1275</v>
      </c>
      <c r="E468" s="29" t="s">
        <v>2313</v>
      </c>
      <c r="F468" s="29" t="s">
        <v>1288</v>
      </c>
      <c r="G468" s="18">
        <v>808800</v>
      </c>
      <c r="H468" s="43">
        <v>0.11</v>
      </c>
      <c r="I468" s="38">
        <v>209125275</v>
      </c>
      <c r="J468" s="42">
        <f>'Sales Order'!H468+('Sales Order'!H468*0.11)+Invoice!G468</f>
        <v>209125275</v>
      </c>
      <c r="K468" s="41"/>
    </row>
    <row r="469" spans="1:11" ht="15.75" customHeight="1" x14ac:dyDescent="0.3">
      <c r="A469" s="40" t="s">
        <v>1748</v>
      </c>
      <c r="B469" s="40" t="s">
        <v>706</v>
      </c>
      <c r="C469" s="51" t="str">
        <f>VLOOKUP(B469,'Sales Order'!A$2:B$1029,1,0)</f>
        <v>SO0468</v>
      </c>
      <c r="D469" s="17" t="s">
        <v>1275</v>
      </c>
      <c r="E469" s="29" t="s">
        <v>170</v>
      </c>
      <c r="F469" s="29" t="s">
        <v>1280</v>
      </c>
      <c r="G469" s="32">
        <v>859350</v>
      </c>
      <c r="H469" s="43">
        <v>0.11</v>
      </c>
      <c r="I469" s="38">
        <v>691970951.03999996</v>
      </c>
      <c r="J469" s="42">
        <f>'Sales Order'!H469+('Sales Order'!H469*0.11)+Invoice!G469</f>
        <v>691970951.03999996</v>
      </c>
      <c r="K469" s="41"/>
    </row>
    <row r="470" spans="1:11" ht="15.75" customHeight="1" x14ac:dyDescent="0.3">
      <c r="A470" s="40" t="s">
        <v>1749</v>
      </c>
      <c r="B470" s="40" t="s">
        <v>707</v>
      </c>
      <c r="C470" s="51" t="str">
        <f>VLOOKUP(B470,'Sales Order'!A$2:B$1029,1,0)</f>
        <v>SO0469</v>
      </c>
      <c r="D470" s="17" t="s">
        <v>1275</v>
      </c>
      <c r="E470" s="29" t="s">
        <v>2318</v>
      </c>
      <c r="F470" s="29" t="s">
        <v>1295</v>
      </c>
      <c r="G470" s="32">
        <v>859350</v>
      </c>
      <c r="H470" s="43">
        <v>0.11</v>
      </c>
      <c r="I470" s="38">
        <v>781338911.39999998</v>
      </c>
      <c r="J470" s="42">
        <f>'Sales Order'!H470+('Sales Order'!H470*0.11)+Invoice!G470</f>
        <v>781338911.39999998</v>
      </c>
      <c r="K470" s="41"/>
    </row>
    <row r="471" spans="1:11" ht="15.75" customHeight="1" x14ac:dyDescent="0.3">
      <c r="A471" s="40" t="s">
        <v>1750</v>
      </c>
      <c r="B471" s="40" t="s">
        <v>708</v>
      </c>
      <c r="C471" s="51" t="str">
        <f>VLOOKUP(B471,'Sales Order'!A$2:B$1029,1,0)</f>
        <v>SO0470</v>
      </c>
      <c r="D471" s="17" t="s">
        <v>1275</v>
      </c>
      <c r="E471" s="29" t="s">
        <v>143</v>
      </c>
      <c r="F471" s="29" t="s">
        <v>1276</v>
      </c>
      <c r="G471" s="32">
        <v>859350</v>
      </c>
      <c r="H471" s="43">
        <v>0.11</v>
      </c>
      <c r="I471" s="38">
        <v>200792550</v>
      </c>
      <c r="J471" s="42">
        <f>'Sales Order'!H471+('Sales Order'!H471*0.11)+Invoice!G471</f>
        <v>200792550</v>
      </c>
      <c r="K471" s="41"/>
    </row>
    <row r="472" spans="1:11" ht="15.75" customHeight="1" x14ac:dyDescent="0.3">
      <c r="A472" s="40" t="s">
        <v>1751</v>
      </c>
      <c r="B472" s="40" t="s">
        <v>709</v>
      </c>
      <c r="C472" s="51" t="str">
        <f>VLOOKUP(B472,'Sales Order'!A$2:B$1029,1,0)</f>
        <v>SO0471</v>
      </c>
      <c r="D472" s="17" t="s">
        <v>1279</v>
      </c>
      <c r="E472" s="29" t="s">
        <v>118</v>
      </c>
      <c r="F472" s="29" t="s">
        <v>1288</v>
      </c>
      <c r="G472" s="18">
        <v>8088</v>
      </c>
      <c r="H472" s="43">
        <v>0.11</v>
      </c>
      <c r="I472" s="38">
        <v>30217293</v>
      </c>
      <c r="J472" s="42">
        <f>'Sales Order'!H472+('Sales Order'!H472*0.11)+Invoice!G472</f>
        <v>30217293</v>
      </c>
      <c r="K472" s="41"/>
    </row>
    <row r="473" spans="1:11" ht="15.75" customHeight="1" x14ac:dyDescent="0.3">
      <c r="A473" s="40" t="s">
        <v>1752</v>
      </c>
      <c r="B473" s="40" t="s">
        <v>710</v>
      </c>
      <c r="C473" s="51" t="str">
        <f>VLOOKUP(B473,'Sales Order'!A$2:B$1029,1,0)</f>
        <v>SO0472</v>
      </c>
      <c r="D473" s="17" t="s">
        <v>1275</v>
      </c>
      <c r="E473" s="29" t="s">
        <v>2313</v>
      </c>
      <c r="F473" s="29" t="s">
        <v>1288</v>
      </c>
      <c r="G473" s="18">
        <v>808800</v>
      </c>
      <c r="H473" s="43">
        <v>0.11</v>
      </c>
      <c r="I473" s="38">
        <v>157965508.19999999</v>
      </c>
      <c r="J473" s="42">
        <f>'Sales Order'!H473+('Sales Order'!H473*0.11)+Invoice!G473</f>
        <v>157965508.19999999</v>
      </c>
      <c r="K473" s="41"/>
    </row>
    <row r="474" spans="1:11" ht="15.75" customHeight="1" x14ac:dyDescent="0.3">
      <c r="A474" s="40" t="s">
        <v>1753</v>
      </c>
      <c r="B474" s="40" t="s">
        <v>711</v>
      </c>
      <c r="C474" s="51" t="str">
        <f>VLOOKUP(B474,'Sales Order'!A$2:B$1029,1,0)</f>
        <v>SO0473</v>
      </c>
      <c r="D474" s="17" t="s">
        <v>1275</v>
      </c>
      <c r="E474" s="29" t="s">
        <v>2316</v>
      </c>
      <c r="F474" s="29" t="s">
        <v>1285</v>
      </c>
      <c r="G474" s="18">
        <v>556050</v>
      </c>
      <c r="H474" s="43">
        <v>0.11</v>
      </c>
      <c r="I474" s="38">
        <v>485956807.80000001</v>
      </c>
      <c r="J474" s="42">
        <f>'Sales Order'!H474+('Sales Order'!H474*0.11)+Invoice!G474</f>
        <v>485956807.80000001</v>
      </c>
      <c r="K474" s="41"/>
    </row>
    <row r="475" spans="1:11" ht="15.75" customHeight="1" x14ac:dyDescent="0.3">
      <c r="A475" s="40" t="s">
        <v>1754</v>
      </c>
      <c r="B475" s="40" t="s">
        <v>712</v>
      </c>
      <c r="C475" s="51" t="str">
        <f>VLOOKUP(B475,'Sales Order'!A$2:B$1029,1,0)</f>
        <v>SO0474</v>
      </c>
      <c r="D475" s="17" t="s">
        <v>1275</v>
      </c>
      <c r="E475" s="29" t="s">
        <v>2314</v>
      </c>
      <c r="F475" s="29" t="s">
        <v>1295</v>
      </c>
      <c r="G475" s="18">
        <v>808800</v>
      </c>
      <c r="H475" s="43">
        <v>0.11</v>
      </c>
      <c r="I475" s="38">
        <v>396896760</v>
      </c>
      <c r="J475" s="42">
        <f>'Sales Order'!H475+('Sales Order'!H475*0.11)+Invoice!G475</f>
        <v>396896760</v>
      </c>
      <c r="K475" s="41"/>
    </row>
    <row r="476" spans="1:11" ht="15.75" customHeight="1" x14ac:dyDescent="0.3">
      <c r="A476" s="40" t="s">
        <v>1755</v>
      </c>
      <c r="B476" s="40" t="s">
        <v>713</v>
      </c>
      <c r="C476" s="51" t="str">
        <f>VLOOKUP(B476,'Sales Order'!A$2:B$1029,1,0)</f>
        <v>SO0475</v>
      </c>
      <c r="D476" s="17" t="s">
        <v>1279</v>
      </c>
      <c r="E476" s="29" t="s">
        <v>2312</v>
      </c>
      <c r="F476" s="29" t="s">
        <v>1295</v>
      </c>
      <c r="G476" s="18">
        <v>32352</v>
      </c>
      <c r="H476" s="43">
        <v>0.11</v>
      </c>
      <c r="I476" s="38">
        <v>674249826.29999995</v>
      </c>
      <c r="J476" s="42">
        <f>'Sales Order'!H476+('Sales Order'!H476*0.11)+Invoice!G476</f>
        <v>674249826.29999995</v>
      </c>
      <c r="K476" s="41"/>
    </row>
    <row r="477" spans="1:11" ht="15.75" customHeight="1" x14ac:dyDescent="0.3">
      <c r="A477" s="40" t="s">
        <v>1756</v>
      </c>
      <c r="B477" s="40" t="s">
        <v>714</v>
      </c>
      <c r="C477" s="51" t="str">
        <f>VLOOKUP(B477,'Sales Order'!A$2:B$1029,1,0)</f>
        <v>SO0476</v>
      </c>
      <c r="D477" s="17" t="s">
        <v>1275</v>
      </c>
      <c r="E477" s="29" t="s">
        <v>143</v>
      </c>
      <c r="F477" s="29" t="s">
        <v>1276</v>
      </c>
      <c r="G477" s="32">
        <v>859350</v>
      </c>
      <c r="H477" s="43">
        <v>0.11</v>
      </c>
      <c r="I477" s="38">
        <v>256537005.30000001</v>
      </c>
      <c r="J477" s="42">
        <f>'Sales Order'!H477+('Sales Order'!H477*0.11)+Invoice!G477</f>
        <v>256537005.30000001</v>
      </c>
      <c r="K477" s="41"/>
    </row>
    <row r="478" spans="1:11" ht="15.75" customHeight="1" x14ac:dyDescent="0.3">
      <c r="A478" s="40" t="s">
        <v>1757</v>
      </c>
      <c r="B478" s="40" t="s">
        <v>715</v>
      </c>
      <c r="C478" s="51" t="str">
        <f>VLOOKUP(B478,'Sales Order'!A$2:B$1029,1,0)</f>
        <v>SO0477</v>
      </c>
      <c r="D478" s="17" t="s">
        <v>1279</v>
      </c>
      <c r="E478" s="29" t="s">
        <v>118</v>
      </c>
      <c r="F478" s="29" t="s">
        <v>1288</v>
      </c>
      <c r="G478" s="18">
        <v>8088</v>
      </c>
      <c r="H478" s="43">
        <v>0.11</v>
      </c>
      <c r="I478" s="38">
        <v>67345039.200000003</v>
      </c>
      <c r="J478" s="42">
        <f>'Sales Order'!H478+('Sales Order'!H478*0.11)+Invoice!G478</f>
        <v>67345039.200000003</v>
      </c>
      <c r="K478" s="41"/>
    </row>
    <row r="479" spans="1:11" ht="15.75" customHeight="1" x14ac:dyDescent="0.3">
      <c r="A479" s="40" t="s">
        <v>1758</v>
      </c>
      <c r="B479" s="40" t="s">
        <v>716</v>
      </c>
      <c r="C479" s="51" t="str">
        <f>VLOOKUP(B479,'Sales Order'!A$2:B$1029,1,0)</f>
        <v>SO0478</v>
      </c>
      <c r="D479" s="17" t="s">
        <v>1275</v>
      </c>
      <c r="E479" s="29" t="s">
        <v>170</v>
      </c>
      <c r="F479" s="29" t="s">
        <v>1295</v>
      </c>
      <c r="G479" s="32">
        <v>859350</v>
      </c>
      <c r="H479" s="43">
        <v>0.11</v>
      </c>
      <c r="I479" s="38">
        <v>475397198.25</v>
      </c>
      <c r="J479" s="42">
        <f>'Sales Order'!H479+('Sales Order'!H479*0.11)+Invoice!G479</f>
        <v>475397198.25</v>
      </c>
      <c r="K479" s="41"/>
    </row>
    <row r="480" spans="1:11" ht="15.75" customHeight="1" x14ac:dyDescent="0.3">
      <c r="A480" s="40" t="s">
        <v>1759</v>
      </c>
      <c r="B480" s="40" t="s">
        <v>717</v>
      </c>
      <c r="C480" s="51" t="str">
        <f>VLOOKUP(B480,'Sales Order'!A$2:B$1029,1,0)</f>
        <v>SO0479</v>
      </c>
      <c r="D480" s="17" t="s">
        <v>1275</v>
      </c>
      <c r="E480" s="29" t="s">
        <v>2313</v>
      </c>
      <c r="F480" s="29" t="s">
        <v>1276</v>
      </c>
      <c r="G480" s="18">
        <v>808800</v>
      </c>
      <c r="H480" s="43">
        <v>0.11</v>
      </c>
      <c r="I480" s="38">
        <v>57885721.5</v>
      </c>
      <c r="J480" s="42">
        <f>'Sales Order'!H480+('Sales Order'!H480*0.11)+Invoice!G480</f>
        <v>57885721.5</v>
      </c>
      <c r="K480" s="41"/>
    </row>
    <row r="481" spans="1:11" ht="15.75" customHeight="1" x14ac:dyDescent="0.3">
      <c r="A481" s="40" t="s">
        <v>1760</v>
      </c>
      <c r="B481" s="40" t="s">
        <v>718</v>
      </c>
      <c r="C481" s="51" t="str">
        <f>VLOOKUP(B481,'Sales Order'!A$2:B$1029,1,0)</f>
        <v>SO0480</v>
      </c>
      <c r="D481" s="17" t="s">
        <v>1275</v>
      </c>
      <c r="E481" s="29" t="s">
        <v>2314</v>
      </c>
      <c r="F481" s="29" t="s">
        <v>1285</v>
      </c>
      <c r="G481" s="18">
        <v>808800</v>
      </c>
      <c r="H481" s="43">
        <v>0.11</v>
      </c>
      <c r="I481" s="38">
        <v>309664690.5</v>
      </c>
      <c r="J481" s="42">
        <f>'Sales Order'!H481+('Sales Order'!H481*0.11)+Invoice!G481</f>
        <v>309664690.5</v>
      </c>
      <c r="K481" s="41"/>
    </row>
    <row r="482" spans="1:11" ht="15.75" customHeight="1" x14ac:dyDescent="0.3">
      <c r="A482" s="40" t="s">
        <v>1761</v>
      </c>
      <c r="B482" s="40" t="s">
        <v>719</v>
      </c>
      <c r="C482" s="51" t="str">
        <f>VLOOKUP(B482,'Sales Order'!A$2:B$1029,1,0)</f>
        <v>SO0481</v>
      </c>
      <c r="D482" s="17" t="s">
        <v>1275</v>
      </c>
      <c r="E482" s="29" t="s">
        <v>2318</v>
      </c>
      <c r="F482" s="29" t="s">
        <v>1288</v>
      </c>
      <c r="G482" s="32">
        <v>859350</v>
      </c>
      <c r="H482" s="43">
        <v>0.11</v>
      </c>
      <c r="I482" s="38">
        <v>42928658.579999998</v>
      </c>
      <c r="J482" s="42">
        <f>'Sales Order'!H482+('Sales Order'!H482*0.11)+Invoice!G482</f>
        <v>42928658.579999998</v>
      </c>
      <c r="K482" s="41"/>
    </row>
    <row r="483" spans="1:11" ht="15.75" customHeight="1" x14ac:dyDescent="0.3">
      <c r="A483" s="40" t="s">
        <v>1762</v>
      </c>
      <c r="B483" s="40" t="s">
        <v>720</v>
      </c>
      <c r="C483" s="51" t="str">
        <f>VLOOKUP(B483,'Sales Order'!A$2:B$1029,1,0)</f>
        <v>SO0482</v>
      </c>
      <c r="D483" s="17" t="s">
        <v>1279</v>
      </c>
      <c r="E483" s="29" t="s">
        <v>118</v>
      </c>
      <c r="F483" s="29" t="s">
        <v>1276</v>
      </c>
      <c r="G483" s="18">
        <v>8088</v>
      </c>
      <c r="H483" s="43">
        <v>0.11</v>
      </c>
      <c r="I483" s="38">
        <v>230036995.5</v>
      </c>
      <c r="J483" s="42">
        <f>'Sales Order'!H483+('Sales Order'!H483*0.11)+Invoice!G483</f>
        <v>230036995.5</v>
      </c>
      <c r="K483" s="41"/>
    </row>
    <row r="484" spans="1:11" ht="15.75" customHeight="1" x14ac:dyDescent="0.3">
      <c r="A484" s="40" t="s">
        <v>1763</v>
      </c>
      <c r="B484" s="40" t="s">
        <v>721</v>
      </c>
      <c r="C484" s="51" t="str">
        <f>VLOOKUP(B484,'Sales Order'!A$2:B$1029,1,0)</f>
        <v>SO0483</v>
      </c>
      <c r="D484" s="17" t="s">
        <v>1275</v>
      </c>
      <c r="E484" s="29" t="s">
        <v>2314</v>
      </c>
      <c r="F484" s="29" t="s">
        <v>1295</v>
      </c>
      <c r="G484" s="18">
        <v>808800</v>
      </c>
      <c r="H484" s="43">
        <v>0.11</v>
      </c>
      <c r="I484" s="38">
        <v>572410270.79999995</v>
      </c>
      <c r="J484" s="42">
        <f>'Sales Order'!H484+('Sales Order'!H484*0.11)+Invoice!G484</f>
        <v>572410270.79999995</v>
      </c>
      <c r="K484" s="41"/>
    </row>
    <row r="485" spans="1:11" ht="15.75" customHeight="1" x14ac:dyDescent="0.3">
      <c r="A485" s="40" t="s">
        <v>1764</v>
      </c>
      <c r="B485" s="40" t="s">
        <v>722</v>
      </c>
      <c r="C485" s="51" t="str">
        <f>VLOOKUP(B485,'Sales Order'!A$2:B$1029,1,0)</f>
        <v>SO0484</v>
      </c>
      <c r="D485" s="17" t="s">
        <v>1275</v>
      </c>
      <c r="E485" s="29" t="s">
        <v>143</v>
      </c>
      <c r="F485" s="29" t="s">
        <v>1280</v>
      </c>
      <c r="G485" s="32">
        <v>859350</v>
      </c>
      <c r="H485" s="43">
        <v>0.11</v>
      </c>
      <c r="I485" s="38">
        <v>465008070</v>
      </c>
      <c r="J485" s="42">
        <f>'Sales Order'!H485+('Sales Order'!H485*0.11)+Invoice!G485</f>
        <v>465008070</v>
      </c>
      <c r="K485" s="41"/>
    </row>
    <row r="486" spans="1:11" ht="15.75" customHeight="1" x14ac:dyDescent="0.3">
      <c r="A486" s="40" t="s">
        <v>1765</v>
      </c>
      <c r="B486" s="40" t="s">
        <v>723</v>
      </c>
      <c r="C486" s="51" t="str">
        <f>VLOOKUP(B486,'Sales Order'!A$2:B$1029,1,0)</f>
        <v>SO0485</v>
      </c>
      <c r="D486" s="17" t="s">
        <v>1275</v>
      </c>
      <c r="E486" s="29" t="s">
        <v>143</v>
      </c>
      <c r="F486" s="29" t="s">
        <v>1295</v>
      </c>
      <c r="G486" s="32">
        <v>859350</v>
      </c>
      <c r="H486" s="43">
        <v>0.11</v>
      </c>
      <c r="I486" s="38">
        <v>1034845440</v>
      </c>
      <c r="J486" s="42">
        <f>'Sales Order'!H486+('Sales Order'!H486*0.11)+Invoice!G486</f>
        <v>1034845440</v>
      </c>
      <c r="K486" s="41"/>
    </row>
    <row r="487" spans="1:11" ht="15.75" customHeight="1" x14ac:dyDescent="0.3">
      <c r="A487" s="40" t="s">
        <v>1766</v>
      </c>
      <c r="B487" s="40" t="s">
        <v>724</v>
      </c>
      <c r="C487" s="51" t="str">
        <f>VLOOKUP(B487,'Sales Order'!A$2:B$1029,1,0)</f>
        <v>SO0486</v>
      </c>
      <c r="D487" s="17" t="s">
        <v>1275</v>
      </c>
      <c r="E487" s="29" t="s">
        <v>2315</v>
      </c>
      <c r="F487" s="29" t="s">
        <v>1280</v>
      </c>
      <c r="G487" s="18">
        <v>556050</v>
      </c>
      <c r="H487" s="43">
        <v>0.11</v>
      </c>
      <c r="I487" s="38">
        <v>544278361.20000005</v>
      </c>
      <c r="J487" s="42">
        <f>'Sales Order'!H487+('Sales Order'!H487*0.11)+Invoice!G487</f>
        <v>544278361.20000005</v>
      </c>
      <c r="K487" s="41"/>
    </row>
    <row r="488" spans="1:11" ht="15.75" customHeight="1" x14ac:dyDescent="0.3">
      <c r="A488" s="40" t="s">
        <v>1767</v>
      </c>
      <c r="B488" s="40" t="s">
        <v>725</v>
      </c>
      <c r="C488" s="51" t="str">
        <f>VLOOKUP(B488,'Sales Order'!A$2:B$1029,1,0)</f>
        <v>SO0487</v>
      </c>
      <c r="D488" s="17" t="s">
        <v>1275</v>
      </c>
      <c r="E488" s="29" t="s">
        <v>170</v>
      </c>
      <c r="F488" s="29" t="s">
        <v>1295</v>
      </c>
      <c r="G488" s="32">
        <v>859350</v>
      </c>
      <c r="H488" s="43">
        <v>0.11</v>
      </c>
      <c r="I488" s="38">
        <v>1099074147</v>
      </c>
      <c r="J488" s="42">
        <f>'Sales Order'!H488+('Sales Order'!H488*0.11)+Invoice!G488</f>
        <v>1099074147</v>
      </c>
      <c r="K488" s="41"/>
    </row>
    <row r="489" spans="1:11" ht="15.75" customHeight="1" x14ac:dyDescent="0.3">
      <c r="A489" s="40" t="s">
        <v>1768</v>
      </c>
      <c r="B489" s="40" t="s">
        <v>726</v>
      </c>
      <c r="C489" s="51" t="str">
        <f>VLOOKUP(B489,'Sales Order'!A$2:B$1029,1,0)</f>
        <v>SO0488</v>
      </c>
      <c r="D489" s="17" t="s">
        <v>1279</v>
      </c>
      <c r="E489" s="29" t="s">
        <v>118</v>
      </c>
      <c r="F489" s="29" t="s">
        <v>1288</v>
      </c>
      <c r="G489" s="18">
        <v>8088</v>
      </c>
      <c r="H489" s="43">
        <v>0.11</v>
      </c>
      <c r="I489" s="38">
        <v>50716639.799999997</v>
      </c>
      <c r="J489" s="42">
        <f>'Sales Order'!H489+('Sales Order'!H489*0.11)+Invoice!G489</f>
        <v>50716639.799999997</v>
      </c>
      <c r="K489" s="41"/>
    </row>
    <row r="490" spans="1:11" ht="15.75" customHeight="1" x14ac:dyDescent="0.3">
      <c r="A490" s="40" t="s">
        <v>1769</v>
      </c>
      <c r="B490" s="40" t="s">
        <v>727</v>
      </c>
      <c r="C490" s="51" t="str">
        <f>VLOOKUP(B490,'Sales Order'!A$2:B$1029,1,0)</f>
        <v>SO0489</v>
      </c>
      <c r="D490" s="17" t="s">
        <v>1275</v>
      </c>
      <c r="E490" s="29" t="s">
        <v>170</v>
      </c>
      <c r="F490" s="29" t="s">
        <v>1280</v>
      </c>
      <c r="G490" s="32">
        <v>859350</v>
      </c>
      <c r="H490" s="43">
        <v>0.11</v>
      </c>
      <c r="I490" s="38">
        <v>353946909</v>
      </c>
      <c r="J490" s="42">
        <f>'Sales Order'!H490+('Sales Order'!H490*0.11)+Invoice!G490</f>
        <v>353946909</v>
      </c>
      <c r="K490" s="41"/>
    </row>
    <row r="491" spans="1:11" ht="15.75" customHeight="1" x14ac:dyDescent="0.3">
      <c r="A491" s="40" t="s">
        <v>1770</v>
      </c>
      <c r="B491" s="40" t="s">
        <v>728</v>
      </c>
      <c r="C491" s="51" t="str">
        <f>VLOOKUP(B491,'Sales Order'!A$2:B$1029,1,0)</f>
        <v>SO0490</v>
      </c>
      <c r="D491" s="17" t="s">
        <v>1275</v>
      </c>
      <c r="E491" s="29" t="s">
        <v>143</v>
      </c>
      <c r="F491" s="29" t="s">
        <v>1288</v>
      </c>
      <c r="G491" s="32">
        <v>859350</v>
      </c>
      <c r="H491" s="43">
        <v>0.11</v>
      </c>
      <c r="I491" s="38">
        <v>69561434.700000003</v>
      </c>
      <c r="J491" s="42">
        <f>'Sales Order'!H491+('Sales Order'!H491*0.11)+Invoice!G491</f>
        <v>69561434.700000003</v>
      </c>
      <c r="K491" s="41"/>
    </row>
    <row r="492" spans="1:11" ht="15.75" customHeight="1" x14ac:dyDescent="0.3">
      <c r="A492" s="40" t="s">
        <v>1771</v>
      </c>
      <c r="B492" s="40" t="s">
        <v>729</v>
      </c>
      <c r="C492" s="51" t="str">
        <f>VLOOKUP(B492,'Sales Order'!A$2:B$1029,1,0)</f>
        <v>SO0491</v>
      </c>
      <c r="D492" s="17" t="s">
        <v>1279</v>
      </c>
      <c r="E492" s="29" t="s">
        <v>118</v>
      </c>
      <c r="F492" s="29" t="s">
        <v>1276</v>
      </c>
      <c r="G492" s="18">
        <v>8088</v>
      </c>
      <c r="H492" s="43">
        <v>0.11</v>
      </c>
      <c r="I492" s="38">
        <v>24882422.100000001</v>
      </c>
      <c r="J492" s="42">
        <f>'Sales Order'!H492+('Sales Order'!H492*0.11)+Invoice!G492</f>
        <v>24882422.100000001</v>
      </c>
      <c r="K492" s="41"/>
    </row>
    <row r="493" spans="1:11" ht="15.75" customHeight="1" x14ac:dyDescent="0.3">
      <c r="A493" s="40" t="s">
        <v>1772</v>
      </c>
      <c r="B493" s="40" t="s">
        <v>730</v>
      </c>
      <c r="C493" s="51" t="str">
        <f>VLOOKUP(B493,'Sales Order'!A$2:B$1029,1,0)</f>
        <v>SO0492</v>
      </c>
      <c r="D493" s="17" t="s">
        <v>1275</v>
      </c>
      <c r="E493" s="29" t="s">
        <v>2313</v>
      </c>
      <c r="F493" s="29" t="s">
        <v>1288</v>
      </c>
      <c r="G493" s="18">
        <v>808800</v>
      </c>
      <c r="H493" s="43">
        <v>0.11</v>
      </c>
      <c r="I493" s="38">
        <v>53908447.200000003</v>
      </c>
      <c r="J493" s="42">
        <f>'Sales Order'!H493+('Sales Order'!H493*0.11)+Invoice!G493</f>
        <v>53908447.200000003</v>
      </c>
      <c r="K493" s="41"/>
    </row>
    <row r="494" spans="1:11" ht="15.75" customHeight="1" x14ac:dyDescent="0.3">
      <c r="A494" s="40" t="s">
        <v>1773</v>
      </c>
      <c r="B494" s="40" t="s">
        <v>731</v>
      </c>
      <c r="C494" s="51" t="str">
        <f>VLOOKUP(B494,'Sales Order'!A$2:B$1029,1,0)</f>
        <v>SO0493</v>
      </c>
      <c r="D494" s="17" t="s">
        <v>1279</v>
      </c>
      <c r="E494" s="29" t="s">
        <v>118</v>
      </c>
      <c r="F494" s="29" t="s">
        <v>1295</v>
      </c>
      <c r="G494" s="18">
        <v>8088</v>
      </c>
      <c r="H494" s="43">
        <v>0.11</v>
      </c>
      <c r="I494" s="38">
        <v>1415502632.0999999</v>
      </c>
      <c r="J494" s="42">
        <f>'Sales Order'!H494+('Sales Order'!H494*0.11)+Invoice!G494</f>
        <v>1415502632.0999999</v>
      </c>
      <c r="K494" s="41"/>
    </row>
    <row r="495" spans="1:11" ht="15.75" customHeight="1" x14ac:dyDescent="0.3">
      <c r="A495" s="40" t="s">
        <v>1774</v>
      </c>
      <c r="B495" s="40" t="s">
        <v>732</v>
      </c>
      <c r="C495" s="51" t="str">
        <f>VLOOKUP(B495,'Sales Order'!A$2:B$1029,1,0)</f>
        <v>SO0494</v>
      </c>
      <c r="D495" s="17" t="s">
        <v>1279</v>
      </c>
      <c r="E495" s="29" t="s">
        <v>118</v>
      </c>
      <c r="F495" s="29" t="s">
        <v>1280</v>
      </c>
      <c r="G495" s="18">
        <v>8088</v>
      </c>
      <c r="H495" s="43">
        <v>0.11</v>
      </c>
      <c r="I495" s="38">
        <v>329945853.30000001</v>
      </c>
      <c r="J495" s="42">
        <f>'Sales Order'!H495+('Sales Order'!H495*0.11)+Invoice!G495</f>
        <v>329945853.30000001</v>
      </c>
      <c r="K495" s="41"/>
    </row>
    <row r="496" spans="1:11" ht="15.75" customHeight="1" x14ac:dyDescent="0.3">
      <c r="A496" s="40" t="s">
        <v>1775</v>
      </c>
      <c r="B496" s="40" t="s">
        <v>733</v>
      </c>
      <c r="C496" s="51" t="str">
        <f>VLOOKUP(B496,'Sales Order'!A$2:B$1029,1,0)</f>
        <v>SO0495</v>
      </c>
      <c r="D496" s="17" t="s">
        <v>1275</v>
      </c>
      <c r="E496" s="29" t="s">
        <v>2313</v>
      </c>
      <c r="F496" s="29" t="s">
        <v>1288</v>
      </c>
      <c r="G496" s="18">
        <v>808800</v>
      </c>
      <c r="H496" s="43">
        <v>0.11</v>
      </c>
      <c r="I496" s="38">
        <v>256661406.84</v>
      </c>
      <c r="J496" s="42">
        <f>'Sales Order'!H496+('Sales Order'!H496*0.11)+Invoice!G496</f>
        <v>256661406.84</v>
      </c>
      <c r="K496" s="41"/>
    </row>
    <row r="497" spans="1:11" ht="15.75" customHeight="1" x14ac:dyDescent="0.3">
      <c r="A497" s="40" t="s">
        <v>1776</v>
      </c>
      <c r="B497" s="40" t="s">
        <v>734</v>
      </c>
      <c r="C497" s="51" t="str">
        <f>VLOOKUP(B497,'Sales Order'!A$2:B$1029,1,0)</f>
        <v>SO0496</v>
      </c>
      <c r="D497" s="17" t="s">
        <v>1275</v>
      </c>
      <c r="E497" s="29" t="s">
        <v>2314</v>
      </c>
      <c r="F497" s="29" t="s">
        <v>1276</v>
      </c>
      <c r="G497" s="18">
        <v>808800</v>
      </c>
      <c r="H497" s="43">
        <v>0.11</v>
      </c>
      <c r="I497" s="38">
        <v>108645588.59999999</v>
      </c>
      <c r="J497" s="42">
        <f>'Sales Order'!H497+('Sales Order'!H497*0.11)+Invoice!G497</f>
        <v>108645588.59999999</v>
      </c>
      <c r="K497" s="41"/>
    </row>
    <row r="498" spans="1:11" ht="15.75" customHeight="1" x14ac:dyDescent="0.3">
      <c r="A498" s="40" t="s">
        <v>1777</v>
      </c>
      <c r="B498" s="40" t="s">
        <v>735</v>
      </c>
      <c r="C498" s="51" t="str">
        <f>VLOOKUP(B498,'Sales Order'!A$2:B$1029,1,0)</f>
        <v>SO0497</v>
      </c>
      <c r="D498" s="17" t="s">
        <v>1275</v>
      </c>
      <c r="E498" s="29" t="s">
        <v>2318</v>
      </c>
      <c r="F498" s="29" t="s">
        <v>1280</v>
      </c>
      <c r="G498" s="32">
        <v>859350</v>
      </c>
      <c r="H498" s="43">
        <v>0.11</v>
      </c>
      <c r="I498" s="38">
        <v>467697588.89999998</v>
      </c>
      <c r="J498" s="42">
        <f>'Sales Order'!H498+('Sales Order'!H498*0.11)+Invoice!G498</f>
        <v>467697588.89999998</v>
      </c>
      <c r="K498" s="41"/>
    </row>
    <row r="499" spans="1:11" ht="15.75" customHeight="1" x14ac:dyDescent="0.3">
      <c r="A499" s="40" t="s">
        <v>1778</v>
      </c>
      <c r="B499" s="40" t="s">
        <v>736</v>
      </c>
      <c r="C499" s="51" t="str">
        <f>VLOOKUP(B499,'Sales Order'!A$2:B$1029,1,0)</f>
        <v>SO0498</v>
      </c>
      <c r="D499" s="17" t="s">
        <v>1275</v>
      </c>
      <c r="E499" s="29" t="s">
        <v>2318</v>
      </c>
      <c r="F499" s="29" t="s">
        <v>1276</v>
      </c>
      <c r="G499" s="32">
        <v>859350</v>
      </c>
      <c r="H499" s="43">
        <v>0.11</v>
      </c>
      <c r="I499" s="38">
        <v>114660135.3</v>
      </c>
      <c r="J499" s="42">
        <f>'Sales Order'!H499+('Sales Order'!H499*0.11)+Invoice!G499</f>
        <v>114660135.3</v>
      </c>
      <c r="K499" s="41"/>
    </row>
    <row r="500" spans="1:11" ht="15.75" customHeight="1" x14ac:dyDescent="0.3">
      <c r="A500" s="40" t="s">
        <v>1779</v>
      </c>
      <c r="B500" s="40" t="s">
        <v>737</v>
      </c>
      <c r="C500" s="51" t="str">
        <f>VLOOKUP(B500,'Sales Order'!A$2:B$1029,1,0)</f>
        <v>SO0499</v>
      </c>
      <c r="D500" s="17" t="s">
        <v>1275</v>
      </c>
      <c r="E500" s="29" t="s">
        <v>2320</v>
      </c>
      <c r="F500" s="29" t="s">
        <v>1280</v>
      </c>
      <c r="G500" s="32">
        <v>758250</v>
      </c>
      <c r="H500" s="43">
        <v>0.11</v>
      </c>
      <c r="I500" s="38">
        <v>320842822.80000001</v>
      </c>
      <c r="J500" s="42">
        <f>'Sales Order'!H500+('Sales Order'!H500*0.11)+Invoice!G500</f>
        <v>320842822.80000001</v>
      </c>
      <c r="K500" s="41"/>
    </row>
    <row r="501" spans="1:11" ht="15.75" customHeight="1" x14ac:dyDescent="0.3">
      <c r="A501" s="40" t="s">
        <v>1780</v>
      </c>
      <c r="B501" s="40" t="s">
        <v>738</v>
      </c>
      <c r="C501" s="51" t="str">
        <f>VLOOKUP(B501,'Sales Order'!A$2:B$1029,1,0)</f>
        <v>SO0500</v>
      </c>
      <c r="D501" s="17" t="s">
        <v>1275</v>
      </c>
      <c r="E501" s="29" t="s">
        <v>2318</v>
      </c>
      <c r="F501" s="29" t="s">
        <v>1285</v>
      </c>
      <c r="G501" s="32">
        <v>859350</v>
      </c>
      <c r="H501" s="43">
        <v>0.11</v>
      </c>
      <c r="I501" s="38">
        <v>990777241.20000005</v>
      </c>
      <c r="J501" s="42">
        <f>'Sales Order'!H501+('Sales Order'!H501*0.11)+Invoice!G501</f>
        <v>990777241.20000005</v>
      </c>
      <c r="K501" s="41"/>
    </row>
    <row r="502" spans="1:11" ht="15.75" customHeight="1" x14ac:dyDescent="0.3">
      <c r="A502" s="40" t="s">
        <v>1781</v>
      </c>
      <c r="B502" s="40" t="s">
        <v>739</v>
      </c>
      <c r="C502" s="51" t="str">
        <f>VLOOKUP(B502,'Sales Order'!A$2:B$1029,1,0)</f>
        <v>SO0501</v>
      </c>
      <c r="D502" s="17" t="s">
        <v>1275</v>
      </c>
      <c r="E502" s="29" t="s">
        <v>2316</v>
      </c>
      <c r="F502" s="29" t="s">
        <v>1295</v>
      </c>
      <c r="G502" s="18">
        <v>556050</v>
      </c>
      <c r="H502" s="43">
        <v>0.11</v>
      </c>
      <c r="I502" s="38">
        <v>372971217.60000002</v>
      </c>
      <c r="J502" s="42">
        <f>'Sales Order'!H502+('Sales Order'!H502*0.11)+Invoice!G502</f>
        <v>372971217.60000002</v>
      </c>
      <c r="K502" s="41"/>
    </row>
    <row r="503" spans="1:11" ht="15.75" customHeight="1" x14ac:dyDescent="0.3">
      <c r="A503" s="40" t="s">
        <v>1782</v>
      </c>
      <c r="B503" s="40" t="s">
        <v>740</v>
      </c>
      <c r="C503" s="51" t="str">
        <f>VLOOKUP(B503,'Sales Order'!A$2:B$1029,1,0)</f>
        <v>SO0502</v>
      </c>
      <c r="D503" s="17" t="s">
        <v>1275</v>
      </c>
      <c r="E503" s="29" t="s">
        <v>170</v>
      </c>
      <c r="F503" s="29" t="s">
        <v>1285</v>
      </c>
      <c r="G503" s="32">
        <v>859350</v>
      </c>
      <c r="H503" s="43">
        <v>0.11</v>
      </c>
      <c r="I503" s="38">
        <v>385008782.69999999</v>
      </c>
      <c r="J503" s="42">
        <f>'Sales Order'!H503+('Sales Order'!H503*0.11)+Invoice!G503</f>
        <v>385008782.69999999</v>
      </c>
      <c r="K503" s="41"/>
    </row>
    <row r="504" spans="1:11" ht="15.75" customHeight="1" x14ac:dyDescent="0.3">
      <c r="A504" s="40" t="s">
        <v>1783</v>
      </c>
      <c r="B504" s="40" t="s">
        <v>741</v>
      </c>
      <c r="C504" s="51" t="str">
        <f>VLOOKUP(B504,'Sales Order'!A$2:B$1029,1,0)</f>
        <v>SO0503</v>
      </c>
      <c r="D504" s="17" t="s">
        <v>1275</v>
      </c>
      <c r="E504" s="29" t="s">
        <v>2314</v>
      </c>
      <c r="F504" s="29" t="s">
        <v>1288</v>
      </c>
      <c r="G504" s="18">
        <v>808800</v>
      </c>
      <c r="H504" s="43">
        <v>0.11</v>
      </c>
      <c r="I504" s="38">
        <v>26782800</v>
      </c>
      <c r="J504" s="42">
        <f>'Sales Order'!H504+('Sales Order'!H504*0.11)+Invoice!G504</f>
        <v>26782800</v>
      </c>
      <c r="K504" s="41"/>
    </row>
    <row r="505" spans="1:11" ht="15.75" customHeight="1" x14ac:dyDescent="0.3">
      <c r="A505" s="40" t="s">
        <v>1784</v>
      </c>
      <c r="B505" s="40" t="s">
        <v>742</v>
      </c>
      <c r="C505" s="51" t="str">
        <f>VLOOKUP(B505,'Sales Order'!A$2:B$1029,1,0)</f>
        <v>SO0504</v>
      </c>
      <c r="D505" s="17" t="s">
        <v>1275</v>
      </c>
      <c r="E505" s="29" t="s">
        <v>2318</v>
      </c>
      <c r="F505" s="29" t="s">
        <v>1276</v>
      </c>
      <c r="G505" s="32">
        <v>859350</v>
      </c>
      <c r="H505" s="43">
        <v>0.11</v>
      </c>
      <c r="I505" s="38">
        <v>111750758.7</v>
      </c>
      <c r="J505" s="42">
        <f>'Sales Order'!H505+('Sales Order'!H505*0.11)+Invoice!G505</f>
        <v>111750758.7</v>
      </c>
      <c r="K505" s="41"/>
    </row>
    <row r="506" spans="1:11" ht="15.75" customHeight="1" x14ac:dyDescent="0.3">
      <c r="A506" s="40" t="s">
        <v>1785</v>
      </c>
      <c r="B506" s="40" t="s">
        <v>743</v>
      </c>
      <c r="C506" s="51" t="str">
        <f>VLOOKUP(B506,'Sales Order'!A$2:B$1029,1,0)</f>
        <v>SO0505</v>
      </c>
      <c r="D506" s="17" t="s">
        <v>1279</v>
      </c>
      <c r="E506" s="29" t="s">
        <v>2312</v>
      </c>
      <c r="F506" s="29" t="s">
        <v>1295</v>
      </c>
      <c r="G506" s="18">
        <v>32352</v>
      </c>
      <c r="H506" s="43">
        <v>0.11</v>
      </c>
      <c r="I506" s="38">
        <v>353143054.5</v>
      </c>
      <c r="J506" s="42">
        <f>'Sales Order'!H506+('Sales Order'!H506*0.11)+Invoice!G506</f>
        <v>353143054.5</v>
      </c>
      <c r="K506" s="41"/>
    </row>
    <row r="507" spans="1:11" ht="15.75" customHeight="1" x14ac:dyDescent="0.3">
      <c r="A507" s="40" t="s">
        <v>1786</v>
      </c>
      <c r="B507" s="40" t="s">
        <v>744</v>
      </c>
      <c r="C507" s="51" t="str">
        <f>VLOOKUP(B507,'Sales Order'!A$2:B$1029,1,0)</f>
        <v>SO0506</v>
      </c>
      <c r="D507" s="17" t="s">
        <v>1275</v>
      </c>
      <c r="E507" s="29" t="s">
        <v>2318</v>
      </c>
      <c r="F507" s="29" t="s">
        <v>1288</v>
      </c>
      <c r="G507" s="32">
        <v>859350</v>
      </c>
      <c r="H507" s="43">
        <v>0.11</v>
      </c>
      <c r="I507" s="38">
        <v>2382714</v>
      </c>
      <c r="J507" s="42">
        <f>'Sales Order'!H507+('Sales Order'!H507*0.11)+Invoice!G507</f>
        <v>2382714</v>
      </c>
      <c r="K507" s="41"/>
    </row>
    <row r="508" spans="1:11" ht="15.75" customHeight="1" x14ac:dyDescent="0.3">
      <c r="A508" s="40" t="s">
        <v>1787</v>
      </c>
      <c r="B508" s="40" t="s">
        <v>745</v>
      </c>
      <c r="C508" s="51" t="str">
        <f>VLOOKUP(B508,'Sales Order'!A$2:B$1029,1,0)</f>
        <v>SO0507</v>
      </c>
      <c r="D508" s="17" t="s">
        <v>1275</v>
      </c>
      <c r="E508" s="29" t="s">
        <v>2318</v>
      </c>
      <c r="F508" s="29" t="s">
        <v>1280</v>
      </c>
      <c r="G508" s="32">
        <v>859350</v>
      </c>
      <c r="H508" s="43">
        <v>0.11</v>
      </c>
      <c r="I508" s="38">
        <v>387954234.30000001</v>
      </c>
      <c r="J508" s="42">
        <f>'Sales Order'!H508+('Sales Order'!H508*0.11)+Invoice!G508</f>
        <v>387954234.30000001</v>
      </c>
      <c r="K508" s="41"/>
    </row>
    <row r="509" spans="1:11" ht="15.75" customHeight="1" x14ac:dyDescent="0.3">
      <c r="A509" s="40" t="s">
        <v>1788</v>
      </c>
      <c r="B509" s="40" t="s">
        <v>746</v>
      </c>
      <c r="C509" s="51" t="str">
        <f>VLOOKUP(B509,'Sales Order'!A$2:B$1029,1,0)</f>
        <v>SO0508</v>
      </c>
      <c r="D509" s="17" t="s">
        <v>1275</v>
      </c>
      <c r="E509" s="29" t="s">
        <v>2318</v>
      </c>
      <c r="F509" s="29" t="s">
        <v>1288</v>
      </c>
      <c r="G509" s="32">
        <v>859350</v>
      </c>
      <c r="H509" s="43">
        <v>0.11</v>
      </c>
      <c r="I509" s="38">
        <v>15090660</v>
      </c>
      <c r="J509" s="42">
        <f>'Sales Order'!H509+('Sales Order'!H509*0.11)+Invoice!G509</f>
        <v>15090660</v>
      </c>
      <c r="K509" s="41"/>
    </row>
    <row r="510" spans="1:11" ht="15.75" customHeight="1" x14ac:dyDescent="0.3">
      <c r="A510" s="40" t="s">
        <v>1789</v>
      </c>
      <c r="B510" s="40" t="s">
        <v>747</v>
      </c>
      <c r="C510" s="51" t="str">
        <f>VLOOKUP(B510,'Sales Order'!A$2:B$1029,1,0)</f>
        <v>SO0509</v>
      </c>
      <c r="D510" s="17" t="s">
        <v>1275</v>
      </c>
      <c r="E510" s="29" t="s">
        <v>143</v>
      </c>
      <c r="F510" s="29" t="s">
        <v>1288</v>
      </c>
      <c r="G510" s="32">
        <v>859350</v>
      </c>
      <c r="H510" s="43">
        <v>0.11</v>
      </c>
      <c r="I510" s="38">
        <v>66847384.799999997</v>
      </c>
      <c r="J510" s="42">
        <f>'Sales Order'!H510+('Sales Order'!H510*0.11)+Invoice!G510</f>
        <v>66847384.799999997</v>
      </c>
      <c r="K510" s="41"/>
    </row>
    <row r="511" spans="1:11" ht="15.75" customHeight="1" x14ac:dyDescent="0.3">
      <c r="A511" s="40" t="s">
        <v>1790</v>
      </c>
      <c r="B511" s="40" t="s">
        <v>748</v>
      </c>
      <c r="C511" s="51" t="str">
        <f>VLOOKUP(B511,'Sales Order'!A$2:B$1029,1,0)</f>
        <v>SO0510</v>
      </c>
      <c r="D511" s="17" t="s">
        <v>1279</v>
      </c>
      <c r="E511" s="29" t="s">
        <v>150</v>
      </c>
      <c r="F511" s="29" t="s">
        <v>1288</v>
      </c>
      <c r="G511" s="18">
        <v>32352</v>
      </c>
      <c r="H511" s="43">
        <v>0.11</v>
      </c>
      <c r="I511" s="38">
        <v>39335809.200000003</v>
      </c>
      <c r="J511" s="42">
        <f>'Sales Order'!H511+('Sales Order'!H511*0.11)+Invoice!G511</f>
        <v>39335809.200000003</v>
      </c>
      <c r="K511" s="41"/>
    </row>
    <row r="512" spans="1:11" ht="15.75" customHeight="1" x14ac:dyDescent="0.3">
      <c r="A512" s="40" t="s">
        <v>1791</v>
      </c>
      <c r="B512" s="40" t="s">
        <v>749</v>
      </c>
      <c r="C512" s="51" t="str">
        <f>VLOOKUP(B512,'Sales Order'!A$2:B$1029,1,0)</f>
        <v>SO0511</v>
      </c>
      <c r="D512" s="17" t="s">
        <v>1275</v>
      </c>
      <c r="E512" s="29" t="s">
        <v>2313</v>
      </c>
      <c r="F512" s="29" t="s">
        <v>1280</v>
      </c>
      <c r="G512" s="18">
        <v>808800</v>
      </c>
      <c r="H512" s="43">
        <v>0.11</v>
      </c>
      <c r="I512" s="38">
        <v>472167536.10000002</v>
      </c>
      <c r="J512" s="42">
        <f>'Sales Order'!H512+('Sales Order'!H512*0.11)+Invoice!G512</f>
        <v>472167536.10000002</v>
      </c>
      <c r="K512" s="41"/>
    </row>
    <row r="513" spans="1:11" ht="15.75" customHeight="1" x14ac:dyDescent="0.3">
      <c r="A513" s="40" t="s">
        <v>1792</v>
      </c>
      <c r="B513" s="40" t="s">
        <v>750</v>
      </c>
      <c r="C513" s="51" t="str">
        <f>VLOOKUP(B513,'Sales Order'!A$2:B$1029,1,0)</f>
        <v>SO0512</v>
      </c>
      <c r="D513" s="17" t="s">
        <v>1275</v>
      </c>
      <c r="E513" s="29" t="s">
        <v>2317</v>
      </c>
      <c r="F513" s="29" t="s">
        <v>1285</v>
      </c>
      <c r="G513" s="32">
        <v>859350</v>
      </c>
      <c r="H513" s="43">
        <v>0.11</v>
      </c>
      <c r="I513" s="38">
        <v>382688127.89999998</v>
      </c>
      <c r="J513" s="42">
        <f>'Sales Order'!H513+('Sales Order'!H513*0.11)+Invoice!G513</f>
        <v>382688127.89999998</v>
      </c>
      <c r="K513" s="41"/>
    </row>
    <row r="514" spans="1:11" ht="15.75" customHeight="1" x14ac:dyDescent="0.3">
      <c r="A514" s="40" t="s">
        <v>1793</v>
      </c>
      <c r="B514" s="40" t="s">
        <v>751</v>
      </c>
      <c r="C514" s="51" t="str">
        <f>VLOOKUP(B514,'Sales Order'!A$2:B$1029,1,0)</f>
        <v>SO0513</v>
      </c>
      <c r="D514" s="17" t="s">
        <v>1279</v>
      </c>
      <c r="E514" s="29" t="s">
        <v>118</v>
      </c>
      <c r="F514" s="29" t="s">
        <v>1288</v>
      </c>
      <c r="G514" s="18">
        <v>8088</v>
      </c>
      <c r="H514" s="43">
        <v>0.11</v>
      </c>
      <c r="I514" s="38">
        <v>206277945</v>
      </c>
      <c r="J514" s="42">
        <f>'Sales Order'!H514+('Sales Order'!H514*0.11)+Invoice!G514</f>
        <v>206277945</v>
      </c>
      <c r="K514" s="41"/>
    </row>
    <row r="515" spans="1:11" ht="15.75" customHeight="1" x14ac:dyDescent="0.3">
      <c r="A515" s="40" t="s">
        <v>1794</v>
      </c>
      <c r="B515" s="40" t="s">
        <v>752</v>
      </c>
      <c r="C515" s="51" t="str">
        <f>VLOOKUP(B515,'Sales Order'!A$2:B$1029,1,0)</f>
        <v>SO0514</v>
      </c>
      <c r="D515" s="17" t="s">
        <v>1279</v>
      </c>
      <c r="E515" s="29" t="s">
        <v>118</v>
      </c>
      <c r="F515" s="29" t="s">
        <v>1285</v>
      </c>
      <c r="G515" s="18">
        <v>8088</v>
      </c>
      <c r="H515" s="43">
        <v>0.11</v>
      </c>
      <c r="I515" s="38">
        <v>885342234.29999995</v>
      </c>
      <c r="J515" s="42">
        <f>'Sales Order'!H515+('Sales Order'!H515*0.11)+Invoice!G515</f>
        <v>885342234.29999995</v>
      </c>
      <c r="K515" s="41"/>
    </row>
    <row r="516" spans="1:11" ht="15.75" customHeight="1" x14ac:dyDescent="0.3">
      <c r="A516" s="40" t="s">
        <v>1795</v>
      </c>
      <c r="B516" s="40" t="s">
        <v>753</v>
      </c>
      <c r="C516" s="51" t="str">
        <f>VLOOKUP(B516,'Sales Order'!A$2:B$1029,1,0)</f>
        <v>SO0515</v>
      </c>
      <c r="D516" s="17" t="s">
        <v>1275</v>
      </c>
      <c r="E516" s="29" t="s">
        <v>170</v>
      </c>
      <c r="F516" s="29" t="s">
        <v>1295</v>
      </c>
      <c r="G516" s="32">
        <v>859350</v>
      </c>
      <c r="H516" s="43">
        <v>0.11</v>
      </c>
      <c r="I516" s="38">
        <v>496547591.13</v>
      </c>
      <c r="J516" s="42">
        <f>'Sales Order'!H516+('Sales Order'!H516*0.11)+Invoice!G516</f>
        <v>496547591.13</v>
      </c>
      <c r="K516" s="41"/>
    </row>
    <row r="517" spans="1:11" ht="15.75" customHeight="1" x14ac:dyDescent="0.3">
      <c r="A517" s="40" t="s">
        <v>1796</v>
      </c>
      <c r="B517" s="40" t="s">
        <v>754</v>
      </c>
      <c r="C517" s="51" t="str">
        <f>VLOOKUP(B517,'Sales Order'!A$2:B$1029,1,0)</f>
        <v>SO0516</v>
      </c>
      <c r="D517" s="17" t="s">
        <v>1275</v>
      </c>
      <c r="E517" s="29" t="s">
        <v>2318</v>
      </c>
      <c r="F517" s="29" t="s">
        <v>1288</v>
      </c>
      <c r="G517" s="32">
        <v>859350</v>
      </c>
      <c r="H517" s="43">
        <v>0.11</v>
      </c>
      <c r="I517" s="38">
        <v>37573179.420000002</v>
      </c>
      <c r="J517" s="42">
        <f>'Sales Order'!H517+('Sales Order'!H517*0.11)+Invoice!G517</f>
        <v>37573179.420000002</v>
      </c>
      <c r="K517" s="41"/>
    </row>
    <row r="518" spans="1:11" ht="15.75" customHeight="1" x14ac:dyDescent="0.3">
      <c r="A518" s="40" t="s">
        <v>1797</v>
      </c>
      <c r="B518" s="40" t="s">
        <v>755</v>
      </c>
      <c r="C518" s="51" t="str">
        <f>VLOOKUP(B518,'Sales Order'!A$2:B$1029,1,0)</f>
        <v>SO0517</v>
      </c>
      <c r="D518" s="17" t="s">
        <v>1279</v>
      </c>
      <c r="E518" s="29" t="s">
        <v>118</v>
      </c>
      <c r="F518" s="29" t="s">
        <v>1276</v>
      </c>
      <c r="G518" s="18">
        <v>8088</v>
      </c>
      <c r="H518" s="43">
        <v>0.11</v>
      </c>
      <c r="I518" s="38">
        <v>38229650.399999999</v>
      </c>
      <c r="J518" s="42">
        <f>'Sales Order'!H518+('Sales Order'!H518*0.11)+Invoice!G518</f>
        <v>38229650.399999999</v>
      </c>
      <c r="K518" s="41"/>
    </row>
    <row r="519" spans="1:11" ht="15.75" customHeight="1" x14ac:dyDescent="0.3">
      <c r="A519" s="40" t="s">
        <v>1798</v>
      </c>
      <c r="B519" s="40" t="s">
        <v>756</v>
      </c>
      <c r="C519" s="51" t="str">
        <f>VLOOKUP(B519,'Sales Order'!A$2:B$1029,1,0)</f>
        <v>SO0518</v>
      </c>
      <c r="D519" s="17" t="s">
        <v>1275</v>
      </c>
      <c r="E519" s="29" t="s">
        <v>2313</v>
      </c>
      <c r="F519" s="29" t="s">
        <v>1295</v>
      </c>
      <c r="G519" s="18">
        <v>808800</v>
      </c>
      <c r="H519" s="43">
        <v>0.11</v>
      </c>
      <c r="I519" s="38">
        <v>378313084.5</v>
      </c>
      <c r="J519" s="42">
        <f>'Sales Order'!H519+('Sales Order'!H519*0.11)+Invoice!G519</f>
        <v>378313084.5</v>
      </c>
      <c r="K519" s="41"/>
    </row>
    <row r="520" spans="1:11" ht="15.75" customHeight="1" x14ac:dyDescent="0.3">
      <c r="A520" s="40" t="s">
        <v>1799</v>
      </c>
      <c r="B520" s="40" t="s">
        <v>757</v>
      </c>
      <c r="C520" s="51" t="str">
        <f>VLOOKUP(B520,'Sales Order'!A$2:B$1029,1,0)</f>
        <v>SO0519</v>
      </c>
      <c r="D520" s="17" t="s">
        <v>1275</v>
      </c>
      <c r="E520" s="29" t="s">
        <v>2315</v>
      </c>
      <c r="F520" s="29" t="s">
        <v>1285</v>
      </c>
      <c r="G520" s="18">
        <v>556050</v>
      </c>
      <c r="H520" s="43">
        <v>0.11</v>
      </c>
      <c r="I520" s="38">
        <v>285321699.30000001</v>
      </c>
      <c r="J520" s="42">
        <f>'Sales Order'!H520+('Sales Order'!H520*0.11)+Invoice!G520</f>
        <v>285321699.30000001</v>
      </c>
      <c r="K520" s="41"/>
    </row>
    <row r="521" spans="1:11" ht="15.75" customHeight="1" x14ac:dyDescent="0.3">
      <c r="A521" s="40" t="s">
        <v>1800</v>
      </c>
      <c r="B521" s="40" t="s">
        <v>758</v>
      </c>
      <c r="C521" s="51" t="str">
        <f>VLOOKUP(B521,'Sales Order'!A$2:B$1029,1,0)</f>
        <v>SO0520</v>
      </c>
      <c r="D521" s="17" t="s">
        <v>1275</v>
      </c>
      <c r="E521" s="29" t="s">
        <v>170</v>
      </c>
      <c r="F521" s="29" t="s">
        <v>1276</v>
      </c>
      <c r="G521" s="32">
        <v>859350</v>
      </c>
      <c r="H521" s="43">
        <v>0.11</v>
      </c>
      <c r="I521" s="38">
        <v>156385934.40000001</v>
      </c>
      <c r="J521" s="42">
        <f>'Sales Order'!H521+('Sales Order'!H521*0.11)+Invoice!G521</f>
        <v>156385934.40000001</v>
      </c>
      <c r="K521" s="41"/>
    </row>
    <row r="522" spans="1:11" ht="15.75" customHeight="1" x14ac:dyDescent="0.3">
      <c r="A522" s="40" t="s">
        <v>1801</v>
      </c>
      <c r="B522" s="40" t="s">
        <v>759</v>
      </c>
      <c r="C522" s="51" t="str">
        <f>VLOOKUP(B522,'Sales Order'!A$2:B$1029,1,0)</f>
        <v>SO0521</v>
      </c>
      <c r="D522" s="17" t="s">
        <v>1275</v>
      </c>
      <c r="E522" s="29" t="s">
        <v>2313</v>
      </c>
      <c r="F522" s="29" t="s">
        <v>1276</v>
      </c>
      <c r="G522" s="18">
        <v>808800</v>
      </c>
      <c r="H522" s="43">
        <v>0.11</v>
      </c>
      <c r="I522" s="38">
        <v>47296675.590000004</v>
      </c>
      <c r="J522" s="42">
        <f>'Sales Order'!H522+('Sales Order'!H522*0.11)+Invoice!G522</f>
        <v>47296675.590000004</v>
      </c>
      <c r="K522" s="41"/>
    </row>
    <row r="523" spans="1:11" ht="15.75" customHeight="1" x14ac:dyDescent="0.3">
      <c r="A523" s="40" t="s">
        <v>1802</v>
      </c>
      <c r="B523" s="40" t="s">
        <v>760</v>
      </c>
      <c r="C523" s="51" t="str">
        <f>VLOOKUP(B523,'Sales Order'!A$2:B$1029,1,0)</f>
        <v>SO0522</v>
      </c>
      <c r="D523" s="17" t="s">
        <v>1275</v>
      </c>
      <c r="E523" s="29" t="s">
        <v>2316</v>
      </c>
      <c r="F523" s="29" t="s">
        <v>1295</v>
      </c>
      <c r="G523" s="18">
        <v>556050</v>
      </c>
      <c r="H523" s="43">
        <v>0.11</v>
      </c>
      <c r="I523" s="38">
        <v>640707890.70000005</v>
      </c>
      <c r="J523" s="42">
        <f>'Sales Order'!H523+('Sales Order'!H523*0.11)+Invoice!G523</f>
        <v>640707890.70000005</v>
      </c>
      <c r="K523" s="41"/>
    </row>
    <row r="524" spans="1:11" ht="15.75" customHeight="1" x14ac:dyDescent="0.3">
      <c r="A524" s="40" t="s">
        <v>1803</v>
      </c>
      <c r="B524" s="40" t="s">
        <v>761</v>
      </c>
      <c r="C524" s="51" t="str">
        <f>VLOOKUP(B524,'Sales Order'!A$2:B$1029,1,0)</f>
        <v>SO0523</v>
      </c>
      <c r="D524" s="17" t="s">
        <v>1275</v>
      </c>
      <c r="E524" s="29" t="s">
        <v>170</v>
      </c>
      <c r="F524" s="29" t="s">
        <v>1295</v>
      </c>
      <c r="G524" s="32">
        <v>859350</v>
      </c>
      <c r="H524" s="43">
        <v>0.11</v>
      </c>
      <c r="I524" s="38">
        <v>624011574</v>
      </c>
      <c r="J524" s="42">
        <f>'Sales Order'!H524+('Sales Order'!H524*0.11)+Invoice!G524</f>
        <v>624011574</v>
      </c>
      <c r="K524" s="41"/>
    </row>
    <row r="525" spans="1:11" ht="15.75" customHeight="1" x14ac:dyDescent="0.3">
      <c r="A525" s="40" t="s">
        <v>1804</v>
      </c>
      <c r="B525" s="40" t="s">
        <v>762</v>
      </c>
      <c r="C525" s="51" t="str">
        <f>VLOOKUP(B525,'Sales Order'!A$2:B$1029,1,0)</f>
        <v>SO0524</v>
      </c>
      <c r="D525" s="17" t="s">
        <v>1275</v>
      </c>
      <c r="E525" s="29" t="s">
        <v>2314</v>
      </c>
      <c r="F525" s="29" t="s">
        <v>1280</v>
      </c>
      <c r="G525" s="18">
        <v>808800</v>
      </c>
      <c r="H525" s="43">
        <v>0.11</v>
      </c>
      <c r="I525" s="38">
        <v>1090344951</v>
      </c>
      <c r="J525" s="42">
        <f>'Sales Order'!H525+('Sales Order'!H525*0.11)+Invoice!G525</f>
        <v>1090344951</v>
      </c>
      <c r="K525" s="41"/>
    </row>
    <row r="526" spans="1:11" ht="15.75" customHeight="1" x14ac:dyDescent="0.3">
      <c r="A526" s="40" t="s">
        <v>1805</v>
      </c>
      <c r="B526" s="40" t="s">
        <v>763</v>
      </c>
      <c r="C526" s="51" t="str">
        <f>VLOOKUP(B526,'Sales Order'!A$2:B$1029,1,0)</f>
        <v>SO0525</v>
      </c>
      <c r="D526" s="17" t="s">
        <v>1275</v>
      </c>
      <c r="E526" s="29" t="s">
        <v>2314</v>
      </c>
      <c r="F526" s="29" t="s">
        <v>1280</v>
      </c>
      <c r="G526" s="18">
        <v>808800</v>
      </c>
      <c r="H526" s="43">
        <v>0.11</v>
      </c>
      <c r="I526" s="38">
        <v>638894542.20000005</v>
      </c>
      <c r="J526" s="42">
        <f>'Sales Order'!H526+('Sales Order'!H526*0.11)+Invoice!G526</f>
        <v>638894542.20000005</v>
      </c>
      <c r="K526" s="41"/>
    </row>
    <row r="527" spans="1:11" ht="15.75" customHeight="1" x14ac:dyDescent="0.3">
      <c r="A527" s="40" t="s">
        <v>1806</v>
      </c>
      <c r="B527" s="40" t="s">
        <v>764</v>
      </c>
      <c r="C527" s="51" t="str">
        <f>VLOOKUP(B527,'Sales Order'!A$2:B$1029,1,0)</f>
        <v>SO0526</v>
      </c>
      <c r="D527" s="17" t="s">
        <v>1279</v>
      </c>
      <c r="E527" s="29" t="s">
        <v>118</v>
      </c>
      <c r="F527" s="29" t="s">
        <v>1280</v>
      </c>
      <c r="G527" s="18">
        <v>8088</v>
      </c>
      <c r="H527" s="43">
        <v>0.11</v>
      </c>
      <c r="I527" s="38">
        <v>355398297.60000002</v>
      </c>
      <c r="J527" s="42">
        <f>'Sales Order'!H527+('Sales Order'!H527*0.11)+Invoice!G527</f>
        <v>355398297.60000002</v>
      </c>
      <c r="K527" s="41"/>
    </row>
    <row r="528" spans="1:11" ht="15.75" customHeight="1" x14ac:dyDescent="0.3">
      <c r="A528" s="40" t="s">
        <v>1807</v>
      </c>
      <c r="B528" s="40" t="s">
        <v>765</v>
      </c>
      <c r="C528" s="51" t="str">
        <f>VLOOKUP(B528,'Sales Order'!A$2:B$1029,1,0)</f>
        <v>SO0527</v>
      </c>
      <c r="D528" s="17" t="s">
        <v>1275</v>
      </c>
      <c r="E528" s="29" t="s">
        <v>2316</v>
      </c>
      <c r="F528" s="29" t="s">
        <v>1276</v>
      </c>
      <c r="G528" s="18">
        <v>556050</v>
      </c>
      <c r="H528" s="43">
        <v>0.11</v>
      </c>
      <c r="I528" s="38">
        <v>162641435.69999999</v>
      </c>
      <c r="J528" s="42">
        <f>'Sales Order'!H528+('Sales Order'!H528*0.11)+Invoice!G528</f>
        <v>162641435.69999999</v>
      </c>
      <c r="K528" s="41"/>
    </row>
    <row r="529" spans="1:11" ht="15.75" customHeight="1" x14ac:dyDescent="0.3">
      <c r="A529" s="40" t="s">
        <v>1808</v>
      </c>
      <c r="B529" s="40" t="s">
        <v>766</v>
      </c>
      <c r="C529" s="51" t="str">
        <f>VLOOKUP(B529,'Sales Order'!A$2:B$1029,1,0)</f>
        <v>SO0528</v>
      </c>
      <c r="D529" s="17" t="s">
        <v>1279</v>
      </c>
      <c r="E529" s="29" t="s">
        <v>118</v>
      </c>
      <c r="F529" s="29" t="s">
        <v>1276</v>
      </c>
      <c r="G529" s="18">
        <v>8088</v>
      </c>
      <c r="H529" s="43">
        <v>0.11</v>
      </c>
      <c r="I529" s="38">
        <v>269727265.5</v>
      </c>
      <c r="J529" s="42">
        <f>'Sales Order'!H529+('Sales Order'!H529*0.11)+Invoice!G529</f>
        <v>269727265.5</v>
      </c>
      <c r="K529" s="41"/>
    </row>
    <row r="530" spans="1:11" ht="15.75" customHeight="1" x14ac:dyDescent="0.3">
      <c r="A530" s="40" t="s">
        <v>1809</v>
      </c>
      <c r="B530" s="40" t="s">
        <v>767</v>
      </c>
      <c r="C530" s="51" t="str">
        <f>VLOOKUP(B530,'Sales Order'!A$2:B$1029,1,0)</f>
        <v>SO0529</v>
      </c>
      <c r="D530" s="17" t="s">
        <v>1275</v>
      </c>
      <c r="E530" s="29" t="s">
        <v>2319</v>
      </c>
      <c r="F530" s="29" t="s">
        <v>1288</v>
      </c>
      <c r="G530" s="18">
        <v>353850</v>
      </c>
      <c r="H530" s="43">
        <v>0.11</v>
      </c>
      <c r="I530" s="38">
        <v>35094075</v>
      </c>
      <c r="J530" s="42">
        <f>'Sales Order'!H530+('Sales Order'!H530*0.11)+Invoice!G530</f>
        <v>35094075</v>
      </c>
      <c r="K530" s="41"/>
    </row>
    <row r="531" spans="1:11" ht="15.75" customHeight="1" x14ac:dyDescent="0.3">
      <c r="A531" s="40" t="s">
        <v>1810</v>
      </c>
      <c r="B531" s="40" t="s">
        <v>768</v>
      </c>
      <c r="C531" s="51" t="str">
        <f>VLOOKUP(B531,'Sales Order'!A$2:B$1029,1,0)</f>
        <v>SO0530</v>
      </c>
      <c r="D531" s="17" t="s">
        <v>1279</v>
      </c>
      <c r="E531" s="29" t="s">
        <v>2312</v>
      </c>
      <c r="F531" s="29" t="s">
        <v>1285</v>
      </c>
      <c r="G531" s="18">
        <v>32352</v>
      </c>
      <c r="H531" s="43">
        <v>0.11</v>
      </c>
      <c r="I531" s="38">
        <v>663304293.89999998</v>
      </c>
      <c r="J531" s="42">
        <f>'Sales Order'!H531+('Sales Order'!H531*0.11)+Invoice!G531</f>
        <v>663304293.89999998</v>
      </c>
      <c r="K531" s="41"/>
    </row>
    <row r="532" spans="1:11" ht="15.75" customHeight="1" x14ac:dyDescent="0.3">
      <c r="A532" s="40" t="s">
        <v>1811</v>
      </c>
      <c r="B532" s="40" t="s">
        <v>769</v>
      </c>
      <c r="C532" s="51" t="str">
        <f>VLOOKUP(B532,'Sales Order'!A$2:B$1029,1,0)</f>
        <v>SO0531</v>
      </c>
      <c r="D532" s="17" t="s">
        <v>1275</v>
      </c>
      <c r="E532" s="29" t="s">
        <v>170</v>
      </c>
      <c r="F532" s="29" t="s">
        <v>1295</v>
      </c>
      <c r="G532" s="32">
        <v>859350</v>
      </c>
      <c r="H532" s="43">
        <v>0.11</v>
      </c>
      <c r="I532" s="38">
        <v>344909688.60000002</v>
      </c>
      <c r="J532" s="42">
        <f>'Sales Order'!H532+('Sales Order'!H532*0.11)+Invoice!G532</f>
        <v>344909688.60000002</v>
      </c>
      <c r="K532" s="41"/>
    </row>
    <row r="533" spans="1:11" ht="15.75" customHeight="1" x14ac:dyDescent="0.3">
      <c r="A533" s="40" t="s">
        <v>1812</v>
      </c>
      <c r="B533" s="40" t="s">
        <v>770</v>
      </c>
      <c r="C533" s="51" t="str">
        <f>VLOOKUP(B533,'Sales Order'!A$2:B$1029,1,0)</f>
        <v>SO0532</v>
      </c>
      <c r="D533" s="17" t="s">
        <v>1275</v>
      </c>
      <c r="E533" s="29" t="s">
        <v>2319</v>
      </c>
      <c r="F533" s="29" t="s">
        <v>1276</v>
      </c>
      <c r="G533" s="18">
        <v>353850</v>
      </c>
      <c r="H533" s="43">
        <v>0.11</v>
      </c>
      <c r="I533" s="38">
        <v>210619751.40000001</v>
      </c>
      <c r="J533" s="42">
        <f>'Sales Order'!H533+('Sales Order'!H533*0.11)+Invoice!G533</f>
        <v>210619751.40000001</v>
      </c>
      <c r="K533" s="41"/>
    </row>
    <row r="534" spans="1:11" ht="15.75" customHeight="1" x14ac:dyDescent="0.3">
      <c r="A534" s="40" t="s">
        <v>1813</v>
      </c>
      <c r="B534" s="40" t="s">
        <v>771</v>
      </c>
      <c r="C534" s="51" t="str">
        <f>VLOOKUP(B534,'Sales Order'!A$2:B$1029,1,0)</f>
        <v>SO0533</v>
      </c>
      <c r="D534" s="17" t="s">
        <v>1275</v>
      </c>
      <c r="E534" s="29" t="s">
        <v>170</v>
      </c>
      <c r="F534" s="29" t="s">
        <v>1288</v>
      </c>
      <c r="G534" s="32">
        <v>859350</v>
      </c>
      <c r="H534" s="43">
        <v>0.11</v>
      </c>
      <c r="I534" s="38">
        <v>92621107.5</v>
      </c>
      <c r="J534" s="42">
        <f>'Sales Order'!H534+('Sales Order'!H534*0.11)+Invoice!G534</f>
        <v>92621107.5</v>
      </c>
      <c r="K534" s="41"/>
    </row>
    <row r="535" spans="1:11" ht="15.75" customHeight="1" x14ac:dyDescent="0.3">
      <c r="A535" s="40" t="s">
        <v>1814</v>
      </c>
      <c r="B535" s="40" t="s">
        <v>772</v>
      </c>
      <c r="C535" s="51" t="str">
        <f>VLOOKUP(B535,'Sales Order'!A$2:B$1029,1,0)</f>
        <v>SO0534</v>
      </c>
      <c r="D535" s="17" t="s">
        <v>1275</v>
      </c>
      <c r="E535" s="29" t="s">
        <v>2314</v>
      </c>
      <c r="F535" s="29" t="s">
        <v>1288</v>
      </c>
      <c r="G535" s="18">
        <v>808800</v>
      </c>
      <c r="H535" s="43">
        <v>0.11</v>
      </c>
      <c r="I535" s="38">
        <v>30999645.600000001</v>
      </c>
      <c r="J535" s="42">
        <f>'Sales Order'!H535+('Sales Order'!H535*0.11)+Invoice!G535</f>
        <v>30999645.600000001</v>
      </c>
      <c r="K535" s="41"/>
    </row>
    <row r="536" spans="1:11" ht="15.75" customHeight="1" x14ac:dyDescent="0.3">
      <c r="A536" s="40" t="s">
        <v>1815</v>
      </c>
      <c r="B536" s="40" t="s">
        <v>773</v>
      </c>
      <c r="C536" s="51" t="str">
        <f>VLOOKUP(B536,'Sales Order'!A$2:B$1029,1,0)</f>
        <v>SO0535</v>
      </c>
      <c r="D536" s="17" t="s">
        <v>1275</v>
      </c>
      <c r="E536" s="29" t="s">
        <v>2318</v>
      </c>
      <c r="F536" s="29" t="s">
        <v>1276</v>
      </c>
      <c r="G536" s="32">
        <v>859350</v>
      </c>
      <c r="H536" s="43">
        <v>0.11</v>
      </c>
      <c r="I536" s="38">
        <v>230884650</v>
      </c>
      <c r="J536" s="42">
        <f>'Sales Order'!H536+('Sales Order'!H536*0.11)+Invoice!G536</f>
        <v>230884650</v>
      </c>
      <c r="K536" s="41"/>
    </row>
    <row r="537" spans="1:11" ht="15.75" customHeight="1" x14ac:dyDescent="0.3">
      <c r="A537" s="40" t="s">
        <v>1816</v>
      </c>
      <c r="B537" s="40" t="s">
        <v>774</v>
      </c>
      <c r="C537" s="51" t="str">
        <f>VLOOKUP(B537,'Sales Order'!A$2:B$1029,1,0)</f>
        <v>SO0536</v>
      </c>
      <c r="D537" s="17" t="s">
        <v>1275</v>
      </c>
      <c r="E537" s="29" t="s">
        <v>2318</v>
      </c>
      <c r="F537" s="29" t="s">
        <v>1280</v>
      </c>
      <c r="G537" s="32">
        <v>859350</v>
      </c>
      <c r="H537" s="43">
        <v>0.11</v>
      </c>
      <c r="I537" s="38">
        <v>506816364.30000001</v>
      </c>
      <c r="J537" s="42">
        <f>'Sales Order'!H537+('Sales Order'!H537*0.11)+Invoice!G537</f>
        <v>506816364.30000001</v>
      </c>
      <c r="K537" s="41"/>
    </row>
    <row r="538" spans="1:11" ht="15.75" customHeight="1" x14ac:dyDescent="0.3">
      <c r="A538" s="40" t="s">
        <v>1817</v>
      </c>
      <c r="B538" s="40" t="s">
        <v>775</v>
      </c>
      <c r="C538" s="51" t="str">
        <f>VLOOKUP(B538,'Sales Order'!A$2:B$1029,1,0)</f>
        <v>SO0537</v>
      </c>
      <c r="D538" s="17" t="s">
        <v>1275</v>
      </c>
      <c r="E538" s="29" t="s">
        <v>2314</v>
      </c>
      <c r="F538" s="29" t="s">
        <v>1276</v>
      </c>
      <c r="G538" s="18">
        <v>808800</v>
      </c>
      <c r="H538" s="43">
        <v>0.11</v>
      </c>
      <c r="I538" s="38">
        <v>78850935.299999997</v>
      </c>
      <c r="J538" s="42">
        <f>'Sales Order'!H538+('Sales Order'!H538*0.11)+Invoice!G538</f>
        <v>78850935.299999997</v>
      </c>
      <c r="K538" s="41"/>
    </row>
    <row r="539" spans="1:11" ht="15.75" customHeight="1" x14ac:dyDescent="0.3">
      <c r="A539" s="40" t="s">
        <v>1818</v>
      </c>
      <c r="B539" s="40" t="s">
        <v>776</v>
      </c>
      <c r="C539" s="51" t="str">
        <f>VLOOKUP(B539,'Sales Order'!A$2:B$1029,1,0)</f>
        <v>SO0538</v>
      </c>
      <c r="D539" s="17" t="s">
        <v>1279</v>
      </c>
      <c r="E539" s="29" t="s">
        <v>118</v>
      </c>
      <c r="F539" s="29" t="s">
        <v>1288</v>
      </c>
      <c r="G539" s="18">
        <v>8088</v>
      </c>
      <c r="H539" s="43">
        <v>0.11</v>
      </c>
      <c r="I539" s="38">
        <v>27279760.140000001</v>
      </c>
      <c r="J539" s="42">
        <f>'Sales Order'!H539+('Sales Order'!H539*0.11)+Invoice!G539</f>
        <v>27279760.140000001</v>
      </c>
      <c r="K539" s="41"/>
    </row>
    <row r="540" spans="1:11" ht="15.75" customHeight="1" x14ac:dyDescent="0.3">
      <c r="A540" s="40" t="s">
        <v>1819</v>
      </c>
      <c r="B540" s="40" t="s">
        <v>777</v>
      </c>
      <c r="C540" s="51" t="str">
        <f>VLOOKUP(B540,'Sales Order'!A$2:B$1029,1,0)</f>
        <v>SO0539</v>
      </c>
      <c r="D540" s="17" t="s">
        <v>1275</v>
      </c>
      <c r="E540" s="29" t="s">
        <v>170</v>
      </c>
      <c r="F540" s="29" t="s">
        <v>1288</v>
      </c>
      <c r="G540" s="32">
        <v>859350</v>
      </c>
      <c r="H540" s="43">
        <v>0.11</v>
      </c>
      <c r="I540" s="38">
        <v>40862651.100000001</v>
      </c>
      <c r="J540" s="42">
        <f>'Sales Order'!H540+('Sales Order'!H540*0.11)+Invoice!G540</f>
        <v>40862651.100000001</v>
      </c>
      <c r="K540" s="41"/>
    </row>
    <row r="541" spans="1:11" ht="15.75" customHeight="1" x14ac:dyDescent="0.3">
      <c r="A541" s="40" t="s">
        <v>1820</v>
      </c>
      <c r="B541" s="40" t="s">
        <v>778</v>
      </c>
      <c r="C541" s="51" t="str">
        <f>VLOOKUP(B541,'Sales Order'!A$2:B$1029,1,0)</f>
        <v>SO0540</v>
      </c>
      <c r="D541" s="17" t="s">
        <v>1275</v>
      </c>
      <c r="E541" s="29" t="s">
        <v>143</v>
      </c>
      <c r="F541" s="29" t="s">
        <v>1295</v>
      </c>
      <c r="G541" s="32">
        <v>859350</v>
      </c>
      <c r="H541" s="43">
        <v>0.11</v>
      </c>
      <c r="I541" s="38">
        <v>355125351.60000002</v>
      </c>
      <c r="J541" s="42">
        <f>'Sales Order'!H541+('Sales Order'!H541*0.11)+Invoice!G541</f>
        <v>355125351.60000002</v>
      </c>
      <c r="K541" s="41"/>
    </row>
    <row r="542" spans="1:11" ht="15.75" customHeight="1" x14ac:dyDescent="0.3">
      <c r="A542" s="40" t="s">
        <v>1821</v>
      </c>
      <c r="B542" s="40" t="s">
        <v>779</v>
      </c>
      <c r="C542" s="51" t="str">
        <f>VLOOKUP(B542,'Sales Order'!A$2:B$1029,1,0)</f>
        <v>SO0541</v>
      </c>
      <c r="D542" s="17" t="s">
        <v>1275</v>
      </c>
      <c r="E542" s="29" t="s">
        <v>143</v>
      </c>
      <c r="F542" s="29" t="s">
        <v>1295</v>
      </c>
      <c r="G542" s="32">
        <v>859350</v>
      </c>
      <c r="H542" s="43">
        <v>0.11</v>
      </c>
      <c r="I542" s="38">
        <v>769644783.89999998</v>
      </c>
      <c r="J542" s="42">
        <f>'Sales Order'!H542+('Sales Order'!H542*0.11)+Invoice!G542</f>
        <v>769644783.89999998</v>
      </c>
      <c r="K542" s="41"/>
    </row>
    <row r="543" spans="1:11" ht="15.75" customHeight="1" x14ac:dyDescent="0.3">
      <c r="A543" s="40" t="s">
        <v>1822</v>
      </c>
      <c r="B543" s="40" t="s">
        <v>780</v>
      </c>
      <c r="C543" s="51" t="str">
        <f>VLOOKUP(B543,'Sales Order'!A$2:B$1029,1,0)</f>
        <v>SO0542</v>
      </c>
      <c r="D543" s="17" t="s">
        <v>1279</v>
      </c>
      <c r="E543" s="29" t="s">
        <v>2312</v>
      </c>
      <c r="F543" s="29" t="s">
        <v>1280</v>
      </c>
      <c r="G543" s="18">
        <v>32352</v>
      </c>
      <c r="H543" s="43">
        <v>0.11</v>
      </c>
      <c r="I543" s="38">
        <v>1098363221.7</v>
      </c>
      <c r="J543" s="42">
        <f>'Sales Order'!H543+('Sales Order'!H543*0.11)+Invoice!G543</f>
        <v>1098363221.7</v>
      </c>
      <c r="K543" s="41"/>
    </row>
    <row r="544" spans="1:11" ht="15.75" customHeight="1" x14ac:dyDescent="0.3">
      <c r="A544" s="40" t="s">
        <v>1823</v>
      </c>
      <c r="B544" s="40" t="s">
        <v>781</v>
      </c>
      <c r="C544" s="51" t="str">
        <f>VLOOKUP(B544,'Sales Order'!A$2:B$1029,1,0)</f>
        <v>SO0543</v>
      </c>
      <c r="D544" s="17" t="s">
        <v>1279</v>
      </c>
      <c r="E544" s="29" t="s">
        <v>118</v>
      </c>
      <c r="F544" s="29" t="s">
        <v>1276</v>
      </c>
      <c r="G544" s="18">
        <v>8088</v>
      </c>
      <c r="H544" s="43">
        <v>0.11</v>
      </c>
      <c r="I544" s="38">
        <v>134589782.69999999</v>
      </c>
      <c r="J544" s="42">
        <f>'Sales Order'!H544+('Sales Order'!H544*0.11)+Invoice!G544</f>
        <v>134589782.69999999</v>
      </c>
      <c r="K544" s="41"/>
    </row>
    <row r="545" spans="1:11" ht="15.75" customHeight="1" x14ac:dyDescent="0.3">
      <c r="A545" s="40" t="s">
        <v>1824</v>
      </c>
      <c r="B545" s="40" t="s">
        <v>782</v>
      </c>
      <c r="C545" s="51" t="str">
        <f>VLOOKUP(B545,'Sales Order'!A$2:B$1029,1,0)</f>
        <v>SO0544</v>
      </c>
      <c r="D545" s="17" t="s">
        <v>1275</v>
      </c>
      <c r="E545" s="29" t="s">
        <v>2318</v>
      </c>
      <c r="F545" s="29" t="s">
        <v>1295</v>
      </c>
      <c r="G545" s="32">
        <v>859350</v>
      </c>
      <c r="H545" s="43">
        <v>0.11</v>
      </c>
      <c r="I545" s="38">
        <v>376906881.60000002</v>
      </c>
      <c r="J545" s="42">
        <f>'Sales Order'!H545+('Sales Order'!H545*0.11)+Invoice!G545</f>
        <v>376906881.60000002</v>
      </c>
      <c r="K545" s="41"/>
    </row>
    <row r="546" spans="1:11" ht="15.75" customHeight="1" x14ac:dyDescent="0.3">
      <c r="A546" s="40" t="s">
        <v>1825</v>
      </c>
      <c r="B546" s="40" t="s">
        <v>783</v>
      </c>
      <c r="C546" s="51" t="str">
        <f>VLOOKUP(B546,'Sales Order'!A$2:B$1029,1,0)</f>
        <v>SO0545</v>
      </c>
      <c r="D546" s="17" t="s">
        <v>1275</v>
      </c>
      <c r="E546" s="29" t="s">
        <v>2314</v>
      </c>
      <c r="F546" s="29" t="s">
        <v>1288</v>
      </c>
      <c r="G546" s="18">
        <v>808800</v>
      </c>
      <c r="H546" s="43">
        <v>0.11</v>
      </c>
      <c r="I546" s="38">
        <v>178615770.59999999</v>
      </c>
      <c r="J546" s="42">
        <f>'Sales Order'!H546+('Sales Order'!H546*0.11)+Invoice!G546</f>
        <v>178615770.59999999</v>
      </c>
      <c r="K546" s="41"/>
    </row>
    <row r="547" spans="1:11" ht="15.75" customHeight="1" x14ac:dyDescent="0.3">
      <c r="A547" s="40" t="s">
        <v>1826</v>
      </c>
      <c r="B547" s="40" t="s">
        <v>784</v>
      </c>
      <c r="C547" s="51" t="str">
        <f>VLOOKUP(B547,'Sales Order'!A$2:B$1029,1,0)</f>
        <v>SO0546</v>
      </c>
      <c r="D547" s="17" t="s">
        <v>1275</v>
      </c>
      <c r="E547" s="29" t="s">
        <v>2318</v>
      </c>
      <c r="F547" s="29" t="s">
        <v>1276</v>
      </c>
      <c r="G547" s="32">
        <v>859350</v>
      </c>
      <c r="H547" s="43">
        <v>0.11</v>
      </c>
      <c r="I547" s="38">
        <v>112033597.8</v>
      </c>
      <c r="J547" s="42">
        <f>'Sales Order'!H547+('Sales Order'!H547*0.11)+Invoice!G547</f>
        <v>112033597.8</v>
      </c>
      <c r="K547" s="41"/>
    </row>
    <row r="548" spans="1:11" ht="15.75" customHeight="1" x14ac:dyDescent="0.3">
      <c r="A548" s="40" t="s">
        <v>1827</v>
      </c>
      <c r="B548" s="40" t="s">
        <v>785</v>
      </c>
      <c r="C548" s="51" t="str">
        <f>VLOOKUP(B548,'Sales Order'!A$2:B$1029,1,0)</f>
        <v>SO0547</v>
      </c>
      <c r="D548" s="17" t="s">
        <v>1279</v>
      </c>
      <c r="E548" s="29" t="s">
        <v>118</v>
      </c>
      <c r="F548" s="29" t="s">
        <v>1276</v>
      </c>
      <c r="G548" s="18">
        <v>8088</v>
      </c>
      <c r="H548" s="43">
        <v>0.11</v>
      </c>
      <c r="I548" s="38">
        <v>30203251.5</v>
      </c>
      <c r="J548" s="42">
        <f>'Sales Order'!H548+('Sales Order'!H548*0.11)+Invoice!G548</f>
        <v>30203251.5</v>
      </c>
      <c r="K548" s="41"/>
    </row>
    <row r="549" spans="1:11" ht="15.75" customHeight="1" x14ac:dyDescent="0.3">
      <c r="A549" s="40" t="s">
        <v>1828</v>
      </c>
      <c r="B549" s="40" t="s">
        <v>786</v>
      </c>
      <c r="C549" s="51" t="str">
        <f>VLOOKUP(B549,'Sales Order'!A$2:B$1029,1,0)</f>
        <v>SO0548</v>
      </c>
      <c r="D549" s="17" t="s">
        <v>1275</v>
      </c>
      <c r="E549" s="29" t="s">
        <v>2313</v>
      </c>
      <c r="F549" s="29" t="s">
        <v>1285</v>
      </c>
      <c r="G549" s="18">
        <v>808800</v>
      </c>
      <c r="H549" s="43">
        <v>0.11</v>
      </c>
      <c r="I549" s="38">
        <v>550900713</v>
      </c>
      <c r="J549" s="42">
        <f>'Sales Order'!H549+('Sales Order'!H549*0.11)+Invoice!G549</f>
        <v>550900713</v>
      </c>
      <c r="K549" s="41"/>
    </row>
    <row r="550" spans="1:11" ht="15.75" customHeight="1" x14ac:dyDescent="0.3">
      <c r="A550" s="40" t="s">
        <v>1829</v>
      </c>
      <c r="B550" s="40" t="s">
        <v>787</v>
      </c>
      <c r="C550" s="51" t="str">
        <f>VLOOKUP(B550,'Sales Order'!A$2:B$1029,1,0)</f>
        <v>SO0549</v>
      </c>
      <c r="D550" s="17" t="s">
        <v>1275</v>
      </c>
      <c r="E550" s="29" t="s">
        <v>170</v>
      </c>
      <c r="F550" s="29" t="s">
        <v>1288</v>
      </c>
      <c r="G550" s="32">
        <v>859350</v>
      </c>
      <c r="H550" s="43">
        <v>0.11</v>
      </c>
      <c r="I550" s="38">
        <v>194656558.80000001</v>
      </c>
      <c r="J550" s="42">
        <f>'Sales Order'!H550+('Sales Order'!H550*0.11)+Invoice!G550</f>
        <v>194656558.80000001</v>
      </c>
      <c r="K550" s="41"/>
    </row>
    <row r="551" spans="1:11" ht="15.75" customHeight="1" x14ac:dyDescent="0.3">
      <c r="A551" s="40" t="s">
        <v>1830</v>
      </c>
      <c r="B551" s="40" t="s">
        <v>788</v>
      </c>
      <c r="C551" s="51" t="str">
        <f>VLOOKUP(B551,'Sales Order'!A$2:B$1029,1,0)</f>
        <v>SO0550</v>
      </c>
      <c r="D551" s="17" t="s">
        <v>1279</v>
      </c>
      <c r="E551" s="29" t="s">
        <v>2312</v>
      </c>
      <c r="F551" s="29" t="s">
        <v>1288</v>
      </c>
      <c r="G551" s="18">
        <v>32352</v>
      </c>
      <c r="H551" s="43">
        <v>0.11</v>
      </c>
      <c r="I551" s="38">
        <v>154261413</v>
      </c>
      <c r="J551" s="42">
        <f>'Sales Order'!H551+('Sales Order'!H551*0.11)+Invoice!G551</f>
        <v>154261413</v>
      </c>
      <c r="K551" s="41"/>
    </row>
    <row r="552" spans="1:11" ht="15.75" customHeight="1" x14ac:dyDescent="0.3">
      <c r="A552" s="40" t="s">
        <v>1831</v>
      </c>
      <c r="B552" s="40" t="s">
        <v>789</v>
      </c>
      <c r="C552" s="51" t="str">
        <f>VLOOKUP(B552,'Sales Order'!A$2:B$1029,1,0)</f>
        <v>SO0551</v>
      </c>
      <c r="D552" s="17" t="s">
        <v>1275</v>
      </c>
      <c r="E552" s="29" t="s">
        <v>2314</v>
      </c>
      <c r="F552" s="29" t="s">
        <v>1288</v>
      </c>
      <c r="G552" s="18">
        <v>808800</v>
      </c>
      <c r="H552" s="43">
        <v>0.11</v>
      </c>
      <c r="I552" s="38">
        <v>35750789.700000003</v>
      </c>
      <c r="J552" s="42">
        <f>'Sales Order'!H552+('Sales Order'!H552*0.11)+Invoice!G552</f>
        <v>35750789.700000003</v>
      </c>
      <c r="K552" s="41"/>
    </row>
    <row r="553" spans="1:11" ht="15.75" customHeight="1" x14ac:dyDescent="0.3">
      <c r="A553" s="40" t="s">
        <v>1832</v>
      </c>
      <c r="B553" s="40" t="s">
        <v>790</v>
      </c>
      <c r="C553" s="51" t="str">
        <f>VLOOKUP(B553,'Sales Order'!A$2:B$1029,1,0)</f>
        <v>SO0552</v>
      </c>
      <c r="D553" s="17" t="s">
        <v>1275</v>
      </c>
      <c r="E553" s="29" t="s">
        <v>143</v>
      </c>
      <c r="F553" s="29" t="s">
        <v>1280</v>
      </c>
      <c r="G553" s="32">
        <v>859350</v>
      </c>
      <c r="H553" s="43">
        <v>0.11</v>
      </c>
      <c r="I553" s="38">
        <v>347481469.80000001</v>
      </c>
      <c r="J553" s="42">
        <f>'Sales Order'!H553+('Sales Order'!H553*0.11)+Invoice!G553</f>
        <v>347481469.80000001</v>
      </c>
      <c r="K553" s="41"/>
    </row>
    <row r="554" spans="1:11" ht="15.75" customHeight="1" x14ac:dyDescent="0.3">
      <c r="A554" s="40" t="s">
        <v>1833</v>
      </c>
      <c r="B554" s="40" t="s">
        <v>791</v>
      </c>
      <c r="C554" s="51" t="str">
        <f>VLOOKUP(B554,'Sales Order'!A$2:B$1029,1,0)</f>
        <v>SO0553</v>
      </c>
      <c r="D554" s="17" t="s">
        <v>1279</v>
      </c>
      <c r="E554" s="29" t="s">
        <v>118</v>
      </c>
      <c r="F554" s="29" t="s">
        <v>1276</v>
      </c>
      <c r="G554" s="18">
        <v>8088</v>
      </c>
      <c r="H554" s="43">
        <v>0.11</v>
      </c>
      <c r="I554" s="38">
        <v>11398475.1</v>
      </c>
      <c r="J554" s="42">
        <f>'Sales Order'!H554+('Sales Order'!H554*0.11)+Invoice!G554</f>
        <v>11398475.1</v>
      </c>
      <c r="K554" s="41"/>
    </row>
    <row r="555" spans="1:11" ht="15.75" customHeight="1" x14ac:dyDescent="0.3">
      <c r="A555" s="40" t="s">
        <v>1834</v>
      </c>
      <c r="B555" s="40" t="s">
        <v>792</v>
      </c>
      <c r="C555" s="51" t="str">
        <f>VLOOKUP(B555,'Sales Order'!A$2:B$1029,1,0)</f>
        <v>SO0554</v>
      </c>
      <c r="D555" s="17" t="s">
        <v>1279</v>
      </c>
      <c r="E555" s="29" t="s">
        <v>118</v>
      </c>
      <c r="F555" s="29" t="s">
        <v>1288</v>
      </c>
      <c r="G555" s="18">
        <v>8088</v>
      </c>
      <c r="H555" s="43">
        <v>0.11</v>
      </c>
      <c r="I555" s="38">
        <v>42162591.299999997</v>
      </c>
      <c r="J555" s="42">
        <f>'Sales Order'!H555+('Sales Order'!H555*0.11)+Invoice!G555</f>
        <v>42162591.299999997</v>
      </c>
      <c r="K555" s="41"/>
    </row>
    <row r="556" spans="1:11" ht="15.75" customHeight="1" x14ac:dyDescent="0.3">
      <c r="A556" s="40" t="s">
        <v>1835</v>
      </c>
      <c r="B556" s="40" t="s">
        <v>793</v>
      </c>
      <c r="C556" s="51" t="str">
        <f>VLOOKUP(B556,'Sales Order'!A$2:B$1029,1,0)</f>
        <v>SO0555</v>
      </c>
      <c r="D556" s="17" t="s">
        <v>1279</v>
      </c>
      <c r="E556" s="29" t="s">
        <v>118</v>
      </c>
      <c r="F556" s="29" t="s">
        <v>1285</v>
      </c>
      <c r="G556" s="18">
        <v>8088</v>
      </c>
      <c r="H556" s="43">
        <v>0.11</v>
      </c>
      <c r="I556" s="38">
        <v>359435079</v>
      </c>
      <c r="J556" s="42">
        <f>'Sales Order'!H556+('Sales Order'!H556*0.11)+Invoice!G556</f>
        <v>359435079</v>
      </c>
      <c r="K556" s="41"/>
    </row>
    <row r="557" spans="1:11" ht="15.75" customHeight="1" x14ac:dyDescent="0.3">
      <c r="A557" s="40" t="s">
        <v>1836</v>
      </c>
      <c r="B557" s="40" t="s">
        <v>794</v>
      </c>
      <c r="C557" s="51" t="str">
        <f>VLOOKUP(B557,'Sales Order'!A$2:B$1029,1,0)</f>
        <v>SO0556</v>
      </c>
      <c r="D557" s="17" t="s">
        <v>1275</v>
      </c>
      <c r="E557" s="29" t="s">
        <v>2313</v>
      </c>
      <c r="F557" s="29" t="s">
        <v>1288</v>
      </c>
      <c r="G557" s="18">
        <v>808800</v>
      </c>
      <c r="H557" s="43">
        <v>0.11</v>
      </c>
      <c r="I557" s="38">
        <v>240033724.5</v>
      </c>
      <c r="J557" s="42">
        <f>'Sales Order'!H557+('Sales Order'!H557*0.11)+Invoice!G557</f>
        <v>240033724.5</v>
      </c>
      <c r="K557" s="41"/>
    </row>
    <row r="558" spans="1:11" ht="15.75" customHeight="1" x14ac:dyDescent="0.3">
      <c r="A558" s="40" t="s">
        <v>1837</v>
      </c>
      <c r="B558" s="40" t="s">
        <v>795</v>
      </c>
      <c r="C558" s="51" t="str">
        <f>VLOOKUP(B558,'Sales Order'!A$2:B$1029,1,0)</f>
        <v>SO0557</v>
      </c>
      <c r="D558" s="17" t="s">
        <v>1275</v>
      </c>
      <c r="E558" s="29" t="s">
        <v>2315</v>
      </c>
      <c r="F558" s="29" t="s">
        <v>1276</v>
      </c>
      <c r="G558" s="18">
        <v>556050</v>
      </c>
      <c r="H558" s="43">
        <v>0.11</v>
      </c>
      <c r="I558" s="38">
        <v>88318144.5</v>
      </c>
      <c r="J558" s="42">
        <f>'Sales Order'!H558+('Sales Order'!H558*0.11)+Invoice!G558</f>
        <v>88318144.5</v>
      </c>
      <c r="K558" s="41"/>
    </row>
    <row r="559" spans="1:11" ht="15.75" customHeight="1" x14ac:dyDescent="0.3">
      <c r="A559" s="40" t="s">
        <v>1838</v>
      </c>
      <c r="B559" s="40" t="s">
        <v>796</v>
      </c>
      <c r="C559" s="51" t="str">
        <f>VLOOKUP(B559,'Sales Order'!A$2:B$1029,1,0)</f>
        <v>SO0558</v>
      </c>
      <c r="D559" s="17" t="s">
        <v>1275</v>
      </c>
      <c r="E559" s="29" t="s">
        <v>143</v>
      </c>
      <c r="F559" s="29" t="s">
        <v>1288</v>
      </c>
      <c r="G559" s="32">
        <v>859350</v>
      </c>
      <c r="H559" s="43">
        <v>0.11</v>
      </c>
      <c r="I559" s="38">
        <v>43963895.640000001</v>
      </c>
      <c r="J559" s="42">
        <f>'Sales Order'!H559+('Sales Order'!H559*0.11)+Invoice!G559</f>
        <v>43963895.640000001</v>
      </c>
      <c r="K559" s="41"/>
    </row>
    <row r="560" spans="1:11" ht="15.75" customHeight="1" x14ac:dyDescent="0.3">
      <c r="A560" s="40" t="s">
        <v>1839</v>
      </c>
      <c r="B560" s="40" t="s">
        <v>797</v>
      </c>
      <c r="C560" s="51" t="str">
        <f>VLOOKUP(B560,'Sales Order'!A$2:B$1029,1,0)</f>
        <v>SO0559</v>
      </c>
      <c r="D560" s="17" t="s">
        <v>1279</v>
      </c>
      <c r="E560" s="29" t="s">
        <v>118</v>
      </c>
      <c r="F560" s="29" t="s">
        <v>1288</v>
      </c>
      <c r="G560" s="18">
        <v>8088</v>
      </c>
      <c r="H560" s="43">
        <v>0.11</v>
      </c>
      <c r="I560" s="38">
        <v>40798789.799999997</v>
      </c>
      <c r="J560" s="42">
        <f>'Sales Order'!H560+('Sales Order'!H560*0.11)+Invoice!G560</f>
        <v>40798789.799999997</v>
      </c>
      <c r="K560" s="41"/>
    </row>
    <row r="561" spans="1:11" ht="15.75" customHeight="1" x14ac:dyDescent="0.3">
      <c r="A561" s="40" t="s">
        <v>1840</v>
      </c>
      <c r="B561" s="40" t="s">
        <v>798</v>
      </c>
      <c r="C561" s="51" t="str">
        <f>VLOOKUP(B561,'Sales Order'!A$2:B$1029,1,0)</f>
        <v>SO0560</v>
      </c>
      <c r="D561" s="17" t="s">
        <v>1275</v>
      </c>
      <c r="E561" s="29" t="s">
        <v>2313</v>
      </c>
      <c r="F561" s="29" t="s">
        <v>1276</v>
      </c>
      <c r="G561" s="18">
        <v>808800</v>
      </c>
      <c r="H561" s="43">
        <v>0.11</v>
      </c>
      <c r="I561" s="38">
        <v>140497416</v>
      </c>
      <c r="J561" s="42">
        <f>'Sales Order'!H561+('Sales Order'!H561*0.11)+Invoice!G561</f>
        <v>140497416</v>
      </c>
      <c r="K561" s="41"/>
    </row>
    <row r="562" spans="1:11" ht="15.75" customHeight="1" x14ac:dyDescent="0.3">
      <c r="A562" s="40" t="s">
        <v>1841</v>
      </c>
      <c r="B562" s="40" t="s">
        <v>799</v>
      </c>
      <c r="C562" s="51" t="str">
        <f>VLOOKUP(B562,'Sales Order'!A$2:B$1029,1,0)</f>
        <v>SO0561</v>
      </c>
      <c r="D562" s="17" t="s">
        <v>1275</v>
      </c>
      <c r="E562" s="29" t="s">
        <v>2313</v>
      </c>
      <c r="F562" s="29" t="s">
        <v>1276</v>
      </c>
      <c r="G562" s="18">
        <v>808800</v>
      </c>
      <c r="H562" s="43">
        <v>0.11</v>
      </c>
      <c r="I562" s="38">
        <v>165493916.69999999</v>
      </c>
      <c r="J562" s="42">
        <f>'Sales Order'!H562+('Sales Order'!H562*0.11)+Invoice!G562</f>
        <v>165493916.69999999</v>
      </c>
      <c r="K562" s="41"/>
    </row>
    <row r="563" spans="1:11" ht="15.75" customHeight="1" x14ac:dyDescent="0.3">
      <c r="A563" s="40" t="s">
        <v>1842</v>
      </c>
      <c r="B563" s="40" t="s">
        <v>800</v>
      </c>
      <c r="C563" s="51" t="str">
        <f>VLOOKUP(B563,'Sales Order'!A$2:B$1029,1,0)</f>
        <v>SO0562</v>
      </c>
      <c r="D563" s="17" t="s">
        <v>1275</v>
      </c>
      <c r="E563" s="29" t="s">
        <v>170</v>
      </c>
      <c r="F563" s="29" t="s">
        <v>1276</v>
      </c>
      <c r="G563" s="32">
        <v>859350</v>
      </c>
      <c r="H563" s="43">
        <v>0.11</v>
      </c>
      <c r="I563" s="38">
        <v>56622997.200000003</v>
      </c>
      <c r="J563" s="42">
        <f>'Sales Order'!H563+('Sales Order'!H563*0.11)+Invoice!G563</f>
        <v>56622997.200000003</v>
      </c>
      <c r="K563" s="41"/>
    </row>
    <row r="564" spans="1:11" ht="15.75" customHeight="1" x14ac:dyDescent="0.3">
      <c r="A564" s="40" t="s">
        <v>1843</v>
      </c>
      <c r="B564" s="40" t="s">
        <v>801</v>
      </c>
      <c r="C564" s="51" t="str">
        <f>VLOOKUP(B564,'Sales Order'!A$2:B$1029,1,0)</f>
        <v>SO0563</v>
      </c>
      <c r="D564" s="17" t="s">
        <v>1275</v>
      </c>
      <c r="E564" s="29" t="s">
        <v>2313</v>
      </c>
      <c r="F564" s="29" t="s">
        <v>1285</v>
      </c>
      <c r="G564" s="18">
        <v>808800</v>
      </c>
      <c r="H564" s="43">
        <v>0.11</v>
      </c>
      <c r="I564" s="38">
        <v>785303919.60000002</v>
      </c>
      <c r="J564" s="42">
        <f>'Sales Order'!H564+('Sales Order'!H564*0.11)+Invoice!G564</f>
        <v>785303919.60000002</v>
      </c>
      <c r="K564" s="41"/>
    </row>
    <row r="565" spans="1:11" ht="15.75" customHeight="1" x14ac:dyDescent="0.3">
      <c r="A565" s="40" t="s">
        <v>1844</v>
      </c>
      <c r="B565" s="40" t="s">
        <v>802</v>
      </c>
      <c r="C565" s="51" t="str">
        <f>VLOOKUP(B565,'Sales Order'!A$2:B$1029,1,0)</f>
        <v>SO0564</v>
      </c>
      <c r="D565" s="17" t="s">
        <v>1279</v>
      </c>
      <c r="E565" s="29" t="s">
        <v>2312</v>
      </c>
      <c r="F565" s="29" t="s">
        <v>1280</v>
      </c>
      <c r="G565" s="18">
        <v>32352</v>
      </c>
      <c r="H565" s="43">
        <v>0.11</v>
      </c>
      <c r="I565" s="38">
        <v>868769545.20000005</v>
      </c>
      <c r="J565" s="42">
        <f>'Sales Order'!H565+('Sales Order'!H565*0.11)+Invoice!G565</f>
        <v>868769545.20000005</v>
      </c>
      <c r="K565" s="41"/>
    </row>
    <row r="566" spans="1:11" ht="15.75" customHeight="1" x14ac:dyDescent="0.3">
      <c r="A566" s="40" t="s">
        <v>1845</v>
      </c>
      <c r="B566" s="40" t="s">
        <v>803</v>
      </c>
      <c r="C566" s="51" t="str">
        <f>VLOOKUP(B566,'Sales Order'!A$2:B$1029,1,0)</f>
        <v>SO0565</v>
      </c>
      <c r="D566" s="17" t="s">
        <v>1275</v>
      </c>
      <c r="E566" s="29" t="s">
        <v>143</v>
      </c>
      <c r="F566" s="29" t="s">
        <v>1285</v>
      </c>
      <c r="G566" s="32">
        <v>859350</v>
      </c>
      <c r="H566" s="43">
        <v>0.11</v>
      </c>
      <c r="I566" s="38">
        <v>332462781.30000001</v>
      </c>
      <c r="J566" s="42">
        <f>'Sales Order'!H566+('Sales Order'!H566*0.11)+Invoice!G566</f>
        <v>332462781.30000001</v>
      </c>
      <c r="K566" s="41"/>
    </row>
    <row r="567" spans="1:11" ht="15.75" customHeight="1" x14ac:dyDescent="0.3">
      <c r="A567" s="40" t="s">
        <v>1846</v>
      </c>
      <c r="B567" s="40" t="s">
        <v>804</v>
      </c>
      <c r="C567" s="51" t="str">
        <f>VLOOKUP(B567,'Sales Order'!A$2:B$1029,1,0)</f>
        <v>SO0566</v>
      </c>
      <c r="D567" s="17" t="s">
        <v>1279</v>
      </c>
      <c r="E567" s="29" t="s">
        <v>118</v>
      </c>
      <c r="F567" s="29" t="s">
        <v>1288</v>
      </c>
      <c r="G567" s="18">
        <v>8088</v>
      </c>
      <c r="H567" s="43">
        <v>0.11</v>
      </c>
      <c r="I567" s="38">
        <v>50628983.100000001</v>
      </c>
      <c r="J567" s="42">
        <f>'Sales Order'!H567+('Sales Order'!H567*0.11)+Invoice!G567</f>
        <v>50628983.100000001</v>
      </c>
      <c r="K567" s="41"/>
    </row>
    <row r="568" spans="1:11" ht="15.75" customHeight="1" x14ac:dyDescent="0.3">
      <c r="A568" s="40" t="s">
        <v>1847</v>
      </c>
      <c r="B568" s="40" t="s">
        <v>805</v>
      </c>
      <c r="C568" s="51" t="str">
        <f>VLOOKUP(B568,'Sales Order'!A$2:B$1029,1,0)</f>
        <v>SO0567</v>
      </c>
      <c r="D568" s="17" t="s">
        <v>1279</v>
      </c>
      <c r="E568" s="29" t="s">
        <v>118</v>
      </c>
      <c r="F568" s="29" t="s">
        <v>1285</v>
      </c>
      <c r="G568" s="18">
        <v>8088</v>
      </c>
      <c r="H568" s="43">
        <v>0.11</v>
      </c>
      <c r="I568" s="38">
        <v>854280060.89999998</v>
      </c>
      <c r="J568" s="42">
        <f>'Sales Order'!H568+('Sales Order'!H568*0.11)+Invoice!G568</f>
        <v>854280060.89999998</v>
      </c>
      <c r="K568" s="41"/>
    </row>
    <row r="569" spans="1:11" ht="15.75" customHeight="1" x14ac:dyDescent="0.3">
      <c r="A569" s="40" t="s">
        <v>1848</v>
      </c>
      <c r="B569" s="40" t="s">
        <v>806</v>
      </c>
      <c r="C569" s="51" t="str">
        <f>VLOOKUP(B569,'Sales Order'!A$2:B$1029,1,0)</f>
        <v>SO0568</v>
      </c>
      <c r="D569" s="17" t="s">
        <v>1279</v>
      </c>
      <c r="E569" s="29" t="s">
        <v>150</v>
      </c>
      <c r="F569" s="29" t="s">
        <v>1288</v>
      </c>
      <c r="G569" s="18">
        <v>32352</v>
      </c>
      <c r="H569" s="43">
        <v>0.11</v>
      </c>
      <c r="I569" s="38">
        <v>31113839.399999999</v>
      </c>
      <c r="J569" s="42">
        <f>'Sales Order'!H569+('Sales Order'!H569*0.11)+Invoice!G569</f>
        <v>31113839.399999999</v>
      </c>
      <c r="K569" s="41"/>
    </row>
    <row r="570" spans="1:11" ht="15.75" customHeight="1" x14ac:dyDescent="0.3">
      <c r="A570" s="40" t="s">
        <v>1849</v>
      </c>
      <c r="B570" s="40" t="s">
        <v>807</v>
      </c>
      <c r="C570" s="51" t="str">
        <f>VLOOKUP(B570,'Sales Order'!A$2:B$1029,1,0)</f>
        <v>SO0569</v>
      </c>
      <c r="D570" s="17" t="s">
        <v>1275</v>
      </c>
      <c r="E570" s="29" t="s">
        <v>2316</v>
      </c>
      <c r="F570" s="29" t="s">
        <v>1288</v>
      </c>
      <c r="G570" s="18">
        <v>556050</v>
      </c>
      <c r="H570" s="43">
        <v>0.11</v>
      </c>
      <c r="I570" s="38">
        <v>80016787.5</v>
      </c>
      <c r="J570" s="42">
        <f>'Sales Order'!H570+('Sales Order'!H570*0.11)+Invoice!G570</f>
        <v>80016787.5</v>
      </c>
      <c r="K570" s="41"/>
    </row>
    <row r="571" spans="1:11" ht="15.75" customHeight="1" x14ac:dyDescent="0.3">
      <c r="A571" s="40" t="s">
        <v>1850</v>
      </c>
      <c r="B571" s="40" t="s">
        <v>808</v>
      </c>
      <c r="C571" s="51" t="str">
        <f>VLOOKUP(B571,'Sales Order'!A$2:B$1029,1,0)</f>
        <v>SO0570</v>
      </c>
      <c r="D571" s="17" t="s">
        <v>1279</v>
      </c>
      <c r="E571" s="29" t="s">
        <v>118</v>
      </c>
      <c r="F571" s="29" t="s">
        <v>1280</v>
      </c>
      <c r="G571" s="18">
        <v>8088</v>
      </c>
      <c r="H571" s="43">
        <v>0.11</v>
      </c>
      <c r="I571" s="38">
        <v>850381740.89999998</v>
      </c>
      <c r="J571" s="42">
        <f>'Sales Order'!H571+('Sales Order'!H571*0.11)+Invoice!G571</f>
        <v>850381740.89999998</v>
      </c>
      <c r="K571" s="41"/>
    </row>
    <row r="572" spans="1:11" ht="15.75" customHeight="1" x14ac:dyDescent="0.3">
      <c r="A572" s="40" t="s">
        <v>1851</v>
      </c>
      <c r="B572" s="40" t="s">
        <v>809</v>
      </c>
      <c r="C572" s="51" t="str">
        <f>VLOOKUP(B572,'Sales Order'!A$2:B$1029,1,0)</f>
        <v>SO0571</v>
      </c>
      <c r="D572" s="17" t="s">
        <v>1275</v>
      </c>
      <c r="E572" s="29" t="s">
        <v>143</v>
      </c>
      <c r="F572" s="29" t="s">
        <v>1295</v>
      </c>
      <c r="G572" s="32">
        <v>859350</v>
      </c>
      <c r="H572" s="43">
        <v>0.11</v>
      </c>
      <c r="I572" s="38">
        <v>264452415.30000001</v>
      </c>
      <c r="J572" s="42">
        <f>'Sales Order'!H572+('Sales Order'!H572*0.11)+Invoice!G572</f>
        <v>264452415.30000001</v>
      </c>
      <c r="K572" s="41"/>
    </row>
    <row r="573" spans="1:11" ht="15.75" customHeight="1" x14ac:dyDescent="0.3">
      <c r="A573" s="40" t="s">
        <v>1852</v>
      </c>
      <c r="B573" s="40" t="s">
        <v>810</v>
      </c>
      <c r="C573" s="51" t="str">
        <f>VLOOKUP(B573,'Sales Order'!A$2:B$1029,1,0)</f>
        <v>SO0572</v>
      </c>
      <c r="D573" s="17" t="s">
        <v>1275</v>
      </c>
      <c r="E573" s="29" t="s">
        <v>2318</v>
      </c>
      <c r="F573" s="29" t="s">
        <v>1288</v>
      </c>
      <c r="G573" s="32">
        <v>859350</v>
      </c>
      <c r="H573" s="43">
        <v>0.11</v>
      </c>
      <c r="I573" s="38">
        <v>32455355.699999999</v>
      </c>
      <c r="J573" s="42">
        <f>'Sales Order'!H573+('Sales Order'!H573*0.11)+Invoice!G573</f>
        <v>32455355.699999999</v>
      </c>
      <c r="K573" s="41"/>
    </row>
    <row r="574" spans="1:11" ht="15.75" customHeight="1" x14ac:dyDescent="0.3">
      <c r="A574" s="40" t="s">
        <v>1853</v>
      </c>
      <c r="B574" s="40" t="s">
        <v>811</v>
      </c>
      <c r="C574" s="51" t="str">
        <f>VLOOKUP(B574,'Sales Order'!A$2:B$1029,1,0)</f>
        <v>SO0573</v>
      </c>
      <c r="D574" s="17" t="s">
        <v>1275</v>
      </c>
      <c r="E574" s="29" t="s">
        <v>2313</v>
      </c>
      <c r="F574" s="29" t="s">
        <v>1285</v>
      </c>
      <c r="G574" s="18">
        <v>808800</v>
      </c>
      <c r="H574" s="43">
        <v>0.11</v>
      </c>
      <c r="I574" s="38">
        <v>649738287.60000002</v>
      </c>
      <c r="J574" s="42">
        <f>'Sales Order'!H574+('Sales Order'!H574*0.11)+Invoice!G574</f>
        <v>649738287.60000002</v>
      </c>
      <c r="K574" s="41"/>
    </row>
    <row r="575" spans="1:11" ht="15.75" customHeight="1" x14ac:dyDescent="0.3">
      <c r="A575" s="40" t="s">
        <v>1854</v>
      </c>
      <c r="B575" s="40" t="s">
        <v>812</v>
      </c>
      <c r="C575" s="51" t="str">
        <f>VLOOKUP(B575,'Sales Order'!A$2:B$1029,1,0)</f>
        <v>SO0574</v>
      </c>
      <c r="D575" s="17" t="s">
        <v>1279</v>
      </c>
      <c r="E575" s="29" t="s">
        <v>118</v>
      </c>
      <c r="F575" s="29" t="s">
        <v>1280</v>
      </c>
      <c r="G575" s="18">
        <v>8088</v>
      </c>
      <c r="H575" s="43">
        <v>0.11</v>
      </c>
      <c r="I575" s="38">
        <v>358517808.30000001</v>
      </c>
      <c r="J575" s="42">
        <f>'Sales Order'!H575+('Sales Order'!H575*0.11)+Invoice!G575</f>
        <v>358517808.30000001</v>
      </c>
      <c r="K575" s="41"/>
    </row>
    <row r="576" spans="1:11" ht="15.75" customHeight="1" x14ac:dyDescent="0.3">
      <c r="A576" s="40" t="s">
        <v>1855</v>
      </c>
      <c r="B576" s="40" t="s">
        <v>813</v>
      </c>
      <c r="C576" s="51" t="str">
        <f>VLOOKUP(B576,'Sales Order'!A$2:B$1029,1,0)</f>
        <v>SO0575</v>
      </c>
      <c r="D576" s="17" t="s">
        <v>1279</v>
      </c>
      <c r="E576" s="29" t="s">
        <v>2312</v>
      </c>
      <c r="F576" s="29" t="s">
        <v>1276</v>
      </c>
      <c r="G576" s="18">
        <v>32352</v>
      </c>
      <c r="H576" s="43">
        <v>0.11</v>
      </c>
      <c r="I576" s="38">
        <v>81284352</v>
      </c>
      <c r="J576" s="42">
        <f>'Sales Order'!H576+('Sales Order'!H576*0.11)+Invoice!G576</f>
        <v>81284352</v>
      </c>
      <c r="K576" s="41"/>
    </row>
    <row r="577" spans="1:11" ht="15.75" customHeight="1" x14ac:dyDescent="0.3">
      <c r="A577" s="40" t="s">
        <v>1856</v>
      </c>
      <c r="B577" s="40" t="s">
        <v>814</v>
      </c>
      <c r="C577" s="51" t="str">
        <f>VLOOKUP(B577,'Sales Order'!A$2:B$1029,1,0)</f>
        <v>SO0576</v>
      </c>
      <c r="D577" s="17" t="s">
        <v>1275</v>
      </c>
      <c r="E577" s="29" t="s">
        <v>143</v>
      </c>
      <c r="F577" s="29" t="s">
        <v>1288</v>
      </c>
      <c r="G577" s="32">
        <v>859350</v>
      </c>
      <c r="H577" s="43">
        <v>0.11</v>
      </c>
      <c r="I577" s="38">
        <v>74826919.5</v>
      </c>
      <c r="J577" s="42">
        <f>'Sales Order'!H577+('Sales Order'!H577*0.11)+Invoice!G577</f>
        <v>74826919.5</v>
      </c>
      <c r="K577" s="41"/>
    </row>
    <row r="578" spans="1:11" ht="15.75" customHeight="1" x14ac:dyDescent="0.3">
      <c r="A578" s="40" t="s">
        <v>1857</v>
      </c>
      <c r="B578" s="40" t="s">
        <v>815</v>
      </c>
      <c r="C578" s="51" t="str">
        <f>VLOOKUP(B578,'Sales Order'!A$2:B$1029,1,0)</f>
        <v>SO0577</v>
      </c>
      <c r="D578" s="17" t="s">
        <v>1275</v>
      </c>
      <c r="E578" s="29" t="s">
        <v>2318</v>
      </c>
      <c r="F578" s="29" t="s">
        <v>1285</v>
      </c>
      <c r="G578" s="32">
        <v>859350</v>
      </c>
      <c r="H578" s="43">
        <v>0.11</v>
      </c>
      <c r="I578" s="38">
        <v>715144283.39999998</v>
      </c>
      <c r="J578" s="42">
        <f>'Sales Order'!H578+('Sales Order'!H578*0.11)+Invoice!G578</f>
        <v>715144283.39999998</v>
      </c>
      <c r="K578" s="41"/>
    </row>
    <row r="579" spans="1:11" ht="15.75" customHeight="1" x14ac:dyDescent="0.3">
      <c r="A579" s="40" t="s">
        <v>1858</v>
      </c>
      <c r="B579" s="40" t="s">
        <v>816</v>
      </c>
      <c r="C579" s="51" t="str">
        <f>VLOOKUP(B579,'Sales Order'!A$2:B$1029,1,0)</f>
        <v>SO0578</v>
      </c>
      <c r="D579" s="17" t="s">
        <v>1275</v>
      </c>
      <c r="E579" s="29" t="s">
        <v>2313</v>
      </c>
      <c r="F579" s="29" t="s">
        <v>1280</v>
      </c>
      <c r="G579" s="18">
        <v>808800</v>
      </c>
      <c r="H579" s="43">
        <v>0.11</v>
      </c>
      <c r="I579" s="38">
        <v>424436594.81999999</v>
      </c>
      <c r="J579" s="42">
        <f>'Sales Order'!H579+('Sales Order'!H579*0.11)+Invoice!G579</f>
        <v>424436594.81999999</v>
      </c>
      <c r="K579" s="41"/>
    </row>
    <row r="580" spans="1:11" ht="15.75" customHeight="1" x14ac:dyDescent="0.3">
      <c r="A580" s="40" t="s">
        <v>1859</v>
      </c>
      <c r="B580" s="40" t="s">
        <v>817</v>
      </c>
      <c r="C580" s="51" t="str">
        <f>VLOOKUP(B580,'Sales Order'!A$2:B$1029,1,0)</f>
        <v>SO0579</v>
      </c>
      <c r="D580" s="17" t="s">
        <v>1275</v>
      </c>
      <c r="E580" s="29" t="s">
        <v>2313</v>
      </c>
      <c r="F580" s="29" t="s">
        <v>1295</v>
      </c>
      <c r="G580" s="18">
        <v>808800</v>
      </c>
      <c r="H580" s="43">
        <v>0.11</v>
      </c>
      <c r="I580" s="38">
        <v>485232347.10000002</v>
      </c>
      <c r="J580" s="42">
        <f>'Sales Order'!H580+('Sales Order'!H580*0.11)+Invoice!G580</f>
        <v>485232347.10000002</v>
      </c>
      <c r="K580" s="41"/>
    </row>
    <row r="581" spans="1:11" ht="15.75" customHeight="1" x14ac:dyDescent="0.3">
      <c r="A581" s="40" t="s">
        <v>1860</v>
      </c>
      <c r="B581" s="40" t="s">
        <v>818</v>
      </c>
      <c r="C581" s="51" t="str">
        <f>VLOOKUP(B581,'Sales Order'!A$2:B$1029,1,0)</f>
        <v>SO0580</v>
      </c>
      <c r="D581" s="17" t="s">
        <v>1275</v>
      </c>
      <c r="E581" s="29" t="s">
        <v>2318</v>
      </c>
      <c r="F581" s="29" t="s">
        <v>1288</v>
      </c>
      <c r="G581" s="32">
        <v>859350</v>
      </c>
      <c r="H581" s="43">
        <v>0.11</v>
      </c>
      <c r="I581" s="38">
        <v>14442353.4</v>
      </c>
      <c r="J581" s="42">
        <f>'Sales Order'!H581+('Sales Order'!H581*0.11)+Invoice!G581</f>
        <v>14442353.4</v>
      </c>
      <c r="K581" s="41"/>
    </row>
    <row r="582" spans="1:11" ht="15.75" customHeight="1" x14ac:dyDescent="0.3">
      <c r="A582" s="40" t="s">
        <v>1861</v>
      </c>
      <c r="B582" s="40" t="s">
        <v>819</v>
      </c>
      <c r="C582" s="51" t="str">
        <f>VLOOKUP(B582,'Sales Order'!A$2:B$1029,1,0)</f>
        <v>SO0581</v>
      </c>
      <c r="D582" s="17" t="s">
        <v>1279</v>
      </c>
      <c r="E582" s="29" t="s">
        <v>118</v>
      </c>
      <c r="F582" s="29" t="s">
        <v>1276</v>
      </c>
      <c r="G582" s="18">
        <v>8088</v>
      </c>
      <c r="H582" s="43">
        <v>0.11</v>
      </c>
      <c r="I582" s="38">
        <v>36145417.829999998</v>
      </c>
      <c r="J582" s="42">
        <f>'Sales Order'!H582+('Sales Order'!H582*0.11)+Invoice!G582</f>
        <v>36145417.829999998</v>
      </c>
      <c r="K582" s="41"/>
    </row>
    <row r="583" spans="1:11" ht="15.75" customHeight="1" x14ac:dyDescent="0.3">
      <c r="A583" s="40" t="s">
        <v>1862</v>
      </c>
      <c r="B583" s="40" t="s">
        <v>820</v>
      </c>
      <c r="C583" s="51" t="str">
        <f>VLOOKUP(B583,'Sales Order'!A$2:B$1029,1,0)</f>
        <v>SO0582</v>
      </c>
      <c r="D583" s="17" t="s">
        <v>1279</v>
      </c>
      <c r="E583" s="29" t="s">
        <v>118</v>
      </c>
      <c r="F583" s="29" t="s">
        <v>1288</v>
      </c>
      <c r="G583" s="18">
        <v>8088</v>
      </c>
      <c r="H583" s="43">
        <v>0.11</v>
      </c>
      <c r="I583" s="38">
        <v>247803389.09999999</v>
      </c>
      <c r="J583" s="42">
        <f>'Sales Order'!H583+('Sales Order'!H583*0.11)+Invoice!G583</f>
        <v>247803389.09999999</v>
      </c>
      <c r="K583" s="41"/>
    </row>
    <row r="584" spans="1:11" ht="15.75" customHeight="1" x14ac:dyDescent="0.3">
      <c r="A584" s="40" t="s">
        <v>1863</v>
      </c>
      <c r="B584" s="40" t="s">
        <v>821</v>
      </c>
      <c r="C584" s="51" t="str">
        <f>VLOOKUP(B584,'Sales Order'!A$2:B$1029,1,0)</f>
        <v>SO0583</v>
      </c>
      <c r="D584" s="17" t="s">
        <v>1279</v>
      </c>
      <c r="E584" s="29" t="s">
        <v>2312</v>
      </c>
      <c r="F584" s="29" t="s">
        <v>1288</v>
      </c>
      <c r="G584" s="18">
        <v>32352</v>
      </c>
      <c r="H584" s="43">
        <v>0.11</v>
      </c>
      <c r="I584" s="38">
        <v>35428120.800000004</v>
      </c>
      <c r="J584" s="42">
        <f>'Sales Order'!H584+('Sales Order'!H584*0.11)+Invoice!G584</f>
        <v>35428120.800000004</v>
      </c>
      <c r="K584" s="41"/>
    </row>
    <row r="585" spans="1:11" ht="15.75" customHeight="1" x14ac:dyDescent="0.3">
      <c r="A585" s="40" t="s">
        <v>1864</v>
      </c>
      <c r="B585" s="40" t="s">
        <v>822</v>
      </c>
      <c r="C585" s="51" t="str">
        <f>VLOOKUP(B585,'Sales Order'!A$2:B$1029,1,0)</f>
        <v>SO0584</v>
      </c>
      <c r="D585" s="17" t="s">
        <v>1279</v>
      </c>
      <c r="E585" s="29" t="s">
        <v>2312</v>
      </c>
      <c r="F585" s="29" t="s">
        <v>1288</v>
      </c>
      <c r="G585" s="18">
        <v>32352</v>
      </c>
      <c r="H585" s="43">
        <v>0.11</v>
      </c>
      <c r="I585" s="38">
        <v>14224978.5</v>
      </c>
      <c r="J585" s="42">
        <f>'Sales Order'!H585+('Sales Order'!H585*0.11)+Invoice!G585</f>
        <v>14224978.5</v>
      </c>
      <c r="K585" s="41"/>
    </row>
    <row r="586" spans="1:11" ht="15.75" customHeight="1" x14ac:dyDescent="0.3">
      <c r="A586" s="40" t="s">
        <v>1865</v>
      </c>
      <c r="B586" s="40" t="s">
        <v>823</v>
      </c>
      <c r="C586" s="51" t="str">
        <f>VLOOKUP(B586,'Sales Order'!A$2:B$1029,1,0)</f>
        <v>SO0585</v>
      </c>
      <c r="D586" s="17" t="s">
        <v>1275</v>
      </c>
      <c r="E586" s="29" t="s">
        <v>2316</v>
      </c>
      <c r="F586" s="29" t="s">
        <v>1276</v>
      </c>
      <c r="G586" s="18">
        <v>556050</v>
      </c>
      <c r="H586" s="43">
        <v>0.11</v>
      </c>
      <c r="I586" s="38">
        <v>133417278</v>
      </c>
      <c r="J586" s="42">
        <f>'Sales Order'!H586+('Sales Order'!H586*0.11)+Invoice!G586</f>
        <v>133417278</v>
      </c>
      <c r="K586" s="41"/>
    </row>
    <row r="587" spans="1:11" ht="15.75" customHeight="1" x14ac:dyDescent="0.3">
      <c r="A587" s="40" t="s">
        <v>1866</v>
      </c>
      <c r="B587" s="40" t="s">
        <v>824</v>
      </c>
      <c r="C587" s="51" t="str">
        <f>VLOOKUP(B587,'Sales Order'!A$2:B$1029,1,0)</f>
        <v>SO0586</v>
      </c>
      <c r="D587" s="17" t="s">
        <v>1275</v>
      </c>
      <c r="E587" s="29" t="s">
        <v>2318</v>
      </c>
      <c r="F587" s="29" t="s">
        <v>1288</v>
      </c>
      <c r="G587" s="32">
        <v>859350</v>
      </c>
      <c r="H587" s="43">
        <v>0.11</v>
      </c>
      <c r="I587" s="38">
        <v>19615508.399999999</v>
      </c>
      <c r="J587" s="42">
        <f>'Sales Order'!H587+('Sales Order'!H587*0.11)+Invoice!G587</f>
        <v>19615508.399999999</v>
      </c>
      <c r="K587" s="41"/>
    </row>
    <row r="588" spans="1:11" ht="15.75" customHeight="1" x14ac:dyDescent="0.3">
      <c r="A588" s="40" t="s">
        <v>1867</v>
      </c>
      <c r="B588" s="40" t="s">
        <v>825</v>
      </c>
      <c r="C588" s="51" t="str">
        <f>VLOOKUP(B588,'Sales Order'!A$2:B$1029,1,0)</f>
        <v>SO0587</v>
      </c>
      <c r="D588" s="17" t="s">
        <v>1275</v>
      </c>
      <c r="E588" s="29" t="s">
        <v>2318</v>
      </c>
      <c r="F588" s="29" t="s">
        <v>1295</v>
      </c>
      <c r="G588" s="32">
        <v>859350</v>
      </c>
      <c r="H588" s="43">
        <v>0.11</v>
      </c>
      <c r="I588" s="38">
        <v>293336979.60000002</v>
      </c>
      <c r="J588" s="42">
        <f>'Sales Order'!H588+('Sales Order'!H588*0.11)+Invoice!G588</f>
        <v>293336979.60000002</v>
      </c>
      <c r="K588" s="41"/>
    </row>
    <row r="589" spans="1:11" ht="15.75" customHeight="1" x14ac:dyDescent="0.3">
      <c r="A589" s="40" t="s">
        <v>1868</v>
      </c>
      <c r="B589" s="40" t="s">
        <v>826</v>
      </c>
      <c r="C589" s="51" t="str">
        <f>VLOOKUP(B589,'Sales Order'!A$2:B$1029,1,0)</f>
        <v>SO0588</v>
      </c>
      <c r="D589" s="17" t="s">
        <v>1275</v>
      </c>
      <c r="E589" s="29" t="s">
        <v>2319</v>
      </c>
      <c r="F589" s="29" t="s">
        <v>1276</v>
      </c>
      <c r="G589" s="18">
        <v>353850</v>
      </c>
      <c r="H589" s="43">
        <v>0.11</v>
      </c>
      <c r="I589" s="38">
        <v>157741438.19999999</v>
      </c>
      <c r="J589" s="42">
        <f>'Sales Order'!H589+('Sales Order'!H589*0.11)+Invoice!G589</f>
        <v>157741438.19999999</v>
      </c>
      <c r="K589" s="41"/>
    </row>
    <row r="590" spans="1:11" ht="15.75" customHeight="1" x14ac:dyDescent="0.3">
      <c r="A590" s="40" t="s">
        <v>1869</v>
      </c>
      <c r="B590" s="40" t="s">
        <v>827</v>
      </c>
      <c r="C590" s="51" t="str">
        <f>VLOOKUP(B590,'Sales Order'!A$2:B$1029,1,0)</f>
        <v>SO0589</v>
      </c>
      <c r="D590" s="17" t="s">
        <v>1275</v>
      </c>
      <c r="E590" s="29" t="s">
        <v>2318</v>
      </c>
      <c r="F590" s="29" t="s">
        <v>1276</v>
      </c>
      <c r="G590" s="32">
        <v>859350</v>
      </c>
      <c r="H590" s="43">
        <v>0.11</v>
      </c>
      <c r="I590" s="38">
        <v>82876561.799999997</v>
      </c>
      <c r="J590" s="42">
        <f>'Sales Order'!H590+('Sales Order'!H590*0.11)+Invoice!G590</f>
        <v>82876561.799999997</v>
      </c>
      <c r="K590" s="41"/>
    </row>
    <row r="591" spans="1:11" ht="15.75" customHeight="1" x14ac:dyDescent="0.3">
      <c r="A591" s="40" t="s">
        <v>1870</v>
      </c>
      <c r="B591" s="40" t="s">
        <v>828</v>
      </c>
      <c r="C591" s="51" t="str">
        <f>VLOOKUP(B591,'Sales Order'!A$2:B$1029,1,0)</f>
        <v>SO0590</v>
      </c>
      <c r="D591" s="17" t="s">
        <v>1275</v>
      </c>
      <c r="E591" s="29" t="s">
        <v>2315</v>
      </c>
      <c r="F591" s="29" t="s">
        <v>1276</v>
      </c>
      <c r="G591" s="18">
        <v>556050</v>
      </c>
      <c r="H591" s="43">
        <v>0.11</v>
      </c>
      <c r="I591" s="38">
        <v>107798717.76000001</v>
      </c>
      <c r="J591" s="42">
        <f>'Sales Order'!H591+('Sales Order'!H591*0.11)+Invoice!G591</f>
        <v>107798717.76000001</v>
      </c>
      <c r="K591" s="41"/>
    </row>
    <row r="592" spans="1:11" ht="15.75" customHeight="1" x14ac:dyDescent="0.3">
      <c r="A592" s="40" t="s">
        <v>1871</v>
      </c>
      <c r="B592" s="40" t="s">
        <v>829</v>
      </c>
      <c r="C592" s="51" t="str">
        <f>VLOOKUP(B592,'Sales Order'!A$2:B$1029,1,0)</f>
        <v>SO0591</v>
      </c>
      <c r="D592" s="17" t="s">
        <v>1275</v>
      </c>
      <c r="E592" s="29" t="s">
        <v>2314</v>
      </c>
      <c r="F592" s="29" t="s">
        <v>1288</v>
      </c>
      <c r="G592" s="18">
        <v>808800</v>
      </c>
      <c r="H592" s="43">
        <v>0.11</v>
      </c>
      <c r="I592" s="38">
        <v>20063970</v>
      </c>
      <c r="J592" s="42">
        <f>'Sales Order'!H592+('Sales Order'!H592*0.11)+Invoice!G592</f>
        <v>20063970</v>
      </c>
      <c r="K592" s="41"/>
    </row>
    <row r="593" spans="1:11" ht="15.75" customHeight="1" x14ac:dyDescent="0.3">
      <c r="A593" s="40" t="s">
        <v>1872</v>
      </c>
      <c r="B593" s="40" t="s">
        <v>830</v>
      </c>
      <c r="C593" s="51" t="str">
        <f>VLOOKUP(B593,'Sales Order'!A$2:B$1029,1,0)</f>
        <v>SO0592</v>
      </c>
      <c r="D593" s="17" t="s">
        <v>1275</v>
      </c>
      <c r="E593" s="29" t="s">
        <v>2313</v>
      </c>
      <c r="F593" s="29" t="s">
        <v>1280</v>
      </c>
      <c r="G593" s="18">
        <v>808800</v>
      </c>
      <c r="H593" s="43">
        <v>0.11</v>
      </c>
      <c r="I593" s="38">
        <v>299315427.89999998</v>
      </c>
      <c r="J593" s="42">
        <f>'Sales Order'!H593+('Sales Order'!H593*0.11)+Invoice!G593</f>
        <v>299315427.89999998</v>
      </c>
      <c r="K593" s="41"/>
    </row>
    <row r="594" spans="1:11" ht="15.75" customHeight="1" x14ac:dyDescent="0.3">
      <c r="A594" s="40" t="s">
        <v>1873</v>
      </c>
      <c r="B594" s="40" t="s">
        <v>831</v>
      </c>
      <c r="C594" s="51" t="str">
        <f>VLOOKUP(B594,'Sales Order'!A$2:B$1029,1,0)</f>
        <v>SO0593</v>
      </c>
      <c r="D594" s="17" t="s">
        <v>1275</v>
      </c>
      <c r="E594" s="29" t="s">
        <v>170</v>
      </c>
      <c r="F594" s="29" t="s">
        <v>1288</v>
      </c>
      <c r="G594" s="32">
        <v>859350</v>
      </c>
      <c r="H594" s="43">
        <v>0.11</v>
      </c>
      <c r="I594" s="38">
        <v>73220194.5</v>
      </c>
      <c r="J594" s="42">
        <f>'Sales Order'!H594+('Sales Order'!H594*0.11)+Invoice!G594</f>
        <v>73220194.5</v>
      </c>
      <c r="K594" s="41"/>
    </row>
    <row r="595" spans="1:11" ht="15.75" customHeight="1" x14ac:dyDescent="0.3">
      <c r="A595" s="40" t="s">
        <v>1874</v>
      </c>
      <c r="B595" s="40" t="s">
        <v>832</v>
      </c>
      <c r="C595" s="51" t="str">
        <f>VLOOKUP(B595,'Sales Order'!A$2:B$1029,1,0)</f>
        <v>SO0594</v>
      </c>
      <c r="D595" s="17" t="s">
        <v>1275</v>
      </c>
      <c r="E595" s="29" t="s">
        <v>170</v>
      </c>
      <c r="F595" s="29" t="s">
        <v>1288</v>
      </c>
      <c r="G595" s="32">
        <v>859350</v>
      </c>
      <c r="H595" s="43">
        <v>0.11</v>
      </c>
      <c r="I595" s="38">
        <v>31998945.899999999</v>
      </c>
      <c r="J595" s="42">
        <f>'Sales Order'!H595+('Sales Order'!H595*0.11)+Invoice!G595</f>
        <v>31998945.899999999</v>
      </c>
      <c r="K595" s="41"/>
    </row>
    <row r="596" spans="1:11" ht="15.75" customHeight="1" x14ac:dyDescent="0.3">
      <c r="A596" s="40" t="s">
        <v>1875</v>
      </c>
      <c r="B596" s="40" t="s">
        <v>833</v>
      </c>
      <c r="C596" s="51" t="str">
        <f>VLOOKUP(B596,'Sales Order'!A$2:B$1029,1,0)</f>
        <v>SO0595</v>
      </c>
      <c r="D596" s="17" t="s">
        <v>1279</v>
      </c>
      <c r="E596" s="29" t="s">
        <v>118</v>
      </c>
      <c r="F596" s="29" t="s">
        <v>1276</v>
      </c>
      <c r="G596" s="18">
        <v>8088</v>
      </c>
      <c r="H596" s="43">
        <v>0.11</v>
      </c>
      <c r="I596" s="38">
        <v>169048700.40000001</v>
      </c>
      <c r="J596" s="42">
        <f>'Sales Order'!H596+('Sales Order'!H596*0.11)+Invoice!G596</f>
        <v>169048700.40000001</v>
      </c>
      <c r="K596" s="41"/>
    </row>
    <row r="597" spans="1:11" ht="15.75" customHeight="1" x14ac:dyDescent="0.3">
      <c r="A597" s="40" t="s">
        <v>1876</v>
      </c>
      <c r="B597" s="40" t="s">
        <v>834</v>
      </c>
      <c r="C597" s="51" t="str">
        <f>VLOOKUP(B597,'Sales Order'!A$2:B$1029,1,0)</f>
        <v>SO0596</v>
      </c>
      <c r="D597" s="17" t="s">
        <v>1279</v>
      </c>
      <c r="E597" s="29" t="s">
        <v>2312</v>
      </c>
      <c r="F597" s="29" t="s">
        <v>1295</v>
      </c>
      <c r="G597" s="18">
        <v>32352</v>
      </c>
      <c r="H597" s="43">
        <v>0.11</v>
      </c>
      <c r="I597" s="38">
        <v>836025353.27999997</v>
      </c>
      <c r="J597" s="42">
        <f>'Sales Order'!H597+('Sales Order'!H597*0.11)+Invoice!G597</f>
        <v>836025353.27999997</v>
      </c>
      <c r="K597" s="41"/>
    </row>
    <row r="598" spans="1:11" ht="15.75" customHeight="1" x14ac:dyDescent="0.3">
      <c r="A598" s="40" t="s">
        <v>1877</v>
      </c>
      <c r="B598" s="40" t="s">
        <v>835</v>
      </c>
      <c r="C598" s="51" t="str">
        <f>VLOOKUP(B598,'Sales Order'!A$2:B$1029,1,0)</f>
        <v>SO0597</v>
      </c>
      <c r="D598" s="17" t="s">
        <v>1279</v>
      </c>
      <c r="E598" s="29" t="s">
        <v>2312</v>
      </c>
      <c r="F598" s="29" t="s">
        <v>1295</v>
      </c>
      <c r="G598" s="18">
        <v>32352</v>
      </c>
      <c r="H598" s="43">
        <v>0.11</v>
      </c>
      <c r="I598" s="38">
        <v>527811122.69999999</v>
      </c>
      <c r="J598" s="42">
        <f>'Sales Order'!H598+('Sales Order'!H598*0.11)+Invoice!G598</f>
        <v>527811122.69999999</v>
      </c>
      <c r="K598" s="41"/>
    </row>
    <row r="599" spans="1:11" ht="15.75" customHeight="1" x14ac:dyDescent="0.3">
      <c r="A599" s="40" t="s">
        <v>1878</v>
      </c>
      <c r="B599" s="40" t="s">
        <v>836</v>
      </c>
      <c r="C599" s="51" t="str">
        <f>VLOOKUP(B599,'Sales Order'!A$2:B$1029,1,0)</f>
        <v>SO0598</v>
      </c>
      <c r="D599" s="17" t="s">
        <v>1275</v>
      </c>
      <c r="E599" s="29" t="s">
        <v>2314</v>
      </c>
      <c r="F599" s="29" t="s">
        <v>1285</v>
      </c>
      <c r="G599" s="18">
        <v>808800</v>
      </c>
      <c r="H599" s="43">
        <v>0.11</v>
      </c>
      <c r="I599" s="38">
        <v>1006545745.2</v>
      </c>
      <c r="J599" s="42">
        <f>'Sales Order'!H599+('Sales Order'!H599*0.11)+Invoice!G599</f>
        <v>1006545745.2</v>
      </c>
      <c r="K599" s="41"/>
    </row>
    <row r="600" spans="1:11" ht="15.75" customHeight="1" x14ac:dyDescent="0.3">
      <c r="A600" s="40" t="s">
        <v>1879</v>
      </c>
      <c r="B600" s="40" t="s">
        <v>837</v>
      </c>
      <c r="C600" s="51" t="str">
        <f>VLOOKUP(B600,'Sales Order'!A$2:B$1029,1,0)</f>
        <v>SO0599</v>
      </c>
      <c r="D600" s="17" t="s">
        <v>1275</v>
      </c>
      <c r="E600" s="29" t="s">
        <v>2316</v>
      </c>
      <c r="F600" s="29" t="s">
        <v>1295</v>
      </c>
      <c r="G600" s="18">
        <v>556050</v>
      </c>
      <c r="H600" s="43">
        <v>0.11</v>
      </c>
      <c r="I600" s="38">
        <v>859986692.39999998</v>
      </c>
      <c r="J600" s="42">
        <f>'Sales Order'!H600+('Sales Order'!H600*0.11)+Invoice!G600</f>
        <v>859986692.39999998</v>
      </c>
      <c r="K600" s="41"/>
    </row>
    <row r="601" spans="1:11" ht="15.75" customHeight="1" x14ac:dyDescent="0.3">
      <c r="A601" s="40" t="s">
        <v>1880</v>
      </c>
      <c r="B601" s="40" t="s">
        <v>838</v>
      </c>
      <c r="C601" s="51" t="str">
        <f>VLOOKUP(B601,'Sales Order'!A$2:B$1029,1,0)</f>
        <v>SO0600</v>
      </c>
      <c r="D601" s="17" t="s">
        <v>1279</v>
      </c>
      <c r="E601" s="29" t="s">
        <v>150</v>
      </c>
      <c r="F601" s="29" t="s">
        <v>1288</v>
      </c>
      <c r="G601" s="18">
        <v>32352</v>
      </c>
      <c r="H601" s="43">
        <v>0.11</v>
      </c>
      <c r="I601" s="38">
        <v>36543060.299999997</v>
      </c>
      <c r="J601" s="42">
        <f>'Sales Order'!H601+('Sales Order'!H601*0.11)+Invoice!G601</f>
        <v>36543060.299999997</v>
      </c>
      <c r="K601" s="41"/>
    </row>
    <row r="602" spans="1:11" ht="15.75" customHeight="1" x14ac:dyDescent="0.3">
      <c r="A602" s="40" t="s">
        <v>1881</v>
      </c>
      <c r="B602" s="40" t="s">
        <v>839</v>
      </c>
      <c r="C602" s="51" t="str">
        <f>VLOOKUP(B602,'Sales Order'!A$2:B$1029,1,0)</f>
        <v>SO0601</v>
      </c>
      <c r="D602" s="17" t="s">
        <v>1275</v>
      </c>
      <c r="E602" s="29" t="s">
        <v>2314</v>
      </c>
      <c r="F602" s="29" t="s">
        <v>1276</v>
      </c>
      <c r="G602" s="18">
        <v>808800</v>
      </c>
      <c r="H602" s="43">
        <v>0.11</v>
      </c>
      <c r="I602" s="38">
        <v>57249769.200000003</v>
      </c>
      <c r="J602" s="42">
        <f>'Sales Order'!H602+('Sales Order'!H602*0.11)+Invoice!G602</f>
        <v>57249769.200000003</v>
      </c>
      <c r="K602" s="41"/>
    </row>
    <row r="603" spans="1:11" ht="15.75" customHeight="1" x14ac:dyDescent="0.3">
      <c r="A603" s="40" t="s">
        <v>1882</v>
      </c>
      <c r="B603" s="40" t="s">
        <v>840</v>
      </c>
      <c r="C603" s="51" t="str">
        <f>VLOOKUP(B603,'Sales Order'!A$2:B$1029,1,0)</f>
        <v>SO0602</v>
      </c>
      <c r="D603" s="17" t="s">
        <v>1279</v>
      </c>
      <c r="E603" s="29" t="s">
        <v>118</v>
      </c>
      <c r="F603" s="29" t="s">
        <v>1276</v>
      </c>
      <c r="G603" s="18">
        <v>8088</v>
      </c>
      <c r="H603" s="43">
        <v>0.11</v>
      </c>
      <c r="I603" s="38">
        <v>13282800</v>
      </c>
      <c r="J603" s="42">
        <f>'Sales Order'!H603+('Sales Order'!H603*0.11)+Invoice!G603</f>
        <v>13282800</v>
      </c>
      <c r="K603" s="41"/>
    </row>
    <row r="604" spans="1:11" ht="15.75" customHeight="1" x14ac:dyDescent="0.3">
      <c r="A604" s="40" t="s">
        <v>1883</v>
      </c>
      <c r="B604" s="40" t="s">
        <v>841</v>
      </c>
      <c r="C604" s="51" t="str">
        <f>VLOOKUP(B604,'Sales Order'!A$2:B$1029,1,0)</f>
        <v>SO0603</v>
      </c>
      <c r="D604" s="17" t="s">
        <v>1275</v>
      </c>
      <c r="E604" s="29" t="s">
        <v>2316</v>
      </c>
      <c r="F604" s="29" t="s">
        <v>1276</v>
      </c>
      <c r="G604" s="18">
        <v>556050</v>
      </c>
      <c r="H604" s="43">
        <v>0.11</v>
      </c>
      <c r="I604" s="38">
        <v>209067762.90000001</v>
      </c>
      <c r="J604" s="42">
        <f>'Sales Order'!H604+('Sales Order'!H604*0.11)+Invoice!G604</f>
        <v>209067762.90000001</v>
      </c>
      <c r="K604" s="41"/>
    </row>
    <row r="605" spans="1:11" ht="15.75" customHeight="1" x14ac:dyDescent="0.3">
      <c r="A605" s="40" t="s">
        <v>1884</v>
      </c>
      <c r="B605" s="40" t="s">
        <v>842</v>
      </c>
      <c r="C605" s="51" t="str">
        <f>VLOOKUP(B605,'Sales Order'!A$2:B$1029,1,0)</f>
        <v>SO0604</v>
      </c>
      <c r="D605" s="17" t="s">
        <v>1275</v>
      </c>
      <c r="E605" s="29" t="s">
        <v>2314</v>
      </c>
      <c r="F605" s="29" t="s">
        <v>1285</v>
      </c>
      <c r="G605" s="18">
        <v>808800</v>
      </c>
      <c r="H605" s="43">
        <v>0.11</v>
      </c>
      <c r="I605" s="38">
        <v>459512170.80000001</v>
      </c>
      <c r="J605" s="42">
        <f>'Sales Order'!H605+('Sales Order'!H605*0.11)+Invoice!G605</f>
        <v>459512170.80000001</v>
      </c>
      <c r="K605" s="41"/>
    </row>
    <row r="606" spans="1:11" ht="15.75" customHeight="1" x14ac:dyDescent="0.3">
      <c r="A606" s="40" t="s">
        <v>1885</v>
      </c>
      <c r="B606" s="40" t="s">
        <v>843</v>
      </c>
      <c r="C606" s="51" t="str">
        <f>VLOOKUP(B606,'Sales Order'!A$2:B$1029,1,0)</f>
        <v>SO0605</v>
      </c>
      <c r="D606" s="17" t="s">
        <v>1275</v>
      </c>
      <c r="E606" s="29" t="s">
        <v>2318</v>
      </c>
      <c r="F606" s="29" t="s">
        <v>1295</v>
      </c>
      <c r="G606" s="32">
        <v>859350</v>
      </c>
      <c r="H606" s="43">
        <v>0.11</v>
      </c>
      <c r="I606" s="38">
        <v>322275933.89999998</v>
      </c>
      <c r="J606" s="42">
        <f>'Sales Order'!H606+('Sales Order'!H606*0.11)+Invoice!G606</f>
        <v>322275933.89999998</v>
      </c>
      <c r="K606" s="41"/>
    </row>
    <row r="607" spans="1:11" ht="15.75" customHeight="1" x14ac:dyDescent="0.3">
      <c r="A607" s="40" t="s">
        <v>1886</v>
      </c>
      <c r="B607" s="40" t="s">
        <v>844</v>
      </c>
      <c r="C607" s="51" t="str">
        <f>VLOOKUP(B607,'Sales Order'!A$2:B$1029,1,0)</f>
        <v>SO0606</v>
      </c>
      <c r="D607" s="17" t="s">
        <v>1279</v>
      </c>
      <c r="E607" s="29" t="s">
        <v>118</v>
      </c>
      <c r="F607" s="29" t="s">
        <v>1288</v>
      </c>
      <c r="G607" s="18">
        <v>8088</v>
      </c>
      <c r="H607" s="43">
        <v>0.11</v>
      </c>
      <c r="I607" s="38">
        <v>155802870.59999999</v>
      </c>
      <c r="J607" s="42">
        <f>'Sales Order'!H607+('Sales Order'!H607*0.11)+Invoice!G607</f>
        <v>155802870.59999999</v>
      </c>
      <c r="K607" s="41"/>
    </row>
    <row r="608" spans="1:11" ht="15.75" customHeight="1" x14ac:dyDescent="0.3">
      <c r="A608" s="40" t="s">
        <v>1887</v>
      </c>
      <c r="B608" s="40" t="s">
        <v>845</v>
      </c>
      <c r="C608" s="51" t="str">
        <f>VLOOKUP(B608,'Sales Order'!A$2:B$1029,1,0)</f>
        <v>SO0607</v>
      </c>
      <c r="D608" s="17" t="s">
        <v>1275</v>
      </c>
      <c r="E608" s="29" t="s">
        <v>143</v>
      </c>
      <c r="F608" s="29" t="s">
        <v>1295</v>
      </c>
      <c r="G608" s="32">
        <v>859350</v>
      </c>
      <c r="H608" s="43">
        <v>0.11</v>
      </c>
      <c r="I608" s="38">
        <v>774678911.39999998</v>
      </c>
      <c r="J608" s="42">
        <f>'Sales Order'!H608+('Sales Order'!H608*0.11)+Invoice!G608</f>
        <v>774678911.39999998</v>
      </c>
      <c r="K608" s="41"/>
    </row>
    <row r="609" spans="1:11" ht="15.75" customHeight="1" x14ac:dyDescent="0.3">
      <c r="A609" s="40" t="s">
        <v>1888</v>
      </c>
      <c r="B609" s="40" t="s">
        <v>846</v>
      </c>
      <c r="C609" s="51" t="str">
        <f>VLOOKUP(B609,'Sales Order'!A$2:B$1029,1,0)</f>
        <v>SO0608</v>
      </c>
      <c r="D609" s="17" t="s">
        <v>1279</v>
      </c>
      <c r="E609" s="29" t="s">
        <v>118</v>
      </c>
      <c r="F609" s="29" t="s">
        <v>1295</v>
      </c>
      <c r="G609" s="18">
        <v>8088</v>
      </c>
      <c r="H609" s="43">
        <v>0.11</v>
      </c>
      <c r="I609" s="38">
        <v>803137587.89999998</v>
      </c>
      <c r="J609" s="42">
        <f>'Sales Order'!H609+('Sales Order'!H609*0.11)+Invoice!G609</f>
        <v>803137587.89999998</v>
      </c>
      <c r="K609" s="41"/>
    </row>
    <row r="610" spans="1:11" ht="15.75" customHeight="1" x14ac:dyDescent="0.3">
      <c r="A610" s="40" t="s">
        <v>1889</v>
      </c>
      <c r="B610" s="40" t="s">
        <v>847</v>
      </c>
      <c r="C610" s="51" t="str">
        <f>VLOOKUP(B610,'Sales Order'!A$2:B$1029,1,0)</f>
        <v>SO0609</v>
      </c>
      <c r="D610" s="17" t="s">
        <v>1275</v>
      </c>
      <c r="E610" s="29" t="s">
        <v>2318</v>
      </c>
      <c r="F610" s="29" t="s">
        <v>1288</v>
      </c>
      <c r="G610" s="32">
        <v>859350</v>
      </c>
      <c r="H610" s="43">
        <v>0.11</v>
      </c>
      <c r="I610" s="38">
        <v>228042173.09999999</v>
      </c>
      <c r="J610" s="42">
        <f>'Sales Order'!H610+('Sales Order'!H610*0.11)+Invoice!G610</f>
        <v>228042173.09999999</v>
      </c>
      <c r="K610" s="41"/>
    </row>
    <row r="611" spans="1:11" ht="15.75" customHeight="1" x14ac:dyDescent="0.3">
      <c r="A611" s="40" t="s">
        <v>1890</v>
      </c>
      <c r="B611" s="40" t="s">
        <v>848</v>
      </c>
      <c r="C611" s="51" t="str">
        <f>VLOOKUP(B611,'Sales Order'!A$2:B$1029,1,0)</f>
        <v>SO0610</v>
      </c>
      <c r="D611" s="17" t="s">
        <v>1279</v>
      </c>
      <c r="E611" s="29" t="s">
        <v>150</v>
      </c>
      <c r="F611" s="29" t="s">
        <v>1276</v>
      </c>
      <c r="G611" s="18">
        <v>32352</v>
      </c>
      <c r="H611" s="43">
        <v>0.11</v>
      </c>
      <c r="I611" s="38">
        <v>105802198.5</v>
      </c>
      <c r="J611" s="42">
        <f>'Sales Order'!H611+('Sales Order'!H611*0.11)+Invoice!G611</f>
        <v>105802198.5</v>
      </c>
      <c r="K611" s="41"/>
    </row>
    <row r="612" spans="1:11" ht="15.75" customHeight="1" x14ac:dyDescent="0.3">
      <c r="A612" s="40" t="s">
        <v>1891</v>
      </c>
      <c r="B612" s="40" t="s">
        <v>849</v>
      </c>
      <c r="C612" s="51" t="str">
        <f>VLOOKUP(B612,'Sales Order'!A$2:B$1029,1,0)</f>
        <v>SO0611</v>
      </c>
      <c r="D612" s="17" t="s">
        <v>1275</v>
      </c>
      <c r="E612" s="29" t="s">
        <v>2315</v>
      </c>
      <c r="F612" s="29" t="s">
        <v>1295</v>
      </c>
      <c r="G612" s="18">
        <v>556050</v>
      </c>
      <c r="H612" s="43">
        <v>0.11</v>
      </c>
      <c r="I612" s="38">
        <v>610727490</v>
      </c>
      <c r="J612" s="42">
        <f>'Sales Order'!H612+('Sales Order'!H612*0.11)+Invoice!G612</f>
        <v>610727490</v>
      </c>
      <c r="K612" s="41"/>
    </row>
    <row r="613" spans="1:11" ht="15.75" customHeight="1" x14ac:dyDescent="0.3">
      <c r="A613" s="40" t="s">
        <v>1892</v>
      </c>
      <c r="B613" s="40" t="s">
        <v>850</v>
      </c>
      <c r="C613" s="51" t="str">
        <f>VLOOKUP(B613,'Sales Order'!A$2:B$1029,1,0)</f>
        <v>SO0612</v>
      </c>
      <c r="D613" s="17" t="s">
        <v>1275</v>
      </c>
      <c r="E613" s="29" t="s">
        <v>2314</v>
      </c>
      <c r="F613" s="29" t="s">
        <v>1288</v>
      </c>
      <c r="G613" s="18">
        <v>808800</v>
      </c>
      <c r="H613" s="43">
        <v>0.11</v>
      </c>
      <c r="I613" s="38">
        <v>59896504.259999998</v>
      </c>
      <c r="J613" s="42">
        <f>'Sales Order'!H613+('Sales Order'!H613*0.11)+Invoice!G613</f>
        <v>59896504.259999998</v>
      </c>
      <c r="K613" s="41"/>
    </row>
    <row r="614" spans="1:11" ht="15.75" customHeight="1" x14ac:dyDescent="0.3">
      <c r="A614" s="40" t="s">
        <v>1893</v>
      </c>
      <c r="B614" s="40" t="s">
        <v>851</v>
      </c>
      <c r="C614" s="51" t="str">
        <f>VLOOKUP(B614,'Sales Order'!A$2:B$1029,1,0)</f>
        <v>SO0613</v>
      </c>
      <c r="D614" s="17" t="s">
        <v>1279</v>
      </c>
      <c r="E614" s="29" t="s">
        <v>118</v>
      </c>
      <c r="F614" s="29" t="s">
        <v>1280</v>
      </c>
      <c r="G614" s="18">
        <v>8088</v>
      </c>
      <c r="H614" s="43">
        <v>0.11</v>
      </c>
      <c r="I614" s="38">
        <v>688262822.10000002</v>
      </c>
      <c r="J614" s="42">
        <f>'Sales Order'!H614+('Sales Order'!H614*0.11)+Invoice!G614</f>
        <v>688262822.10000002</v>
      </c>
      <c r="K614" s="41"/>
    </row>
    <row r="615" spans="1:11" ht="15.75" customHeight="1" x14ac:dyDescent="0.3">
      <c r="A615" s="40" t="s">
        <v>1894</v>
      </c>
      <c r="B615" s="40" t="s">
        <v>852</v>
      </c>
      <c r="C615" s="51" t="str">
        <f>VLOOKUP(B615,'Sales Order'!A$2:B$1029,1,0)</f>
        <v>SO0614</v>
      </c>
      <c r="D615" s="17" t="s">
        <v>1279</v>
      </c>
      <c r="E615" s="29" t="s">
        <v>2312</v>
      </c>
      <c r="F615" s="29" t="s">
        <v>1288</v>
      </c>
      <c r="G615" s="18">
        <v>32352</v>
      </c>
      <c r="H615" s="43">
        <v>0.11</v>
      </c>
      <c r="I615" s="38">
        <v>170800043.37</v>
      </c>
      <c r="J615" s="42">
        <f>'Sales Order'!H615+('Sales Order'!H615*0.11)+Invoice!G615</f>
        <v>170800043.37</v>
      </c>
      <c r="K615" s="41"/>
    </row>
    <row r="616" spans="1:11" ht="15.75" customHeight="1" x14ac:dyDescent="0.3">
      <c r="A616" s="40" t="s">
        <v>1895</v>
      </c>
      <c r="B616" s="40" t="s">
        <v>853</v>
      </c>
      <c r="C616" s="51" t="str">
        <f>VLOOKUP(B616,'Sales Order'!A$2:B$1029,1,0)</f>
        <v>SO0615</v>
      </c>
      <c r="D616" s="17" t="s">
        <v>1279</v>
      </c>
      <c r="E616" s="29" t="s">
        <v>118</v>
      </c>
      <c r="F616" s="29" t="s">
        <v>1288</v>
      </c>
      <c r="G616" s="18">
        <v>8088</v>
      </c>
      <c r="H616" s="43">
        <v>0.11</v>
      </c>
      <c r="I616" s="38">
        <v>86629047</v>
      </c>
      <c r="J616" s="42">
        <f>'Sales Order'!H616+('Sales Order'!H616*0.11)+Invoice!G616</f>
        <v>86629047</v>
      </c>
      <c r="K616" s="41"/>
    </row>
    <row r="617" spans="1:11" ht="15.75" customHeight="1" x14ac:dyDescent="0.3">
      <c r="A617" s="40" t="s">
        <v>1896</v>
      </c>
      <c r="B617" s="40" t="s">
        <v>854</v>
      </c>
      <c r="C617" s="51" t="str">
        <f>VLOOKUP(B617,'Sales Order'!A$2:B$1029,1,0)</f>
        <v>SO0616</v>
      </c>
      <c r="D617" s="17" t="s">
        <v>1275</v>
      </c>
      <c r="E617" s="29" t="s">
        <v>2315</v>
      </c>
      <c r="F617" s="29" t="s">
        <v>1276</v>
      </c>
      <c r="G617" s="18">
        <v>556050</v>
      </c>
      <c r="H617" s="43">
        <v>0.11</v>
      </c>
      <c r="I617" s="38">
        <v>183897192</v>
      </c>
      <c r="J617" s="42">
        <f>'Sales Order'!H617+('Sales Order'!H617*0.11)+Invoice!G617</f>
        <v>183897192</v>
      </c>
      <c r="K617" s="41"/>
    </row>
    <row r="618" spans="1:11" ht="15.75" customHeight="1" x14ac:dyDescent="0.3">
      <c r="A618" s="40" t="s">
        <v>1897</v>
      </c>
      <c r="B618" s="40" t="s">
        <v>855</v>
      </c>
      <c r="C618" s="51" t="str">
        <f>VLOOKUP(B618,'Sales Order'!A$2:B$1029,1,0)</f>
        <v>SO0617</v>
      </c>
      <c r="D618" s="17" t="s">
        <v>1275</v>
      </c>
      <c r="E618" s="29" t="s">
        <v>170</v>
      </c>
      <c r="F618" s="29" t="s">
        <v>1288</v>
      </c>
      <c r="G618" s="32">
        <v>859350</v>
      </c>
      <c r="H618" s="43">
        <v>0.11</v>
      </c>
      <c r="I618" s="38">
        <v>42875625</v>
      </c>
      <c r="J618" s="42">
        <f>'Sales Order'!H618+('Sales Order'!H618*0.11)+Invoice!G618</f>
        <v>42875625</v>
      </c>
      <c r="K618" s="41"/>
    </row>
    <row r="619" spans="1:11" ht="15.75" customHeight="1" x14ac:dyDescent="0.3">
      <c r="A619" s="40" t="s">
        <v>1898</v>
      </c>
      <c r="B619" s="40" t="s">
        <v>856</v>
      </c>
      <c r="C619" s="51" t="str">
        <f>VLOOKUP(B619,'Sales Order'!A$2:B$1029,1,0)</f>
        <v>SO0618</v>
      </c>
      <c r="D619" s="17" t="s">
        <v>1275</v>
      </c>
      <c r="E619" s="29" t="s">
        <v>2315</v>
      </c>
      <c r="F619" s="29" t="s">
        <v>1295</v>
      </c>
      <c r="G619" s="18">
        <v>556050</v>
      </c>
      <c r="H619" s="43">
        <v>0.11</v>
      </c>
      <c r="I619" s="38">
        <v>480513390</v>
      </c>
      <c r="J619" s="42">
        <f>'Sales Order'!H619+('Sales Order'!H619*0.11)+Invoice!G619</f>
        <v>480513390</v>
      </c>
      <c r="K619" s="41"/>
    </row>
    <row r="620" spans="1:11" ht="15.75" customHeight="1" x14ac:dyDescent="0.3">
      <c r="A620" s="40" t="s">
        <v>1899</v>
      </c>
      <c r="B620" s="40" t="s">
        <v>857</v>
      </c>
      <c r="C620" s="51" t="str">
        <f>VLOOKUP(B620,'Sales Order'!A$2:B$1029,1,0)</f>
        <v>SO0619</v>
      </c>
      <c r="D620" s="17" t="s">
        <v>1275</v>
      </c>
      <c r="E620" s="29" t="s">
        <v>2315</v>
      </c>
      <c r="F620" s="29" t="s">
        <v>1288</v>
      </c>
      <c r="G620" s="18">
        <v>556050</v>
      </c>
      <c r="H620" s="43">
        <v>0.11</v>
      </c>
      <c r="I620" s="38">
        <v>24514600.800000001</v>
      </c>
      <c r="J620" s="42">
        <f>'Sales Order'!H620+('Sales Order'!H620*0.11)+Invoice!G620</f>
        <v>24514600.800000001</v>
      </c>
      <c r="K620" s="41"/>
    </row>
    <row r="621" spans="1:11" ht="15.75" customHeight="1" x14ac:dyDescent="0.3">
      <c r="A621" s="40" t="s">
        <v>1900</v>
      </c>
      <c r="B621" s="40" t="s">
        <v>858</v>
      </c>
      <c r="C621" s="51" t="str">
        <f>VLOOKUP(B621,'Sales Order'!A$2:B$1029,1,0)</f>
        <v>SO0620</v>
      </c>
      <c r="D621" s="17" t="s">
        <v>1275</v>
      </c>
      <c r="E621" s="29" t="s">
        <v>143</v>
      </c>
      <c r="F621" s="29" t="s">
        <v>1276</v>
      </c>
      <c r="G621" s="32">
        <v>859350</v>
      </c>
      <c r="H621" s="43">
        <v>0.11</v>
      </c>
      <c r="I621" s="38">
        <v>34525927.5</v>
      </c>
      <c r="J621" s="42">
        <f>'Sales Order'!H621+('Sales Order'!H621*0.11)+Invoice!G621</f>
        <v>34525927.5</v>
      </c>
      <c r="K621" s="41"/>
    </row>
    <row r="622" spans="1:11" ht="15.75" customHeight="1" x14ac:dyDescent="0.3">
      <c r="A622" s="40" t="s">
        <v>1901</v>
      </c>
      <c r="B622" s="40" t="s">
        <v>859</v>
      </c>
      <c r="C622" s="51" t="str">
        <f>VLOOKUP(B622,'Sales Order'!A$2:B$1029,1,0)</f>
        <v>SO0621</v>
      </c>
      <c r="D622" s="17" t="s">
        <v>1275</v>
      </c>
      <c r="E622" s="29" t="s">
        <v>143</v>
      </c>
      <c r="F622" s="29" t="s">
        <v>1288</v>
      </c>
      <c r="G622" s="32">
        <v>859350</v>
      </c>
      <c r="H622" s="43">
        <v>0.11</v>
      </c>
      <c r="I622" s="38">
        <v>54407614.799999997</v>
      </c>
      <c r="J622" s="42">
        <f>'Sales Order'!H622+('Sales Order'!H622*0.11)+Invoice!G622</f>
        <v>54407614.799999997</v>
      </c>
      <c r="K622" s="41"/>
    </row>
    <row r="623" spans="1:11" ht="15.75" customHeight="1" x14ac:dyDescent="0.3">
      <c r="A623" s="40" t="s">
        <v>1902</v>
      </c>
      <c r="B623" s="40" t="s">
        <v>860</v>
      </c>
      <c r="C623" s="51" t="str">
        <f>VLOOKUP(B623,'Sales Order'!A$2:B$1029,1,0)</f>
        <v>SO0622</v>
      </c>
      <c r="D623" s="17" t="s">
        <v>1275</v>
      </c>
      <c r="E623" s="29" t="s">
        <v>2314</v>
      </c>
      <c r="F623" s="29" t="s">
        <v>1276</v>
      </c>
      <c r="G623" s="18">
        <v>808800</v>
      </c>
      <c r="H623" s="43">
        <v>0.11</v>
      </c>
      <c r="I623" s="38">
        <v>257701716.59999999</v>
      </c>
      <c r="J623" s="42">
        <f>'Sales Order'!H623+('Sales Order'!H623*0.11)+Invoice!G623</f>
        <v>257701716.59999999</v>
      </c>
      <c r="K623" s="41"/>
    </row>
    <row r="624" spans="1:11" ht="15.75" customHeight="1" x14ac:dyDescent="0.3">
      <c r="A624" s="40" t="s">
        <v>1903</v>
      </c>
      <c r="B624" s="40" t="s">
        <v>861</v>
      </c>
      <c r="C624" s="51" t="str">
        <f>VLOOKUP(B624,'Sales Order'!A$2:B$1029,1,0)</f>
        <v>SO0623</v>
      </c>
      <c r="D624" s="17" t="s">
        <v>1275</v>
      </c>
      <c r="E624" s="29" t="s">
        <v>170</v>
      </c>
      <c r="F624" s="29" t="s">
        <v>1295</v>
      </c>
      <c r="G624" s="32">
        <v>859350</v>
      </c>
      <c r="H624" s="43">
        <v>0.11</v>
      </c>
      <c r="I624" s="38">
        <v>371933737.5</v>
      </c>
      <c r="J624" s="42">
        <f>'Sales Order'!H624+('Sales Order'!H624*0.11)+Invoice!G624</f>
        <v>371933737.5</v>
      </c>
      <c r="K624" s="41"/>
    </row>
    <row r="625" spans="1:11" ht="15.75" customHeight="1" x14ac:dyDescent="0.3">
      <c r="A625" s="40" t="s">
        <v>1904</v>
      </c>
      <c r="B625" s="40" t="s">
        <v>862</v>
      </c>
      <c r="C625" s="51" t="str">
        <f>VLOOKUP(B625,'Sales Order'!A$2:B$1029,1,0)</f>
        <v>SO0624</v>
      </c>
      <c r="D625" s="17" t="s">
        <v>1275</v>
      </c>
      <c r="E625" s="29" t="s">
        <v>2313</v>
      </c>
      <c r="F625" s="29" t="s">
        <v>1295</v>
      </c>
      <c r="G625" s="18">
        <v>808800</v>
      </c>
      <c r="H625" s="43">
        <v>0.11</v>
      </c>
      <c r="I625" s="38">
        <v>297714119.70000005</v>
      </c>
      <c r="J625" s="42">
        <f>'Sales Order'!H625+('Sales Order'!H625*0.11)+Invoice!G625</f>
        <v>297714119.70000005</v>
      </c>
      <c r="K625" s="41"/>
    </row>
    <row r="626" spans="1:11" ht="15.75" customHeight="1" x14ac:dyDescent="0.3">
      <c r="A626" s="40" t="s">
        <v>1905</v>
      </c>
      <c r="B626" s="40" t="s">
        <v>863</v>
      </c>
      <c r="C626" s="51" t="str">
        <f>VLOOKUP(B626,'Sales Order'!A$2:B$1029,1,0)</f>
        <v>SO0625</v>
      </c>
      <c r="D626" s="17" t="s">
        <v>1275</v>
      </c>
      <c r="E626" s="29" t="s">
        <v>2314</v>
      </c>
      <c r="F626" s="29" t="s">
        <v>1288</v>
      </c>
      <c r="G626" s="18">
        <v>808800</v>
      </c>
      <c r="H626" s="43">
        <v>0.11</v>
      </c>
      <c r="I626" s="38">
        <v>189691672.5</v>
      </c>
      <c r="J626" s="42">
        <f>'Sales Order'!H626+('Sales Order'!H626*0.11)+Invoice!G626</f>
        <v>189691672.5</v>
      </c>
      <c r="K626" s="41"/>
    </row>
    <row r="627" spans="1:11" ht="15.75" customHeight="1" x14ac:dyDescent="0.3">
      <c r="A627" s="40" t="s">
        <v>1906</v>
      </c>
      <c r="B627" s="40" t="s">
        <v>864</v>
      </c>
      <c r="C627" s="51" t="str">
        <f>VLOOKUP(B627,'Sales Order'!A$2:B$1029,1,0)</f>
        <v>SO0626</v>
      </c>
      <c r="D627" s="17" t="s">
        <v>1275</v>
      </c>
      <c r="E627" s="29" t="s">
        <v>143</v>
      </c>
      <c r="F627" s="29" t="s">
        <v>1295</v>
      </c>
      <c r="G627" s="32">
        <v>859350</v>
      </c>
      <c r="H627" s="43">
        <v>0.11</v>
      </c>
      <c r="I627" s="38">
        <v>567374245.79999995</v>
      </c>
      <c r="J627" s="42">
        <f>'Sales Order'!H627+('Sales Order'!H627*0.11)+Invoice!G627</f>
        <v>567374245.79999995</v>
      </c>
      <c r="K627" s="41"/>
    </row>
    <row r="628" spans="1:11" ht="15.75" customHeight="1" x14ac:dyDescent="0.3">
      <c r="A628" s="40" t="s">
        <v>1907</v>
      </c>
      <c r="B628" s="40" t="s">
        <v>865</v>
      </c>
      <c r="C628" s="51" t="str">
        <f>VLOOKUP(B628,'Sales Order'!A$2:B$1029,1,0)</f>
        <v>SO0627</v>
      </c>
      <c r="D628" s="17" t="s">
        <v>1279</v>
      </c>
      <c r="E628" s="29" t="s">
        <v>2312</v>
      </c>
      <c r="F628" s="29" t="s">
        <v>1280</v>
      </c>
      <c r="G628" s="18">
        <v>32352</v>
      </c>
      <c r="H628" s="43">
        <v>0.11</v>
      </c>
      <c r="I628" s="38">
        <v>342137659.80000001</v>
      </c>
      <c r="J628" s="42">
        <f>'Sales Order'!H628+('Sales Order'!H628*0.11)+Invoice!G628</f>
        <v>342137659.80000001</v>
      </c>
      <c r="K628" s="41"/>
    </row>
    <row r="629" spans="1:11" ht="15.75" customHeight="1" x14ac:dyDescent="0.3">
      <c r="A629" s="40" t="s">
        <v>1908</v>
      </c>
      <c r="B629" s="40" t="s">
        <v>866</v>
      </c>
      <c r="C629" s="51" t="str">
        <f>VLOOKUP(B629,'Sales Order'!A$2:B$1029,1,0)</f>
        <v>SO0628</v>
      </c>
      <c r="D629" s="17" t="s">
        <v>1275</v>
      </c>
      <c r="E629" s="29" t="s">
        <v>2313</v>
      </c>
      <c r="F629" s="29" t="s">
        <v>1280</v>
      </c>
      <c r="G629" s="18">
        <v>808800</v>
      </c>
      <c r="H629" s="43">
        <v>0.11</v>
      </c>
      <c r="I629" s="38">
        <v>426486007.80000001</v>
      </c>
      <c r="J629" s="42">
        <f>'Sales Order'!H629+('Sales Order'!H629*0.11)+Invoice!G629</f>
        <v>426486007.80000001</v>
      </c>
      <c r="K629" s="41"/>
    </row>
    <row r="630" spans="1:11" ht="15.75" customHeight="1" x14ac:dyDescent="0.3">
      <c r="A630" s="40" t="s">
        <v>1909</v>
      </c>
      <c r="B630" s="40" t="s">
        <v>867</v>
      </c>
      <c r="C630" s="51" t="str">
        <f>VLOOKUP(B630,'Sales Order'!A$2:B$1029,1,0)</f>
        <v>SO0629</v>
      </c>
      <c r="D630" s="17" t="s">
        <v>1279</v>
      </c>
      <c r="E630" s="29" t="s">
        <v>118</v>
      </c>
      <c r="F630" s="29" t="s">
        <v>1288</v>
      </c>
      <c r="G630" s="18">
        <v>8088</v>
      </c>
      <c r="H630" s="43">
        <v>0.11</v>
      </c>
      <c r="I630" s="38">
        <v>263593478.75999999</v>
      </c>
      <c r="J630" s="42">
        <f>'Sales Order'!H630+('Sales Order'!H630*0.11)+Invoice!G630</f>
        <v>263593478.75999999</v>
      </c>
      <c r="K630" s="41"/>
    </row>
    <row r="631" spans="1:11" ht="15.75" customHeight="1" x14ac:dyDescent="0.3">
      <c r="A631" s="40" t="s">
        <v>1910</v>
      </c>
      <c r="B631" s="40" t="s">
        <v>868</v>
      </c>
      <c r="C631" s="51" t="str">
        <f>VLOOKUP(B631,'Sales Order'!A$2:B$1029,1,0)</f>
        <v>SO0630</v>
      </c>
      <c r="D631" s="17" t="s">
        <v>1275</v>
      </c>
      <c r="E631" s="29" t="s">
        <v>143</v>
      </c>
      <c r="F631" s="29" t="s">
        <v>1276</v>
      </c>
      <c r="G631" s="32">
        <v>859350</v>
      </c>
      <c r="H631" s="43">
        <v>0.11</v>
      </c>
      <c r="I631" s="38">
        <v>171519985.19999999</v>
      </c>
      <c r="J631" s="42">
        <f>'Sales Order'!H631+('Sales Order'!H631*0.11)+Invoice!G631</f>
        <v>171519985.19999999</v>
      </c>
      <c r="K631" s="41"/>
    </row>
    <row r="632" spans="1:11" ht="15.75" customHeight="1" x14ac:dyDescent="0.3">
      <c r="A632" s="40" t="s">
        <v>1911</v>
      </c>
      <c r="B632" s="40" t="s">
        <v>869</v>
      </c>
      <c r="C632" s="51" t="str">
        <f>VLOOKUP(B632,'Sales Order'!A$2:B$1029,1,0)</f>
        <v>SO0631</v>
      </c>
      <c r="D632" s="17" t="s">
        <v>1275</v>
      </c>
      <c r="E632" s="29" t="s">
        <v>2315</v>
      </c>
      <c r="F632" s="29" t="s">
        <v>1288</v>
      </c>
      <c r="G632" s="18">
        <v>556050</v>
      </c>
      <c r="H632" s="43">
        <v>0.11</v>
      </c>
      <c r="I632" s="38">
        <v>206073704.40000001</v>
      </c>
      <c r="J632" s="42">
        <f>'Sales Order'!H632+('Sales Order'!H632*0.11)+Invoice!G632</f>
        <v>206073704.40000001</v>
      </c>
      <c r="K632" s="41"/>
    </row>
    <row r="633" spans="1:11" ht="15.75" customHeight="1" x14ac:dyDescent="0.3">
      <c r="A633" s="40" t="s">
        <v>1912</v>
      </c>
      <c r="B633" s="40" t="s">
        <v>870</v>
      </c>
      <c r="C633" s="51" t="str">
        <f>VLOOKUP(B633,'Sales Order'!A$2:B$1029,1,0)</f>
        <v>SO0632</v>
      </c>
      <c r="D633" s="17" t="s">
        <v>1279</v>
      </c>
      <c r="E633" s="29" t="s">
        <v>150</v>
      </c>
      <c r="F633" s="29" t="s">
        <v>1285</v>
      </c>
      <c r="G633" s="18">
        <v>32352</v>
      </c>
      <c r="H633" s="43">
        <v>0.11</v>
      </c>
      <c r="I633" s="38">
        <v>863182182.60000002</v>
      </c>
      <c r="J633" s="42">
        <f>'Sales Order'!H633+('Sales Order'!H633*0.11)+Invoice!G633</f>
        <v>863182182.60000002</v>
      </c>
      <c r="K633" s="41"/>
    </row>
    <row r="634" spans="1:11" ht="15.75" customHeight="1" x14ac:dyDescent="0.3">
      <c r="A634" s="40" t="s">
        <v>1913</v>
      </c>
      <c r="B634" s="40" t="s">
        <v>871</v>
      </c>
      <c r="C634" s="51" t="str">
        <f>VLOOKUP(B634,'Sales Order'!A$2:B$1029,1,0)</f>
        <v>SO0633</v>
      </c>
      <c r="D634" s="17" t="s">
        <v>1275</v>
      </c>
      <c r="E634" s="29" t="s">
        <v>2314</v>
      </c>
      <c r="F634" s="29" t="s">
        <v>1280</v>
      </c>
      <c r="G634" s="18">
        <v>808800</v>
      </c>
      <c r="H634" s="43">
        <v>0.11</v>
      </c>
      <c r="I634" s="38">
        <v>941371806.60000002</v>
      </c>
      <c r="J634" s="42">
        <f>'Sales Order'!H634+('Sales Order'!H634*0.11)+Invoice!G634</f>
        <v>941371806.60000002</v>
      </c>
      <c r="K634" s="41"/>
    </row>
    <row r="635" spans="1:11" ht="15.75" customHeight="1" x14ac:dyDescent="0.3">
      <c r="A635" s="40" t="s">
        <v>1914</v>
      </c>
      <c r="B635" s="40" t="s">
        <v>872</v>
      </c>
      <c r="C635" s="51" t="str">
        <f>VLOOKUP(B635,'Sales Order'!A$2:B$1029,1,0)</f>
        <v>SO0634</v>
      </c>
      <c r="D635" s="17" t="s">
        <v>1275</v>
      </c>
      <c r="E635" s="29" t="s">
        <v>143</v>
      </c>
      <c r="F635" s="29" t="s">
        <v>1288</v>
      </c>
      <c r="G635" s="32">
        <v>859350</v>
      </c>
      <c r="H635" s="43">
        <v>0.11</v>
      </c>
      <c r="I635" s="38">
        <v>31040971.5</v>
      </c>
      <c r="J635" s="42">
        <f>'Sales Order'!H635+('Sales Order'!H635*0.11)+Invoice!G635</f>
        <v>31040971.5</v>
      </c>
      <c r="K635" s="41"/>
    </row>
    <row r="636" spans="1:11" ht="15.75" customHeight="1" x14ac:dyDescent="0.3">
      <c r="A636" s="40" t="s">
        <v>1915</v>
      </c>
      <c r="B636" s="40" t="s">
        <v>873</v>
      </c>
      <c r="C636" s="51" t="str">
        <f>VLOOKUP(B636,'Sales Order'!A$2:B$1029,1,0)</f>
        <v>SO0635</v>
      </c>
      <c r="D636" s="17" t="s">
        <v>1275</v>
      </c>
      <c r="E636" s="29" t="s">
        <v>108</v>
      </c>
      <c r="F636" s="29" t="s">
        <v>1280</v>
      </c>
      <c r="G636" s="18">
        <v>556050</v>
      </c>
      <c r="H636" s="43">
        <v>0.11</v>
      </c>
      <c r="I636" s="38">
        <v>379449144.30000001</v>
      </c>
      <c r="J636" s="42">
        <f>'Sales Order'!H636+('Sales Order'!H636*0.11)+Invoice!G636</f>
        <v>379449144.30000001</v>
      </c>
      <c r="K636" s="41"/>
    </row>
    <row r="637" spans="1:11" ht="15.75" customHeight="1" x14ac:dyDescent="0.3">
      <c r="A637" s="40" t="s">
        <v>1916</v>
      </c>
      <c r="B637" s="40" t="s">
        <v>874</v>
      </c>
      <c r="C637" s="51" t="str">
        <f>VLOOKUP(B637,'Sales Order'!A$2:B$1029,1,0)</f>
        <v>SO0636</v>
      </c>
      <c r="D637" s="17" t="s">
        <v>1275</v>
      </c>
      <c r="E637" s="29" t="s">
        <v>143</v>
      </c>
      <c r="F637" s="29" t="s">
        <v>1285</v>
      </c>
      <c r="G637" s="32">
        <v>859350</v>
      </c>
      <c r="H637" s="43">
        <v>0.11</v>
      </c>
      <c r="I637" s="38">
        <v>332867409.60000002</v>
      </c>
      <c r="J637" s="42">
        <f>'Sales Order'!H637+('Sales Order'!H637*0.11)+Invoice!G637</f>
        <v>332867409.60000002</v>
      </c>
      <c r="K637" s="41"/>
    </row>
    <row r="638" spans="1:11" ht="15.75" customHeight="1" x14ac:dyDescent="0.3">
      <c r="A638" s="40" t="s">
        <v>1917</v>
      </c>
      <c r="B638" s="40" t="s">
        <v>875</v>
      </c>
      <c r="C638" s="51" t="str">
        <f>VLOOKUP(B638,'Sales Order'!A$2:B$1029,1,0)</f>
        <v>SO0637</v>
      </c>
      <c r="D638" s="17" t="s">
        <v>1279</v>
      </c>
      <c r="E638" s="29" t="s">
        <v>118</v>
      </c>
      <c r="F638" s="29" t="s">
        <v>1276</v>
      </c>
      <c r="G638" s="18">
        <v>8088</v>
      </c>
      <c r="H638" s="43">
        <v>0.11</v>
      </c>
      <c r="I638" s="38">
        <v>111965607.3</v>
      </c>
      <c r="J638" s="42">
        <f>'Sales Order'!H638+('Sales Order'!H638*0.11)+Invoice!G638</f>
        <v>111965607.3</v>
      </c>
      <c r="K638" s="41"/>
    </row>
    <row r="639" spans="1:11" ht="15.75" customHeight="1" x14ac:dyDescent="0.3">
      <c r="A639" s="40" t="s">
        <v>1918</v>
      </c>
      <c r="B639" s="40" t="s">
        <v>876</v>
      </c>
      <c r="C639" s="51" t="str">
        <f>VLOOKUP(B639,'Sales Order'!A$2:B$1029,1,0)</f>
        <v>SO0638</v>
      </c>
      <c r="D639" s="17" t="s">
        <v>1275</v>
      </c>
      <c r="E639" s="29" t="s">
        <v>2315</v>
      </c>
      <c r="F639" s="29" t="s">
        <v>1276</v>
      </c>
      <c r="G639" s="18">
        <v>556050</v>
      </c>
      <c r="H639" s="43">
        <v>0.11</v>
      </c>
      <c r="I639" s="38">
        <v>68959524.719999999</v>
      </c>
      <c r="J639" s="42">
        <f>'Sales Order'!H639+('Sales Order'!H639*0.11)+Invoice!G639</f>
        <v>68959524.719999999</v>
      </c>
      <c r="K639" s="41"/>
    </row>
    <row r="640" spans="1:11" ht="15.75" customHeight="1" x14ac:dyDescent="0.3">
      <c r="A640" s="40" t="s">
        <v>1919</v>
      </c>
      <c r="B640" s="40" t="s">
        <v>877</v>
      </c>
      <c r="C640" s="51" t="str">
        <f>VLOOKUP(B640,'Sales Order'!A$2:B$1029,1,0)</f>
        <v>SO0639</v>
      </c>
      <c r="D640" s="17" t="s">
        <v>1275</v>
      </c>
      <c r="E640" s="29" t="s">
        <v>2314</v>
      </c>
      <c r="F640" s="29" t="s">
        <v>1288</v>
      </c>
      <c r="G640" s="18">
        <v>808800</v>
      </c>
      <c r="H640" s="43">
        <v>0.11</v>
      </c>
      <c r="I640" s="38">
        <v>178701618</v>
      </c>
      <c r="J640" s="42">
        <f>'Sales Order'!H640+('Sales Order'!H640*0.11)+Invoice!G640</f>
        <v>178701618</v>
      </c>
      <c r="K640" s="41"/>
    </row>
    <row r="641" spans="1:11" ht="15.75" customHeight="1" x14ac:dyDescent="0.3">
      <c r="A641" s="40" t="s">
        <v>1920</v>
      </c>
      <c r="B641" s="40" t="s">
        <v>878</v>
      </c>
      <c r="C641" s="51" t="str">
        <f>VLOOKUP(B641,'Sales Order'!A$2:B$1029,1,0)</f>
        <v>SO0640</v>
      </c>
      <c r="D641" s="17" t="s">
        <v>1275</v>
      </c>
      <c r="E641" s="29" t="s">
        <v>170</v>
      </c>
      <c r="F641" s="29" t="s">
        <v>1295</v>
      </c>
      <c r="G641" s="32">
        <v>859350</v>
      </c>
      <c r="H641" s="43">
        <v>0.11</v>
      </c>
      <c r="I641" s="38">
        <v>420255356.39999998</v>
      </c>
      <c r="J641" s="42">
        <f>'Sales Order'!H641+('Sales Order'!H641*0.11)+Invoice!G641</f>
        <v>420255356.39999998</v>
      </c>
      <c r="K641" s="41"/>
    </row>
    <row r="642" spans="1:11" ht="15.75" customHeight="1" x14ac:dyDescent="0.3">
      <c r="A642" s="40" t="s">
        <v>1921</v>
      </c>
      <c r="B642" s="40" t="s">
        <v>879</v>
      </c>
      <c r="C642" s="51" t="str">
        <f>VLOOKUP(B642,'Sales Order'!A$2:B$1029,1,0)</f>
        <v>SO0641</v>
      </c>
      <c r="D642" s="17" t="s">
        <v>1279</v>
      </c>
      <c r="E642" s="29" t="s">
        <v>2312</v>
      </c>
      <c r="F642" s="29" t="s">
        <v>1288</v>
      </c>
      <c r="G642" s="18">
        <v>32352</v>
      </c>
      <c r="H642" s="43">
        <v>0.11</v>
      </c>
      <c r="I642" s="38">
        <v>31154088</v>
      </c>
      <c r="J642" s="42">
        <f>'Sales Order'!H642+('Sales Order'!H642*0.11)+Invoice!G642</f>
        <v>31154088</v>
      </c>
      <c r="K642" s="41"/>
    </row>
    <row r="643" spans="1:11" ht="15.75" customHeight="1" x14ac:dyDescent="0.3">
      <c r="A643" s="40" t="s">
        <v>1922</v>
      </c>
      <c r="B643" s="40" t="s">
        <v>880</v>
      </c>
      <c r="C643" s="51" t="str">
        <f>VLOOKUP(B643,'Sales Order'!A$2:B$1029,1,0)</f>
        <v>SO0642</v>
      </c>
      <c r="D643" s="17" t="s">
        <v>1279</v>
      </c>
      <c r="E643" s="29" t="s">
        <v>118</v>
      </c>
      <c r="F643" s="29" t="s">
        <v>1288</v>
      </c>
      <c r="G643" s="18">
        <v>8088</v>
      </c>
      <c r="H643" s="43">
        <v>0.11</v>
      </c>
      <c r="I643" s="38">
        <v>27064976.25</v>
      </c>
      <c r="J643" s="42">
        <f>'Sales Order'!H643+('Sales Order'!H643*0.11)+Invoice!G643</f>
        <v>27064976.25</v>
      </c>
      <c r="K643" s="41"/>
    </row>
    <row r="644" spans="1:11" ht="15.75" customHeight="1" x14ac:dyDescent="0.3">
      <c r="A644" s="40" t="s">
        <v>1923</v>
      </c>
      <c r="B644" s="40" t="s">
        <v>881</v>
      </c>
      <c r="C644" s="51" t="str">
        <f>VLOOKUP(B644,'Sales Order'!A$2:B$1029,1,0)</f>
        <v>SO0643</v>
      </c>
      <c r="D644" s="17" t="s">
        <v>1275</v>
      </c>
      <c r="E644" s="29" t="s">
        <v>2313</v>
      </c>
      <c r="F644" s="29" t="s">
        <v>1285</v>
      </c>
      <c r="G644" s="18">
        <v>808800</v>
      </c>
      <c r="H644" s="43">
        <v>0.11</v>
      </c>
      <c r="I644" s="38">
        <v>556767717.89999998</v>
      </c>
      <c r="J644" s="42">
        <f>'Sales Order'!H644+('Sales Order'!H644*0.11)+Invoice!G644</f>
        <v>556767717.89999998</v>
      </c>
      <c r="K644" s="41"/>
    </row>
    <row r="645" spans="1:11" ht="15.75" customHeight="1" x14ac:dyDescent="0.3">
      <c r="A645" s="40" t="s">
        <v>1924</v>
      </c>
      <c r="B645" s="40" t="s">
        <v>882</v>
      </c>
      <c r="C645" s="51" t="str">
        <f>VLOOKUP(B645,'Sales Order'!A$2:B$1029,1,0)</f>
        <v>SO0644</v>
      </c>
      <c r="D645" s="17" t="s">
        <v>1279</v>
      </c>
      <c r="E645" s="29" t="s">
        <v>118</v>
      </c>
      <c r="F645" s="29" t="s">
        <v>1288</v>
      </c>
      <c r="G645" s="18">
        <v>8088</v>
      </c>
      <c r="H645" s="43">
        <v>0.11</v>
      </c>
      <c r="I645" s="38">
        <v>28093219.199999999</v>
      </c>
      <c r="J645" s="42">
        <f>'Sales Order'!H645+('Sales Order'!H645*0.11)+Invoice!G645</f>
        <v>28093219.199999999</v>
      </c>
      <c r="K645" s="41"/>
    </row>
    <row r="646" spans="1:11" ht="15.75" customHeight="1" x14ac:dyDescent="0.3">
      <c r="A646" s="40" t="s">
        <v>1925</v>
      </c>
      <c r="B646" s="40" t="s">
        <v>883</v>
      </c>
      <c r="C646" s="51" t="str">
        <f>VLOOKUP(B646,'Sales Order'!A$2:B$1029,1,0)</f>
        <v>SO0645</v>
      </c>
      <c r="D646" s="17" t="s">
        <v>1275</v>
      </c>
      <c r="E646" s="29" t="s">
        <v>2313</v>
      </c>
      <c r="F646" s="29" t="s">
        <v>1288</v>
      </c>
      <c r="G646" s="18">
        <v>808800</v>
      </c>
      <c r="H646" s="43">
        <v>0.11</v>
      </c>
      <c r="I646" s="38">
        <v>178466198.09999999</v>
      </c>
      <c r="J646" s="42">
        <f>'Sales Order'!H646+('Sales Order'!H646*0.11)+Invoice!G646</f>
        <v>178466198.09999999</v>
      </c>
      <c r="K646" s="41"/>
    </row>
    <row r="647" spans="1:11" ht="15.75" customHeight="1" x14ac:dyDescent="0.3">
      <c r="A647" s="40" t="s">
        <v>1926</v>
      </c>
      <c r="B647" s="40" t="s">
        <v>884</v>
      </c>
      <c r="C647" s="51" t="str">
        <f>VLOOKUP(B647,'Sales Order'!A$2:B$1029,1,0)</f>
        <v>SO0646</v>
      </c>
      <c r="D647" s="17" t="s">
        <v>1279</v>
      </c>
      <c r="E647" s="29" t="s">
        <v>2312</v>
      </c>
      <c r="F647" s="29" t="s">
        <v>1288</v>
      </c>
      <c r="G647" s="18">
        <v>32352</v>
      </c>
      <c r="H647" s="43">
        <v>0.11</v>
      </c>
      <c r="I647" s="38">
        <v>213797839.19999999</v>
      </c>
      <c r="J647" s="42">
        <f>'Sales Order'!H647+('Sales Order'!H647*0.11)+Invoice!G647</f>
        <v>213797839.19999999</v>
      </c>
      <c r="K647" s="41"/>
    </row>
    <row r="648" spans="1:11" ht="15.75" customHeight="1" x14ac:dyDescent="0.3">
      <c r="A648" s="40" t="s">
        <v>1927</v>
      </c>
      <c r="B648" s="40" t="s">
        <v>885</v>
      </c>
      <c r="C648" s="51" t="str">
        <f>VLOOKUP(B648,'Sales Order'!A$2:B$1029,1,0)</f>
        <v>SO0647</v>
      </c>
      <c r="D648" s="17" t="s">
        <v>1279</v>
      </c>
      <c r="E648" s="29" t="s">
        <v>118</v>
      </c>
      <c r="F648" s="29" t="s">
        <v>1276</v>
      </c>
      <c r="G648" s="18">
        <v>8088</v>
      </c>
      <c r="H648" s="43">
        <v>0.11</v>
      </c>
      <c r="I648" s="38">
        <v>14946734.4</v>
      </c>
      <c r="J648" s="42">
        <f>'Sales Order'!H648+('Sales Order'!H648*0.11)+Invoice!G648</f>
        <v>14946734.4</v>
      </c>
      <c r="K648" s="41"/>
    </row>
    <row r="649" spans="1:11" ht="15.75" customHeight="1" x14ac:dyDescent="0.3">
      <c r="A649" s="40" t="s">
        <v>1928</v>
      </c>
      <c r="B649" s="40" t="s">
        <v>886</v>
      </c>
      <c r="C649" s="51" t="str">
        <f>VLOOKUP(B649,'Sales Order'!A$2:B$1029,1,0)</f>
        <v>SO0648</v>
      </c>
      <c r="D649" s="17" t="s">
        <v>1279</v>
      </c>
      <c r="E649" s="29" t="s">
        <v>118</v>
      </c>
      <c r="F649" s="29" t="s">
        <v>1276</v>
      </c>
      <c r="G649" s="18">
        <v>8088</v>
      </c>
      <c r="H649" s="43">
        <v>0.11</v>
      </c>
      <c r="I649" s="38">
        <v>148586150.09999999</v>
      </c>
      <c r="J649" s="42">
        <f>'Sales Order'!H649+('Sales Order'!H649*0.11)+Invoice!G649</f>
        <v>148586150.09999999</v>
      </c>
      <c r="K649" s="41"/>
    </row>
    <row r="650" spans="1:11" ht="15.75" customHeight="1" x14ac:dyDescent="0.3">
      <c r="A650" s="40" t="s">
        <v>1929</v>
      </c>
      <c r="B650" s="40" t="s">
        <v>887</v>
      </c>
      <c r="C650" s="51" t="str">
        <f>VLOOKUP(B650,'Sales Order'!A$2:B$1029,1,0)</f>
        <v>SO0649</v>
      </c>
      <c r="D650" s="17" t="s">
        <v>1279</v>
      </c>
      <c r="E650" s="29" t="s">
        <v>118</v>
      </c>
      <c r="F650" s="29" t="s">
        <v>1280</v>
      </c>
      <c r="G650" s="18">
        <v>8088</v>
      </c>
      <c r="H650" s="43">
        <v>0.11</v>
      </c>
      <c r="I650" s="38">
        <v>330511109.69999999</v>
      </c>
      <c r="J650" s="42">
        <f>'Sales Order'!H650+('Sales Order'!H650*0.11)+Invoice!G650</f>
        <v>330511109.69999999</v>
      </c>
      <c r="K650" s="41"/>
    </row>
    <row r="651" spans="1:11" ht="15.75" customHeight="1" x14ac:dyDescent="0.3">
      <c r="A651" s="40" t="s">
        <v>1930</v>
      </c>
      <c r="B651" s="40" t="s">
        <v>888</v>
      </c>
      <c r="C651" s="51" t="str">
        <f>VLOOKUP(B651,'Sales Order'!A$2:B$1029,1,0)</f>
        <v>SO0650</v>
      </c>
      <c r="D651" s="17" t="s">
        <v>1275</v>
      </c>
      <c r="E651" s="29" t="s">
        <v>143</v>
      </c>
      <c r="F651" s="29" t="s">
        <v>1280</v>
      </c>
      <c r="G651" s="32">
        <v>859350</v>
      </c>
      <c r="H651" s="43">
        <v>0.11</v>
      </c>
      <c r="I651" s="38">
        <v>366543399.89999998</v>
      </c>
      <c r="J651" s="42">
        <f>'Sales Order'!H651+('Sales Order'!H651*0.11)+Invoice!G651</f>
        <v>366543399.89999998</v>
      </c>
      <c r="K651" s="41"/>
    </row>
    <row r="652" spans="1:11" ht="15.75" customHeight="1" x14ac:dyDescent="0.3">
      <c r="A652" s="40" t="s">
        <v>1931</v>
      </c>
      <c r="B652" s="40" t="s">
        <v>889</v>
      </c>
      <c r="C652" s="51" t="str">
        <f>VLOOKUP(B652,'Sales Order'!A$2:B$1029,1,0)</f>
        <v>SO0651</v>
      </c>
      <c r="D652" s="17" t="s">
        <v>1279</v>
      </c>
      <c r="E652" s="29" t="s">
        <v>118</v>
      </c>
      <c r="F652" s="29" t="s">
        <v>1288</v>
      </c>
      <c r="G652" s="18">
        <v>8088</v>
      </c>
      <c r="H652" s="43">
        <v>0.11</v>
      </c>
      <c r="I652" s="38">
        <v>96701309.099999994</v>
      </c>
      <c r="J652" s="42">
        <f>'Sales Order'!H652+('Sales Order'!H652*0.11)+Invoice!G652</f>
        <v>96701309.099999994</v>
      </c>
      <c r="K652" s="41"/>
    </row>
    <row r="653" spans="1:11" ht="15.75" customHeight="1" x14ac:dyDescent="0.3">
      <c r="A653" s="40" t="s">
        <v>1932</v>
      </c>
      <c r="B653" s="40" t="s">
        <v>890</v>
      </c>
      <c r="C653" s="51" t="str">
        <f>VLOOKUP(B653,'Sales Order'!A$2:B$1029,1,0)</f>
        <v>SO0652</v>
      </c>
      <c r="D653" s="17" t="s">
        <v>1275</v>
      </c>
      <c r="E653" s="29" t="s">
        <v>170</v>
      </c>
      <c r="F653" s="29" t="s">
        <v>1285</v>
      </c>
      <c r="G653" s="32">
        <v>859350</v>
      </c>
      <c r="H653" s="43">
        <v>0.11</v>
      </c>
      <c r="I653" s="38">
        <v>663214110</v>
      </c>
      <c r="J653" s="42">
        <f>'Sales Order'!H653+('Sales Order'!H653*0.11)+Invoice!G653</f>
        <v>663214110</v>
      </c>
      <c r="K653" s="41"/>
    </row>
    <row r="654" spans="1:11" ht="15.75" customHeight="1" x14ac:dyDescent="0.3">
      <c r="A654" s="40" t="s">
        <v>1933</v>
      </c>
      <c r="B654" s="40" t="s">
        <v>891</v>
      </c>
      <c r="C654" s="51" t="str">
        <f>VLOOKUP(B654,'Sales Order'!A$2:B$1029,1,0)</f>
        <v>SO0653</v>
      </c>
      <c r="D654" s="17" t="s">
        <v>1275</v>
      </c>
      <c r="E654" s="29" t="s">
        <v>143</v>
      </c>
      <c r="F654" s="29" t="s">
        <v>1285</v>
      </c>
      <c r="G654" s="32">
        <v>859350</v>
      </c>
      <c r="H654" s="43">
        <v>0.11</v>
      </c>
      <c r="I654" s="38">
        <v>514698463.19999999</v>
      </c>
      <c r="J654" s="42">
        <f>'Sales Order'!H654+('Sales Order'!H654*0.11)+Invoice!G654</f>
        <v>514698463.19999999</v>
      </c>
      <c r="K654" s="41"/>
    </row>
    <row r="655" spans="1:11" ht="15.75" customHeight="1" x14ac:dyDescent="0.3">
      <c r="A655" s="40" t="s">
        <v>1934</v>
      </c>
      <c r="B655" s="40" t="s">
        <v>892</v>
      </c>
      <c r="C655" s="51" t="str">
        <f>VLOOKUP(B655,'Sales Order'!A$2:B$1029,1,0)</f>
        <v>SO0654</v>
      </c>
      <c r="D655" s="17" t="s">
        <v>1275</v>
      </c>
      <c r="E655" s="29" t="s">
        <v>2318</v>
      </c>
      <c r="F655" s="29" t="s">
        <v>1285</v>
      </c>
      <c r="G655" s="32">
        <v>859350</v>
      </c>
      <c r="H655" s="43">
        <v>0.11</v>
      </c>
      <c r="I655" s="38">
        <v>509692063.5</v>
      </c>
      <c r="J655" s="42">
        <f>'Sales Order'!H655+('Sales Order'!H655*0.11)+Invoice!G655</f>
        <v>509692063.5</v>
      </c>
      <c r="K655" s="41"/>
    </row>
    <row r="656" spans="1:11" ht="15.75" customHeight="1" x14ac:dyDescent="0.3">
      <c r="A656" s="40" t="s">
        <v>1935</v>
      </c>
      <c r="B656" s="40" t="s">
        <v>893</v>
      </c>
      <c r="C656" s="51" t="str">
        <f>VLOOKUP(B656,'Sales Order'!A$2:B$1029,1,0)</f>
        <v>SO0655</v>
      </c>
      <c r="D656" s="17" t="s">
        <v>1275</v>
      </c>
      <c r="E656" s="29" t="s">
        <v>2320</v>
      </c>
      <c r="F656" s="29" t="s">
        <v>1295</v>
      </c>
      <c r="G656" s="32">
        <v>758250</v>
      </c>
      <c r="H656" s="43">
        <v>0.11</v>
      </c>
      <c r="I656" s="38">
        <v>763139106</v>
      </c>
      <c r="J656" s="42">
        <f>'Sales Order'!H656+('Sales Order'!H656*0.11)+Invoice!G656</f>
        <v>763139106</v>
      </c>
      <c r="K656" s="41"/>
    </row>
    <row r="657" spans="1:11" ht="15.75" customHeight="1" x14ac:dyDescent="0.3">
      <c r="A657" s="40" t="s">
        <v>1936</v>
      </c>
      <c r="B657" s="40" t="s">
        <v>894</v>
      </c>
      <c r="C657" s="51" t="str">
        <f>VLOOKUP(B657,'Sales Order'!A$2:B$1029,1,0)</f>
        <v>SO0656</v>
      </c>
      <c r="D657" s="17" t="s">
        <v>1275</v>
      </c>
      <c r="E657" s="29" t="s">
        <v>2319</v>
      </c>
      <c r="F657" s="29" t="s">
        <v>1288</v>
      </c>
      <c r="G657" s="18">
        <v>353850</v>
      </c>
      <c r="H657" s="43">
        <v>0.11</v>
      </c>
      <c r="I657" s="38">
        <v>10683510</v>
      </c>
      <c r="J657" s="42">
        <f>'Sales Order'!H657+('Sales Order'!H657*0.11)+Invoice!G657</f>
        <v>10683510</v>
      </c>
      <c r="K657" s="41"/>
    </row>
    <row r="658" spans="1:11" ht="15.75" customHeight="1" x14ac:dyDescent="0.3">
      <c r="A658" s="40" t="s">
        <v>1937</v>
      </c>
      <c r="B658" s="40" t="s">
        <v>895</v>
      </c>
      <c r="C658" s="51" t="str">
        <f>VLOOKUP(B658,'Sales Order'!A$2:B$1029,1,0)</f>
        <v>SO0657</v>
      </c>
      <c r="D658" s="17" t="s">
        <v>1279</v>
      </c>
      <c r="E658" s="29" t="s">
        <v>2312</v>
      </c>
      <c r="F658" s="29" t="s">
        <v>1285</v>
      </c>
      <c r="G658" s="18">
        <v>32352</v>
      </c>
      <c r="H658" s="43">
        <v>0.11</v>
      </c>
      <c r="I658" s="38">
        <v>563186800.5</v>
      </c>
      <c r="J658" s="42">
        <f>'Sales Order'!H658+('Sales Order'!H658*0.11)+Invoice!G658</f>
        <v>563186800.5</v>
      </c>
      <c r="K658" s="41"/>
    </row>
    <row r="659" spans="1:11" ht="15.75" customHeight="1" x14ac:dyDescent="0.3">
      <c r="A659" s="40" t="s">
        <v>1938</v>
      </c>
      <c r="B659" s="40" t="s">
        <v>896</v>
      </c>
      <c r="C659" s="51" t="str">
        <f>VLOOKUP(B659,'Sales Order'!A$2:B$1029,1,0)</f>
        <v>SO0658</v>
      </c>
      <c r="D659" s="17" t="s">
        <v>1275</v>
      </c>
      <c r="E659" s="29" t="s">
        <v>2318</v>
      </c>
      <c r="F659" s="29" t="s">
        <v>1288</v>
      </c>
      <c r="G659" s="32">
        <v>859350</v>
      </c>
      <c r="H659" s="43">
        <v>0.11</v>
      </c>
      <c r="I659" s="38">
        <v>146595024</v>
      </c>
      <c r="J659" s="42">
        <f>'Sales Order'!H659+('Sales Order'!H659*0.11)+Invoice!G659</f>
        <v>146595024</v>
      </c>
      <c r="K659" s="41"/>
    </row>
    <row r="660" spans="1:11" ht="15.75" customHeight="1" x14ac:dyDescent="0.3">
      <c r="A660" s="40" t="s">
        <v>1939</v>
      </c>
      <c r="B660" s="40" t="s">
        <v>897</v>
      </c>
      <c r="C660" s="51" t="str">
        <f>VLOOKUP(B660,'Sales Order'!A$2:B$1029,1,0)</f>
        <v>SO0659</v>
      </c>
      <c r="D660" s="17" t="s">
        <v>1279</v>
      </c>
      <c r="E660" s="29" t="s">
        <v>118</v>
      </c>
      <c r="F660" s="29" t="s">
        <v>1276</v>
      </c>
      <c r="G660" s="18">
        <v>8088</v>
      </c>
      <c r="H660" s="43">
        <v>0.11</v>
      </c>
      <c r="I660" s="38">
        <v>58076727.899999999</v>
      </c>
      <c r="J660" s="42">
        <f>'Sales Order'!H660+('Sales Order'!H660*0.11)+Invoice!G660</f>
        <v>58076727.899999999</v>
      </c>
      <c r="K660" s="41"/>
    </row>
    <row r="661" spans="1:11" ht="15.75" customHeight="1" x14ac:dyDescent="0.3">
      <c r="A661" s="40" t="s">
        <v>1940</v>
      </c>
      <c r="B661" s="40" t="s">
        <v>898</v>
      </c>
      <c r="C661" s="51" t="str">
        <f>VLOOKUP(B661,'Sales Order'!A$2:B$1029,1,0)</f>
        <v>SO0660</v>
      </c>
      <c r="D661" s="17" t="s">
        <v>1275</v>
      </c>
      <c r="E661" s="29" t="s">
        <v>143</v>
      </c>
      <c r="F661" s="29" t="s">
        <v>1276</v>
      </c>
      <c r="G661" s="32">
        <v>859350</v>
      </c>
      <c r="H661" s="43">
        <v>0.11</v>
      </c>
      <c r="I661" s="38">
        <v>226045172.09999999</v>
      </c>
      <c r="J661" s="42">
        <f>'Sales Order'!H661+('Sales Order'!H661*0.11)+Invoice!G661</f>
        <v>226045172.09999999</v>
      </c>
      <c r="K661" s="41"/>
    </row>
    <row r="662" spans="1:11" ht="15.75" customHeight="1" x14ac:dyDescent="0.3">
      <c r="A662" s="40" t="s">
        <v>1941</v>
      </c>
      <c r="B662" s="40" t="s">
        <v>899</v>
      </c>
      <c r="C662" s="51" t="str">
        <f>VLOOKUP(B662,'Sales Order'!A$2:B$1029,1,0)</f>
        <v>SO0661</v>
      </c>
      <c r="D662" s="17" t="s">
        <v>1275</v>
      </c>
      <c r="E662" s="29" t="s">
        <v>2319</v>
      </c>
      <c r="F662" s="29" t="s">
        <v>1295</v>
      </c>
      <c r="G662" s="18">
        <v>353850</v>
      </c>
      <c r="H662" s="43">
        <v>0.11</v>
      </c>
      <c r="I662" s="38">
        <v>1215313329.9000001</v>
      </c>
      <c r="J662" s="42">
        <f>'Sales Order'!H662+('Sales Order'!H662*0.11)+Invoice!G662</f>
        <v>1215313329.9000001</v>
      </c>
      <c r="K662" s="41"/>
    </row>
    <row r="663" spans="1:11" ht="15.75" customHeight="1" x14ac:dyDescent="0.3">
      <c r="A663" s="40" t="s">
        <v>1942</v>
      </c>
      <c r="B663" s="40" t="s">
        <v>900</v>
      </c>
      <c r="C663" s="51" t="str">
        <f>VLOOKUP(B663,'Sales Order'!A$2:B$1029,1,0)</f>
        <v>SO0662</v>
      </c>
      <c r="D663" s="17" t="s">
        <v>1275</v>
      </c>
      <c r="E663" s="29" t="s">
        <v>143</v>
      </c>
      <c r="F663" s="29" t="s">
        <v>1295</v>
      </c>
      <c r="G663" s="32">
        <v>859350</v>
      </c>
      <c r="H663" s="43">
        <v>0.11</v>
      </c>
      <c r="I663" s="38">
        <v>766811242.5</v>
      </c>
      <c r="J663" s="42">
        <f>'Sales Order'!H663+('Sales Order'!H663*0.11)+Invoice!G663</f>
        <v>766811242.5</v>
      </c>
      <c r="K663" s="41"/>
    </row>
    <row r="664" spans="1:11" ht="15.75" customHeight="1" x14ac:dyDescent="0.3">
      <c r="A664" s="40" t="s">
        <v>1943</v>
      </c>
      <c r="B664" s="40" t="s">
        <v>901</v>
      </c>
      <c r="C664" s="51" t="str">
        <f>VLOOKUP(B664,'Sales Order'!A$2:B$1029,1,0)</f>
        <v>SO0663</v>
      </c>
      <c r="D664" s="17" t="s">
        <v>1275</v>
      </c>
      <c r="E664" s="29" t="s">
        <v>170</v>
      </c>
      <c r="F664" s="29" t="s">
        <v>1285</v>
      </c>
      <c r="G664" s="32">
        <v>859350</v>
      </c>
      <c r="H664" s="43">
        <v>0.11</v>
      </c>
      <c r="I664" s="38">
        <v>337676129.39999998</v>
      </c>
      <c r="J664" s="42">
        <f>'Sales Order'!H664+('Sales Order'!H664*0.11)+Invoice!G664</f>
        <v>337676129.39999998</v>
      </c>
      <c r="K664" s="41"/>
    </row>
    <row r="665" spans="1:11" ht="15.75" customHeight="1" x14ac:dyDescent="0.3">
      <c r="A665" s="40" t="s">
        <v>1944</v>
      </c>
      <c r="B665" s="40" t="s">
        <v>902</v>
      </c>
      <c r="C665" s="51" t="str">
        <f>VLOOKUP(B665,'Sales Order'!A$2:B$1029,1,0)</f>
        <v>SO0664</v>
      </c>
      <c r="D665" s="17" t="s">
        <v>1279</v>
      </c>
      <c r="E665" s="29" t="s">
        <v>118</v>
      </c>
      <c r="F665" s="29" t="s">
        <v>1276</v>
      </c>
      <c r="G665" s="18">
        <v>8088</v>
      </c>
      <c r="H665" s="43">
        <v>0.11</v>
      </c>
      <c r="I665" s="38">
        <v>111148336.5</v>
      </c>
      <c r="J665" s="42">
        <f>'Sales Order'!H665+('Sales Order'!H665*0.11)+Invoice!G665</f>
        <v>111148336.5</v>
      </c>
      <c r="K665" s="41"/>
    </row>
    <row r="666" spans="1:11" ht="15.75" customHeight="1" x14ac:dyDescent="0.3">
      <c r="A666" s="40" t="s">
        <v>1945</v>
      </c>
      <c r="B666" s="40" t="s">
        <v>903</v>
      </c>
      <c r="C666" s="51" t="str">
        <f>VLOOKUP(B666,'Sales Order'!A$2:B$1029,1,0)</f>
        <v>SO0665</v>
      </c>
      <c r="D666" s="17" t="s">
        <v>1275</v>
      </c>
      <c r="E666" s="29" t="s">
        <v>2314</v>
      </c>
      <c r="F666" s="29" t="s">
        <v>1285</v>
      </c>
      <c r="G666" s="18">
        <v>808800</v>
      </c>
      <c r="H666" s="43">
        <v>0.11</v>
      </c>
      <c r="I666" s="38">
        <v>488612641.19999999</v>
      </c>
      <c r="J666" s="42">
        <f>'Sales Order'!H666+('Sales Order'!H666*0.11)+Invoice!G666</f>
        <v>488612641.19999999</v>
      </c>
      <c r="K666" s="41"/>
    </row>
    <row r="667" spans="1:11" ht="15.75" customHeight="1" x14ac:dyDescent="0.3">
      <c r="A667" s="40" t="s">
        <v>1946</v>
      </c>
      <c r="B667" s="40" t="s">
        <v>904</v>
      </c>
      <c r="C667" s="51" t="str">
        <f>VLOOKUP(B667,'Sales Order'!A$2:B$1029,1,0)</f>
        <v>SO0666</v>
      </c>
      <c r="D667" s="17" t="s">
        <v>1275</v>
      </c>
      <c r="E667" s="29" t="s">
        <v>2315</v>
      </c>
      <c r="F667" s="29" t="s">
        <v>1295</v>
      </c>
      <c r="G667" s="18">
        <v>556050</v>
      </c>
      <c r="H667" s="43">
        <v>0.11</v>
      </c>
      <c r="I667" s="38">
        <v>442738014.30000001</v>
      </c>
      <c r="J667" s="42">
        <f>'Sales Order'!H667+('Sales Order'!H667*0.11)+Invoice!G667</f>
        <v>442738014.30000001</v>
      </c>
      <c r="K667" s="41"/>
    </row>
    <row r="668" spans="1:11" ht="15.75" customHeight="1" x14ac:dyDescent="0.3">
      <c r="A668" s="40" t="s">
        <v>1947</v>
      </c>
      <c r="B668" s="40" t="s">
        <v>905</v>
      </c>
      <c r="C668" s="51" t="str">
        <f>VLOOKUP(B668,'Sales Order'!A$2:B$1029,1,0)</f>
        <v>SO0667</v>
      </c>
      <c r="D668" s="17" t="s">
        <v>1275</v>
      </c>
      <c r="E668" s="29" t="s">
        <v>143</v>
      </c>
      <c r="F668" s="29" t="s">
        <v>1288</v>
      </c>
      <c r="G668" s="32">
        <v>859350</v>
      </c>
      <c r="H668" s="43">
        <v>0.11</v>
      </c>
      <c r="I668" s="38">
        <v>34820987.700000003</v>
      </c>
      <c r="J668" s="42">
        <f>'Sales Order'!H668+('Sales Order'!H668*0.11)+Invoice!G668</f>
        <v>34820987.700000003</v>
      </c>
      <c r="K668" s="41"/>
    </row>
    <row r="669" spans="1:11" ht="15.75" customHeight="1" x14ac:dyDescent="0.3">
      <c r="A669" s="40" t="s">
        <v>1948</v>
      </c>
      <c r="B669" s="40" t="s">
        <v>906</v>
      </c>
      <c r="C669" s="51" t="str">
        <f>VLOOKUP(B669,'Sales Order'!A$2:B$1029,1,0)</f>
        <v>SO0668</v>
      </c>
      <c r="D669" s="17" t="s">
        <v>1275</v>
      </c>
      <c r="E669" s="29" t="s">
        <v>170</v>
      </c>
      <c r="F669" s="29" t="s">
        <v>1288</v>
      </c>
      <c r="G669" s="32">
        <v>859350</v>
      </c>
      <c r="H669" s="43">
        <v>0.11</v>
      </c>
      <c r="I669" s="38">
        <v>181394689.5</v>
      </c>
      <c r="J669" s="42">
        <f>'Sales Order'!H669+('Sales Order'!H669*0.11)+Invoice!G669</f>
        <v>181394689.5</v>
      </c>
      <c r="K669" s="41"/>
    </row>
    <row r="670" spans="1:11" ht="15.75" customHeight="1" x14ac:dyDescent="0.3">
      <c r="A670" s="40" t="s">
        <v>1949</v>
      </c>
      <c r="B670" s="40" t="s">
        <v>907</v>
      </c>
      <c r="C670" s="51" t="str">
        <f>VLOOKUP(B670,'Sales Order'!A$2:B$1029,1,0)</f>
        <v>SO0669</v>
      </c>
      <c r="D670" s="17" t="s">
        <v>1275</v>
      </c>
      <c r="E670" s="29" t="s">
        <v>170</v>
      </c>
      <c r="F670" s="29" t="s">
        <v>1295</v>
      </c>
      <c r="G670" s="32">
        <v>859350</v>
      </c>
      <c r="H670" s="43">
        <v>0.11</v>
      </c>
      <c r="I670" s="38">
        <v>561153095.39999998</v>
      </c>
      <c r="J670" s="42">
        <f>'Sales Order'!H670+('Sales Order'!H670*0.11)+Invoice!G670</f>
        <v>561153095.39999998</v>
      </c>
      <c r="K670" s="41"/>
    </row>
    <row r="671" spans="1:11" ht="15.75" customHeight="1" x14ac:dyDescent="0.3">
      <c r="A671" s="40" t="s">
        <v>1950</v>
      </c>
      <c r="B671" s="40" t="s">
        <v>908</v>
      </c>
      <c r="C671" s="51" t="str">
        <f>VLOOKUP(B671,'Sales Order'!A$2:B$1029,1,0)</f>
        <v>SO0670</v>
      </c>
      <c r="D671" s="17" t="s">
        <v>1279</v>
      </c>
      <c r="E671" s="29" t="s">
        <v>118</v>
      </c>
      <c r="F671" s="29" t="s">
        <v>1288</v>
      </c>
      <c r="G671" s="18">
        <v>8088</v>
      </c>
      <c r="H671" s="43">
        <v>0.11</v>
      </c>
      <c r="I671" s="38">
        <v>27035866.5</v>
      </c>
      <c r="J671" s="42">
        <f>'Sales Order'!H671+('Sales Order'!H671*0.11)+Invoice!G671</f>
        <v>27035866.5</v>
      </c>
      <c r="K671" s="41"/>
    </row>
    <row r="672" spans="1:11" ht="15.75" customHeight="1" x14ac:dyDescent="0.3">
      <c r="A672" s="40" t="s">
        <v>1951</v>
      </c>
      <c r="B672" s="40" t="s">
        <v>909</v>
      </c>
      <c r="C672" s="51" t="str">
        <f>VLOOKUP(B672,'Sales Order'!A$2:B$1029,1,0)</f>
        <v>SO0671</v>
      </c>
      <c r="D672" s="17" t="s">
        <v>1275</v>
      </c>
      <c r="E672" s="29" t="s">
        <v>2320</v>
      </c>
      <c r="F672" s="29" t="s">
        <v>1295</v>
      </c>
      <c r="G672" s="32">
        <v>758250</v>
      </c>
      <c r="H672" s="43">
        <v>0.11</v>
      </c>
      <c r="I672" s="38">
        <v>410742055.80000001</v>
      </c>
      <c r="J672" s="42">
        <f>'Sales Order'!H672+('Sales Order'!H672*0.11)+Invoice!G672</f>
        <v>410742055.80000001</v>
      </c>
      <c r="K672" s="41"/>
    </row>
    <row r="673" spans="1:11" ht="15.75" customHeight="1" x14ac:dyDescent="0.3">
      <c r="A673" s="40" t="s">
        <v>1952</v>
      </c>
      <c r="B673" s="40" t="s">
        <v>910</v>
      </c>
      <c r="C673" s="51" t="str">
        <f>VLOOKUP(B673,'Sales Order'!A$2:B$1029,1,0)</f>
        <v>SO0672</v>
      </c>
      <c r="D673" s="17" t="s">
        <v>1275</v>
      </c>
      <c r="E673" s="29" t="s">
        <v>2316</v>
      </c>
      <c r="F673" s="29" t="s">
        <v>1285</v>
      </c>
      <c r="G673" s="18">
        <v>556050</v>
      </c>
      <c r="H673" s="43">
        <v>0.11</v>
      </c>
      <c r="I673" s="38">
        <v>426022602</v>
      </c>
      <c r="J673" s="42">
        <f>'Sales Order'!H673+('Sales Order'!H673*0.11)+Invoice!G673</f>
        <v>426022602</v>
      </c>
      <c r="K673" s="41"/>
    </row>
    <row r="674" spans="1:11" ht="15.75" customHeight="1" x14ac:dyDescent="0.3">
      <c r="A674" s="40" t="s">
        <v>1953</v>
      </c>
      <c r="B674" s="40" t="s">
        <v>911</v>
      </c>
      <c r="C674" s="51" t="str">
        <f>VLOOKUP(B674,'Sales Order'!A$2:B$1029,1,0)</f>
        <v>SO0673</v>
      </c>
      <c r="D674" s="17" t="s">
        <v>1275</v>
      </c>
      <c r="E674" s="29" t="s">
        <v>108</v>
      </c>
      <c r="F674" s="29" t="s">
        <v>1285</v>
      </c>
      <c r="G674" s="18">
        <v>556050</v>
      </c>
      <c r="H674" s="43">
        <v>0.11</v>
      </c>
      <c r="I674" s="38">
        <v>364588553.10000002</v>
      </c>
      <c r="J674" s="42">
        <f>'Sales Order'!H674+('Sales Order'!H674*0.11)+Invoice!G674</f>
        <v>364588553.10000002</v>
      </c>
      <c r="K674" s="41"/>
    </row>
    <row r="675" spans="1:11" ht="15.75" customHeight="1" x14ac:dyDescent="0.3">
      <c r="A675" s="40" t="s">
        <v>1954</v>
      </c>
      <c r="B675" s="40" t="s">
        <v>912</v>
      </c>
      <c r="C675" s="51" t="str">
        <f>VLOOKUP(B675,'Sales Order'!A$2:B$1029,1,0)</f>
        <v>SO0674</v>
      </c>
      <c r="D675" s="17" t="s">
        <v>1275</v>
      </c>
      <c r="E675" s="29" t="s">
        <v>143</v>
      </c>
      <c r="F675" s="29" t="s">
        <v>1288</v>
      </c>
      <c r="G675" s="32">
        <v>859350</v>
      </c>
      <c r="H675" s="43">
        <v>0.11</v>
      </c>
      <c r="I675" s="38">
        <v>13784045.699999999</v>
      </c>
      <c r="J675" s="42">
        <f>'Sales Order'!H675+('Sales Order'!H675*0.11)+Invoice!G675</f>
        <v>13784045.699999999</v>
      </c>
      <c r="K675" s="41"/>
    </row>
    <row r="676" spans="1:11" ht="15.75" customHeight="1" x14ac:dyDescent="0.3">
      <c r="A676" s="40" t="s">
        <v>1955</v>
      </c>
      <c r="B676" s="40" t="s">
        <v>913</v>
      </c>
      <c r="C676" s="51" t="str">
        <f>VLOOKUP(B676,'Sales Order'!A$2:B$1029,1,0)</f>
        <v>SO0675</v>
      </c>
      <c r="D676" s="17" t="s">
        <v>1279</v>
      </c>
      <c r="E676" s="29" t="s">
        <v>2312</v>
      </c>
      <c r="F676" s="29" t="s">
        <v>1276</v>
      </c>
      <c r="G676" s="18">
        <v>32352</v>
      </c>
      <c r="H676" s="43">
        <v>0.11</v>
      </c>
      <c r="I676" s="38">
        <v>128629947.90000001</v>
      </c>
      <c r="J676" s="42">
        <f>'Sales Order'!H676+('Sales Order'!H676*0.11)+Invoice!G676</f>
        <v>128629947.90000001</v>
      </c>
      <c r="K676" s="41"/>
    </row>
    <row r="677" spans="1:11" ht="15.75" customHeight="1" x14ac:dyDescent="0.3">
      <c r="A677" s="40" t="s">
        <v>1956</v>
      </c>
      <c r="B677" s="40" t="s">
        <v>914</v>
      </c>
      <c r="C677" s="51" t="str">
        <f>VLOOKUP(B677,'Sales Order'!A$2:B$1029,1,0)</f>
        <v>SO0676</v>
      </c>
      <c r="D677" s="17" t="s">
        <v>1279</v>
      </c>
      <c r="E677" s="29" t="s">
        <v>118</v>
      </c>
      <c r="F677" s="29" t="s">
        <v>1285</v>
      </c>
      <c r="G677" s="18">
        <v>8088</v>
      </c>
      <c r="H677" s="43">
        <v>0.11</v>
      </c>
      <c r="I677" s="38">
        <v>515148210</v>
      </c>
      <c r="J677" s="42">
        <f>'Sales Order'!H677+('Sales Order'!H677*0.11)+Invoice!G677</f>
        <v>515148210</v>
      </c>
      <c r="K677" s="41"/>
    </row>
    <row r="678" spans="1:11" ht="15.75" customHeight="1" x14ac:dyDescent="0.3">
      <c r="A678" s="40" t="s">
        <v>1957</v>
      </c>
      <c r="B678" s="40" t="s">
        <v>915</v>
      </c>
      <c r="C678" s="51" t="str">
        <f>VLOOKUP(B678,'Sales Order'!A$2:B$1029,1,0)</f>
        <v>SO0677</v>
      </c>
      <c r="D678" s="17" t="s">
        <v>1275</v>
      </c>
      <c r="E678" s="29" t="s">
        <v>143</v>
      </c>
      <c r="F678" s="29" t="s">
        <v>1276</v>
      </c>
      <c r="G678" s="32">
        <v>859350</v>
      </c>
      <c r="H678" s="43">
        <v>0.11</v>
      </c>
      <c r="I678" s="38">
        <v>123805913.7</v>
      </c>
      <c r="J678" s="42">
        <f>'Sales Order'!H678+('Sales Order'!H678*0.11)+Invoice!G678</f>
        <v>123805913.7</v>
      </c>
      <c r="K678" s="41"/>
    </row>
    <row r="679" spans="1:11" ht="15.75" customHeight="1" x14ac:dyDescent="0.3">
      <c r="A679" s="40" t="s">
        <v>1958</v>
      </c>
      <c r="B679" s="40" t="s">
        <v>916</v>
      </c>
      <c r="C679" s="51" t="str">
        <f>VLOOKUP(B679,'Sales Order'!A$2:B$1029,1,0)</f>
        <v>SO0678</v>
      </c>
      <c r="D679" s="17" t="s">
        <v>1275</v>
      </c>
      <c r="E679" s="29" t="s">
        <v>2319</v>
      </c>
      <c r="F679" s="29" t="s">
        <v>1295</v>
      </c>
      <c r="G679" s="18">
        <v>353850</v>
      </c>
      <c r="H679" s="43">
        <v>0.11</v>
      </c>
      <c r="I679" s="38">
        <v>657688379.70000005</v>
      </c>
      <c r="J679" s="42">
        <f>'Sales Order'!H679+('Sales Order'!H679*0.11)+Invoice!G679</f>
        <v>657688379.70000005</v>
      </c>
      <c r="K679" s="41"/>
    </row>
    <row r="680" spans="1:11" ht="15.75" customHeight="1" x14ac:dyDescent="0.3">
      <c r="A680" s="40" t="s">
        <v>1959</v>
      </c>
      <c r="B680" s="40" t="s">
        <v>917</v>
      </c>
      <c r="C680" s="51" t="str">
        <f>VLOOKUP(B680,'Sales Order'!A$2:B$1029,1,0)</f>
        <v>SO0679</v>
      </c>
      <c r="D680" s="17" t="s">
        <v>1275</v>
      </c>
      <c r="E680" s="29" t="s">
        <v>2318</v>
      </c>
      <c r="F680" s="29" t="s">
        <v>1285</v>
      </c>
      <c r="G680" s="32">
        <v>859350</v>
      </c>
      <c r="H680" s="43">
        <v>0.11</v>
      </c>
      <c r="I680" s="38">
        <v>517093243.80000001</v>
      </c>
      <c r="J680" s="42">
        <f>'Sales Order'!H680+('Sales Order'!H680*0.11)+Invoice!G680</f>
        <v>517093243.80000001</v>
      </c>
      <c r="K680" s="41"/>
    </row>
    <row r="681" spans="1:11" ht="15.75" customHeight="1" x14ac:dyDescent="0.3">
      <c r="A681" s="40" t="s">
        <v>1960</v>
      </c>
      <c r="B681" s="40" t="s">
        <v>918</v>
      </c>
      <c r="C681" s="51" t="str">
        <f>VLOOKUP(B681,'Sales Order'!A$2:B$1029,1,0)</f>
        <v>SO0680</v>
      </c>
      <c r="D681" s="17" t="s">
        <v>1275</v>
      </c>
      <c r="E681" s="29" t="s">
        <v>2313</v>
      </c>
      <c r="F681" s="29" t="s">
        <v>1276</v>
      </c>
      <c r="G681" s="18">
        <v>808800</v>
      </c>
      <c r="H681" s="43">
        <v>0.11</v>
      </c>
      <c r="I681" s="38">
        <v>129719373.72</v>
      </c>
      <c r="J681" s="42">
        <f>'Sales Order'!H681+('Sales Order'!H681*0.11)+Invoice!G681</f>
        <v>129719373.72</v>
      </c>
      <c r="K681" s="41"/>
    </row>
    <row r="682" spans="1:11" ht="15.75" customHeight="1" x14ac:dyDescent="0.3">
      <c r="A682" s="40" t="s">
        <v>1961</v>
      </c>
      <c r="B682" s="40" t="s">
        <v>919</v>
      </c>
      <c r="C682" s="51" t="str">
        <f>VLOOKUP(B682,'Sales Order'!A$2:B$1029,1,0)</f>
        <v>SO0681</v>
      </c>
      <c r="D682" s="17" t="s">
        <v>1279</v>
      </c>
      <c r="E682" s="29" t="s">
        <v>2312</v>
      </c>
      <c r="F682" s="29" t="s">
        <v>1295</v>
      </c>
      <c r="G682" s="18">
        <v>32352</v>
      </c>
      <c r="H682" s="43">
        <v>0.11</v>
      </c>
      <c r="I682" s="38">
        <v>294085748.70000005</v>
      </c>
      <c r="J682" s="42">
        <f>'Sales Order'!H682+('Sales Order'!H682*0.11)+Invoice!G682</f>
        <v>294085748.70000005</v>
      </c>
      <c r="K682" s="41"/>
    </row>
    <row r="683" spans="1:11" ht="15.75" customHeight="1" x14ac:dyDescent="0.3">
      <c r="A683" s="40" t="s">
        <v>1962</v>
      </c>
      <c r="B683" s="40" t="s">
        <v>920</v>
      </c>
      <c r="C683" s="51" t="str">
        <f>VLOOKUP(B683,'Sales Order'!A$2:B$1029,1,0)</f>
        <v>SO0682</v>
      </c>
      <c r="D683" s="17" t="s">
        <v>1275</v>
      </c>
      <c r="E683" s="29" t="s">
        <v>2318</v>
      </c>
      <c r="F683" s="29" t="s">
        <v>1288</v>
      </c>
      <c r="G683" s="32">
        <v>859350</v>
      </c>
      <c r="H683" s="43">
        <v>0.11</v>
      </c>
      <c r="I683" s="38">
        <v>199487689.5</v>
      </c>
      <c r="J683" s="42">
        <f>'Sales Order'!H683+('Sales Order'!H683*0.11)+Invoice!G683</f>
        <v>199487689.5</v>
      </c>
      <c r="K683" s="41"/>
    </row>
    <row r="684" spans="1:11" ht="15.75" customHeight="1" x14ac:dyDescent="0.3">
      <c r="A684" s="40" t="s">
        <v>1963</v>
      </c>
      <c r="B684" s="40" t="s">
        <v>921</v>
      </c>
      <c r="C684" s="51" t="str">
        <f>VLOOKUP(B684,'Sales Order'!A$2:B$1029,1,0)</f>
        <v>SO0683</v>
      </c>
      <c r="D684" s="17" t="s">
        <v>1275</v>
      </c>
      <c r="E684" s="29" t="s">
        <v>2314</v>
      </c>
      <c r="F684" s="29" t="s">
        <v>1276</v>
      </c>
      <c r="G684" s="18">
        <v>808800</v>
      </c>
      <c r="H684" s="43">
        <v>0.11</v>
      </c>
      <c r="I684" s="38">
        <v>37911937.5</v>
      </c>
      <c r="J684" s="42">
        <f>'Sales Order'!H684+('Sales Order'!H684*0.11)+Invoice!G684</f>
        <v>37911937.5</v>
      </c>
      <c r="K684" s="41"/>
    </row>
    <row r="685" spans="1:11" ht="15.75" customHeight="1" x14ac:dyDescent="0.3">
      <c r="A685" s="40" t="s">
        <v>1964</v>
      </c>
      <c r="B685" s="40" t="s">
        <v>922</v>
      </c>
      <c r="C685" s="51" t="str">
        <f>VLOOKUP(B685,'Sales Order'!A$2:B$1029,1,0)</f>
        <v>SO0684</v>
      </c>
      <c r="D685" s="17" t="s">
        <v>1275</v>
      </c>
      <c r="E685" s="29" t="s">
        <v>170</v>
      </c>
      <c r="F685" s="29" t="s">
        <v>1280</v>
      </c>
      <c r="G685" s="32">
        <v>859350</v>
      </c>
      <c r="H685" s="43">
        <v>0.11</v>
      </c>
      <c r="I685" s="38">
        <v>385974503.79000002</v>
      </c>
      <c r="J685" s="42">
        <f>'Sales Order'!H685+('Sales Order'!H685*0.11)+Invoice!G685</f>
        <v>385974503.79000002</v>
      </c>
      <c r="K685" s="41"/>
    </row>
    <row r="686" spans="1:11" ht="15.75" customHeight="1" x14ac:dyDescent="0.3">
      <c r="A686" s="40" t="s">
        <v>1965</v>
      </c>
      <c r="B686" s="40" t="s">
        <v>923</v>
      </c>
      <c r="C686" s="51" t="str">
        <f>VLOOKUP(B686,'Sales Order'!A$2:B$1029,1,0)</f>
        <v>SO0685</v>
      </c>
      <c r="D686" s="17" t="s">
        <v>1279</v>
      </c>
      <c r="E686" s="29" t="s">
        <v>2312</v>
      </c>
      <c r="F686" s="29" t="s">
        <v>1280</v>
      </c>
      <c r="G686" s="18">
        <v>32352</v>
      </c>
      <c r="H686" s="43">
        <v>0.11</v>
      </c>
      <c r="I686" s="38">
        <v>1228463546.7</v>
      </c>
      <c r="J686" s="42">
        <f>'Sales Order'!H686+('Sales Order'!H686*0.11)+Invoice!G686</f>
        <v>1228463546.7</v>
      </c>
      <c r="K686" s="41"/>
    </row>
    <row r="687" spans="1:11" ht="15.75" customHeight="1" x14ac:dyDescent="0.3">
      <c r="A687" s="40" t="s">
        <v>1966</v>
      </c>
      <c r="B687" s="40" t="s">
        <v>924</v>
      </c>
      <c r="C687" s="51" t="str">
        <f>VLOOKUP(B687,'Sales Order'!A$2:B$1029,1,0)</f>
        <v>SO0686</v>
      </c>
      <c r="D687" s="17" t="s">
        <v>1279</v>
      </c>
      <c r="E687" s="29" t="s">
        <v>150</v>
      </c>
      <c r="F687" s="29" t="s">
        <v>1295</v>
      </c>
      <c r="G687" s="18">
        <v>32352</v>
      </c>
      <c r="H687" s="43">
        <v>0.11</v>
      </c>
      <c r="I687" s="38">
        <v>334791546.60000002</v>
      </c>
      <c r="J687" s="42">
        <f>'Sales Order'!H687+('Sales Order'!H687*0.11)+Invoice!G687</f>
        <v>334791546.60000002</v>
      </c>
      <c r="K687" s="41"/>
    </row>
    <row r="688" spans="1:11" ht="15.75" customHeight="1" x14ac:dyDescent="0.3">
      <c r="A688" s="40" t="s">
        <v>1967</v>
      </c>
      <c r="B688" s="40" t="s">
        <v>925</v>
      </c>
      <c r="C688" s="51" t="str">
        <f>VLOOKUP(B688,'Sales Order'!A$2:B$1029,1,0)</f>
        <v>SO0687</v>
      </c>
      <c r="D688" s="17" t="s">
        <v>1279</v>
      </c>
      <c r="E688" s="29" t="s">
        <v>118</v>
      </c>
      <c r="F688" s="29" t="s">
        <v>1276</v>
      </c>
      <c r="G688" s="18">
        <v>8088</v>
      </c>
      <c r="H688" s="43">
        <v>0.11</v>
      </c>
      <c r="I688" s="38">
        <v>124117589.81999999</v>
      </c>
      <c r="J688" s="42">
        <f>'Sales Order'!H688+('Sales Order'!H688*0.11)+Invoice!G688</f>
        <v>124117589.81999999</v>
      </c>
      <c r="K688" s="41"/>
    </row>
    <row r="689" spans="1:11" ht="15.75" customHeight="1" x14ac:dyDescent="0.3">
      <c r="A689" s="40" t="s">
        <v>1968</v>
      </c>
      <c r="B689" s="40" t="s">
        <v>926</v>
      </c>
      <c r="C689" s="51" t="str">
        <f>VLOOKUP(B689,'Sales Order'!A$2:B$1029,1,0)</f>
        <v>SO0688</v>
      </c>
      <c r="D689" s="17" t="s">
        <v>1275</v>
      </c>
      <c r="E689" s="29" t="s">
        <v>2320</v>
      </c>
      <c r="F689" s="29" t="s">
        <v>1276</v>
      </c>
      <c r="G689" s="32">
        <v>758250</v>
      </c>
      <c r="H689" s="43">
        <v>0.11</v>
      </c>
      <c r="I689" s="38">
        <v>221317980.59999999</v>
      </c>
      <c r="J689" s="42">
        <f>'Sales Order'!H689+('Sales Order'!H689*0.11)+Invoice!G689</f>
        <v>221317980.59999999</v>
      </c>
      <c r="K689" s="41"/>
    </row>
    <row r="690" spans="1:11" ht="15.75" customHeight="1" x14ac:dyDescent="0.3">
      <c r="A690" s="40" t="s">
        <v>1969</v>
      </c>
      <c r="B690" s="40" t="s">
        <v>927</v>
      </c>
      <c r="C690" s="51" t="str">
        <f>VLOOKUP(B690,'Sales Order'!A$2:B$1029,1,0)</f>
        <v>SO0689</v>
      </c>
      <c r="D690" s="17" t="s">
        <v>1279</v>
      </c>
      <c r="E690" s="29" t="s">
        <v>2312</v>
      </c>
      <c r="F690" s="29" t="s">
        <v>1280</v>
      </c>
      <c r="G690" s="18">
        <v>32352</v>
      </c>
      <c r="H690" s="43">
        <v>0.11</v>
      </c>
      <c r="I690" s="38">
        <v>456223538.61000001</v>
      </c>
      <c r="J690" s="42">
        <f>'Sales Order'!H690+('Sales Order'!H690*0.11)+Invoice!G690</f>
        <v>456223538.61000001</v>
      </c>
      <c r="K690" s="41"/>
    </row>
    <row r="691" spans="1:11" ht="15.75" customHeight="1" x14ac:dyDescent="0.3">
      <c r="A691" s="40" t="s">
        <v>1970</v>
      </c>
      <c r="B691" s="40" t="s">
        <v>928</v>
      </c>
      <c r="C691" s="51" t="str">
        <f>VLOOKUP(B691,'Sales Order'!A$2:B$1029,1,0)</f>
        <v>SO0690</v>
      </c>
      <c r="D691" s="17" t="s">
        <v>1279</v>
      </c>
      <c r="E691" s="29" t="s">
        <v>118</v>
      </c>
      <c r="F691" s="29" t="s">
        <v>1288</v>
      </c>
      <c r="G691" s="18">
        <v>8088</v>
      </c>
      <c r="H691" s="43">
        <v>0.11</v>
      </c>
      <c r="I691" s="38">
        <v>8387566.7999999998</v>
      </c>
      <c r="J691" s="42">
        <f>'Sales Order'!H691+('Sales Order'!H691*0.11)+Invoice!G691</f>
        <v>8387566.7999999998</v>
      </c>
      <c r="K691" s="41"/>
    </row>
    <row r="692" spans="1:11" ht="15.75" customHeight="1" x14ac:dyDescent="0.3">
      <c r="A692" s="40" t="s">
        <v>1971</v>
      </c>
      <c r="B692" s="40" t="s">
        <v>929</v>
      </c>
      <c r="C692" s="51" t="str">
        <f>VLOOKUP(B692,'Sales Order'!A$2:B$1029,1,0)</f>
        <v>SO0691</v>
      </c>
      <c r="D692" s="17" t="s">
        <v>1279</v>
      </c>
      <c r="E692" s="29" t="s">
        <v>118</v>
      </c>
      <c r="F692" s="29" t="s">
        <v>1288</v>
      </c>
      <c r="G692" s="18">
        <v>8088</v>
      </c>
      <c r="H692" s="43">
        <v>0.11</v>
      </c>
      <c r="I692" s="38">
        <v>26661530.100000001</v>
      </c>
      <c r="J692" s="42">
        <f>'Sales Order'!H692+('Sales Order'!H692*0.11)+Invoice!G692</f>
        <v>26661530.100000001</v>
      </c>
      <c r="K692" s="41"/>
    </row>
    <row r="693" spans="1:11" ht="15.75" customHeight="1" x14ac:dyDescent="0.3">
      <c r="A693" s="40" t="s">
        <v>1972</v>
      </c>
      <c r="B693" s="40" t="s">
        <v>930</v>
      </c>
      <c r="C693" s="51" t="str">
        <f>VLOOKUP(B693,'Sales Order'!A$2:B$1029,1,0)</f>
        <v>SO0692</v>
      </c>
      <c r="D693" s="17" t="s">
        <v>1275</v>
      </c>
      <c r="E693" s="29" t="s">
        <v>2314</v>
      </c>
      <c r="F693" s="29" t="s">
        <v>1276</v>
      </c>
      <c r="G693" s="18">
        <v>808800</v>
      </c>
      <c r="H693" s="43">
        <v>0.11</v>
      </c>
      <c r="I693" s="38">
        <v>65450238.299999997</v>
      </c>
      <c r="J693" s="42">
        <f>'Sales Order'!H693+('Sales Order'!H693*0.11)+Invoice!G693</f>
        <v>65450238.299999997</v>
      </c>
      <c r="K693" s="41"/>
    </row>
    <row r="694" spans="1:11" ht="15.75" customHeight="1" x14ac:dyDescent="0.3">
      <c r="A694" s="40" t="s">
        <v>1973</v>
      </c>
      <c r="B694" s="40" t="s">
        <v>931</v>
      </c>
      <c r="C694" s="51" t="str">
        <f>VLOOKUP(B694,'Sales Order'!A$2:B$1029,1,0)</f>
        <v>SO0693</v>
      </c>
      <c r="D694" s="17" t="s">
        <v>1275</v>
      </c>
      <c r="E694" s="29" t="s">
        <v>2314</v>
      </c>
      <c r="F694" s="29" t="s">
        <v>1285</v>
      </c>
      <c r="G694" s="18">
        <v>808800</v>
      </c>
      <c r="H694" s="43">
        <v>0.11</v>
      </c>
      <c r="I694" s="38">
        <v>420135314.85000002</v>
      </c>
      <c r="J694" s="42">
        <f>'Sales Order'!H694+('Sales Order'!H694*0.11)+Invoice!G694</f>
        <v>420135314.85000002</v>
      </c>
      <c r="K694" s="41"/>
    </row>
    <row r="695" spans="1:11" ht="15.75" customHeight="1" x14ac:dyDescent="0.3">
      <c r="A695" s="40" t="s">
        <v>1974</v>
      </c>
      <c r="B695" s="40" t="s">
        <v>932</v>
      </c>
      <c r="C695" s="51" t="str">
        <f>VLOOKUP(B695,'Sales Order'!A$2:B$1029,1,0)</f>
        <v>SO0694</v>
      </c>
      <c r="D695" s="17" t="s">
        <v>1279</v>
      </c>
      <c r="E695" s="29" t="s">
        <v>2312</v>
      </c>
      <c r="F695" s="29" t="s">
        <v>1285</v>
      </c>
      <c r="G695" s="18">
        <v>32352</v>
      </c>
      <c r="H695" s="43">
        <v>0.11</v>
      </c>
      <c r="I695" s="38">
        <v>623401281.29999995</v>
      </c>
      <c r="J695" s="42">
        <f>'Sales Order'!H695+('Sales Order'!H695*0.11)+Invoice!G695</f>
        <v>623401281.29999995</v>
      </c>
      <c r="K695" s="41"/>
    </row>
    <row r="696" spans="1:11" ht="15.75" customHeight="1" x14ac:dyDescent="0.3">
      <c r="A696" s="40" t="s">
        <v>1975</v>
      </c>
      <c r="B696" s="40" t="s">
        <v>933</v>
      </c>
      <c r="C696" s="51" t="str">
        <f>VLOOKUP(B696,'Sales Order'!A$2:B$1029,1,0)</f>
        <v>SO0695</v>
      </c>
      <c r="D696" s="17" t="s">
        <v>1275</v>
      </c>
      <c r="E696" s="29" t="s">
        <v>143</v>
      </c>
      <c r="F696" s="29" t="s">
        <v>1285</v>
      </c>
      <c r="G696" s="32">
        <v>859350</v>
      </c>
      <c r="H696" s="43">
        <v>0.11</v>
      </c>
      <c r="I696" s="38">
        <v>471525523.80000001</v>
      </c>
      <c r="J696" s="42">
        <f>'Sales Order'!H696+('Sales Order'!H696*0.11)+Invoice!G696</f>
        <v>471525523.80000001</v>
      </c>
      <c r="K696" s="41"/>
    </row>
    <row r="697" spans="1:11" ht="15.75" customHeight="1" x14ac:dyDescent="0.3">
      <c r="A697" s="40" t="s">
        <v>1976</v>
      </c>
      <c r="B697" s="40" t="s">
        <v>934</v>
      </c>
      <c r="C697" s="51" t="str">
        <f>VLOOKUP(B697,'Sales Order'!A$2:B$1029,1,0)</f>
        <v>SO0696</v>
      </c>
      <c r="D697" s="17" t="s">
        <v>1275</v>
      </c>
      <c r="E697" s="29" t="s">
        <v>2316</v>
      </c>
      <c r="F697" s="29" t="s">
        <v>1285</v>
      </c>
      <c r="G697" s="18">
        <v>556050</v>
      </c>
      <c r="H697" s="43">
        <v>0.11</v>
      </c>
      <c r="I697" s="38">
        <v>353527025.69999999</v>
      </c>
      <c r="J697" s="42">
        <f>'Sales Order'!H697+('Sales Order'!H697*0.11)+Invoice!G697</f>
        <v>353527025.69999999</v>
      </c>
      <c r="K697" s="41"/>
    </row>
    <row r="698" spans="1:11" ht="15.75" customHeight="1" x14ac:dyDescent="0.3">
      <c r="A698" s="40" t="s">
        <v>1977</v>
      </c>
      <c r="B698" s="40" t="s">
        <v>935</v>
      </c>
      <c r="C698" s="51" t="str">
        <f>VLOOKUP(B698,'Sales Order'!A$2:B$1029,1,0)</f>
        <v>SO0697</v>
      </c>
      <c r="D698" s="17" t="s">
        <v>1275</v>
      </c>
      <c r="E698" s="29" t="s">
        <v>2318</v>
      </c>
      <c r="F698" s="29" t="s">
        <v>1280</v>
      </c>
      <c r="G698" s="32">
        <v>859350</v>
      </c>
      <c r="H698" s="43">
        <v>0.11</v>
      </c>
      <c r="I698" s="38">
        <v>537569014.20000005</v>
      </c>
      <c r="J698" s="42">
        <f>'Sales Order'!H698+('Sales Order'!H698*0.11)+Invoice!G698</f>
        <v>537569014.20000005</v>
      </c>
      <c r="K698" s="41"/>
    </row>
    <row r="699" spans="1:11" ht="15.75" customHeight="1" x14ac:dyDescent="0.3">
      <c r="A699" s="40" t="s">
        <v>1978</v>
      </c>
      <c r="B699" s="40" t="s">
        <v>936</v>
      </c>
      <c r="C699" s="51" t="str">
        <f>VLOOKUP(B699,'Sales Order'!A$2:B$1029,1,0)</f>
        <v>SO0698</v>
      </c>
      <c r="D699" s="17" t="s">
        <v>1279</v>
      </c>
      <c r="E699" s="29" t="s">
        <v>118</v>
      </c>
      <c r="F699" s="29" t="s">
        <v>1276</v>
      </c>
      <c r="G699" s="18">
        <v>8088</v>
      </c>
      <c r="H699" s="43">
        <v>0.11</v>
      </c>
      <c r="I699" s="38">
        <v>50654018.039999999</v>
      </c>
      <c r="J699" s="42">
        <f>'Sales Order'!H699+('Sales Order'!H699*0.11)+Invoice!G699</f>
        <v>50654018.039999999</v>
      </c>
      <c r="K699" s="41"/>
    </row>
    <row r="700" spans="1:11" ht="15.75" customHeight="1" x14ac:dyDescent="0.3">
      <c r="A700" s="40" t="s">
        <v>1979</v>
      </c>
      <c r="B700" s="40" t="s">
        <v>937</v>
      </c>
      <c r="C700" s="51" t="str">
        <f>VLOOKUP(B700,'Sales Order'!A$2:B$1029,1,0)</f>
        <v>SO0699</v>
      </c>
      <c r="D700" s="17" t="s">
        <v>1279</v>
      </c>
      <c r="E700" s="29" t="s">
        <v>2312</v>
      </c>
      <c r="F700" s="29" t="s">
        <v>1288</v>
      </c>
      <c r="G700" s="18">
        <v>32352</v>
      </c>
      <c r="H700" s="43">
        <v>0.11</v>
      </c>
      <c r="I700" s="38">
        <v>120863044.8</v>
      </c>
      <c r="J700" s="42">
        <f>'Sales Order'!H700+('Sales Order'!H700*0.11)+Invoice!G700</f>
        <v>120863044.8</v>
      </c>
      <c r="K700" s="41"/>
    </row>
    <row r="701" spans="1:11" ht="15.75" customHeight="1" x14ac:dyDescent="0.3">
      <c r="A701" s="40" t="s">
        <v>1980</v>
      </c>
      <c r="B701" s="40" t="s">
        <v>938</v>
      </c>
      <c r="C701" s="51" t="str">
        <f>VLOOKUP(B701,'Sales Order'!A$2:B$1029,1,0)</f>
        <v>SO0700</v>
      </c>
      <c r="D701" s="17" t="s">
        <v>1279</v>
      </c>
      <c r="E701" s="29" t="s">
        <v>118</v>
      </c>
      <c r="F701" s="29" t="s">
        <v>1295</v>
      </c>
      <c r="G701" s="18">
        <v>8088</v>
      </c>
      <c r="H701" s="43">
        <v>0.11</v>
      </c>
      <c r="I701" s="38">
        <v>290315889.60000002</v>
      </c>
      <c r="J701" s="42">
        <f>'Sales Order'!H701+('Sales Order'!H701*0.11)+Invoice!G701</f>
        <v>290315889.60000002</v>
      </c>
      <c r="K701" s="41"/>
    </row>
    <row r="702" spans="1:11" ht="15.75" customHeight="1" x14ac:dyDescent="0.3">
      <c r="A702" s="40" t="s">
        <v>1981</v>
      </c>
      <c r="B702" s="40" t="s">
        <v>939</v>
      </c>
      <c r="C702" s="51" t="str">
        <f>VLOOKUP(B702,'Sales Order'!A$2:B$1029,1,0)</f>
        <v>SO0701</v>
      </c>
      <c r="D702" s="17" t="s">
        <v>1275</v>
      </c>
      <c r="E702" s="29" t="s">
        <v>2314</v>
      </c>
      <c r="F702" s="29" t="s">
        <v>1276</v>
      </c>
      <c r="G702" s="18">
        <v>808800</v>
      </c>
      <c r="H702" s="43">
        <v>0.11</v>
      </c>
      <c r="I702" s="38">
        <v>153667210.80000001</v>
      </c>
      <c r="J702" s="42">
        <f>'Sales Order'!H702+('Sales Order'!H702*0.11)+Invoice!G702</f>
        <v>153667210.80000001</v>
      </c>
      <c r="K702" s="41"/>
    </row>
    <row r="703" spans="1:11" ht="15.75" customHeight="1" x14ac:dyDescent="0.3">
      <c r="A703" s="40" t="s">
        <v>1982</v>
      </c>
      <c r="B703" s="40" t="s">
        <v>940</v>
      </c>
      <c r="C703" s="51" t="str">
        <f>VLOOKUP(B703,'Sales Order'!A$2:B$1029,1,0)</f>
        <v>SO0702</v>
      </c>
      <c r="D703" s="17" t="s">
        <v>1275</v>
      </c>
      <c r="E703" s="29" t="s">
        <v>143</v>
      </c>
      <c r="F703" s="29" t="s">
        <v>1288</v>
      </c>
      <c r="G703" s="32">
        <v>859350</v>
      </c>
      <c r="H703" s="43">
        <v>0.11</v>
      </c>
      <c r="I703" s="38">
        <v>272133204.60000002</v>
      </c>
      <c r="J703" s="42">
        <f>'Sales Order'!H703+('Sales Order'!H703*0.11)+Invoice!G703</f>
        <v>272133204.60000002</v>
      </c>
      <c r="K703" s="41"/>
    </row>
    <row r="704" spans="1:11" ht="15.75" customHeight="1" x14ac:dyDescent="0.3">
      <c r="A704" s="40" t="s">
        <v>1983</v>
      </c>
      <c r="B704" s="40" t="s">
        <v>941</v>
      </c>
      <c r="C704" s="51" t="str">
        <f>VLOOKUP(B704,'Sales Order'!A$2:B$1029,1,0)</f>
        <v>SO0703</v>
      </c>
      <c r="D704" s="17" t="s">
        <v>1279</v>
      </c>
      <c r="E704" s="29" t="s">
        <v>118</v>
      </c>
      <c r="F704" s="29" t="s">
        <v>1276</v>
      </c>
      <c r="G704" s="18">
        <v>8088</v>
      </c>
      <c r="H704" s="43">
        <v>0.11</v>
      </c>
      <c r="I704" s="38">
        <v>51389899.200000003</v>
      </c>
      <c r="J704" s="42">
        <f>'Sales Order'!H704+('Sales Order'!H704*0.11)+Invoice!G704</f>
        <v>51389899.200000003</v>
      </c>
      <c r="K704" s="41"/>
    </row>
    <row r="705" spans="1:11" ht="15.75" customHeight="1" x14ac:dyDescent="0.3">
      <c r="A705" s="40" t="s">
        <v>1984</v>
      </c>
      <c r="B705" s="40" t="s">
        <v>942</v>
      </c>
      <c r="C705" s="51" t="str">
        <f>VLOOKUP(B705,'Sales Order'!A$2:B$1029,1,0)</f>
        <v>SO0704</v>
      </c>
      <c r="D705" s="17" t="s">
        <v>1275</v>
      </c>
      <c r="E705" s="29" t="s">
        <v>143</v>
      </c>
      <c r="F705" s="29" t="s">
        <v>1295</v>
      </c>
      <c r="G705" s="32">
        <v>859350</v>
      </c>
      <c r="H705" s="43">
        <v>0.11</v>
      </c>
      <c r="I705" s="38">
        <v>829440139.79999995</v>
      </c>
      <c r="J705" s="42">
        <f>'Sales Order'!H705+('Sales Order'!H705*0.11)+Invoice!G705</f>
        <v>829440139.79999995</v>
      </c>
      <c r="K705" s="41"/>
    </row>
    <row r="706" spans="1:11" ht="15.75" customHeight="1" x14ac:dyDescent="0.3">
      <c r="A706" s="40" t="s">
        <v>1985</v>
      </c>
      <c r="B706" s="40" t="s">
        <v>943</v>
      </c>
      <c r="C706" s="51" t="str">
        <f>VLOOKUP(B706,'Sales Order'!A$2:B$1029,1,0)</f>
        <v>SO0705</v>
      </c>
      <c r="D706" s="17" t="s">
        <v>1279</v>
      </c>
      <c r="E706" s="29" t="s">
        <v>118</v>
      </c>
      <c r="F706" s="29" t="s">
        <v>1276</v>
      </c>
      <c r="G706" s="18">
        <v>8088</v>
      </c>
      <c r="H706" s="43">
        <v>0.11</v>
      </c>
      <c r="I706" s="38">
        <v>237979200.90000001</v>
      </c>
      <c r="J706" s="42">
        <f>'Sales Order'!H706+('Sales Order'!H706*0.11)+Invoice!G706</f>
        <v>237979200.90000001</v>
      </c>
      <c r="K706" s="41"/>
    </row>
    <row r="707" spans="1:11" ht="15.75" customHeight="1" x14ac:dyDescent="0.3">
      <c r="A707" s="40" t="s">
        <v>1986</v>
      </c>
      <c r="B707" s="40" t="s">
        <v>944</v>
      </c>
      <c r="C707" s="51" t="str">
        <f>VLOOKUP(B707,'Sales Order'!A$2:B$1029,1,0)</f>
        <v>SO0706</v>
      </c>
      <c r="D707" s="17" t="s">
        <v>1279</v>
      </c>
      <c r="E707" s="29" t="s">
        <v>2312</v>
      </c>
      <c r="F707" s="29" t="s">
        <v>1295</v>
      </c>
      <c r="G707" s="18">
        <v>32352</v>
      </c>
      <c r="H707" s="43">
        <v>0.11</v>
      </c>
      <c r="I707" s="38">
        <v>688834638</v>
      </c>
      <c r="J707" s="42">
        <f>'Sales Order'!H707+('Sales Order'!H707*0.11)+Invoice!G707</f>
        <v>688834638</v>
      </c>
      <c r="K707" s="41"/>
    </row>
    <row r="708" spans="1:11" ht="15.75" customHeight="1" x14ac:dyDescent="0.3">
      <c r="A708" s="40" t="s">
        <v>1987</v>
      </c>
      <c r="B708" s="40" t="s">
        <v>945</v>
      </c>
      <c r="C708" s="51" t="str">
        <f>VLOOKUP(B708,'Sales Order'!A$2:B$1029,1,0)</f>
        <v>SO0707</v>
      </c>
      <c r="D708" s="17" t="s">
        <v>1279</v>
      </c>
      <c r="E708" s="29" t="s">
        <v>2312</v>
      </c>
      <c r="F708" s="29" t="s">
        <v>1276</v>
      </c>
      <c r="G708" s="18">
        <v>32352</v>
      </c>
      <c r="H708" s="43">
        <v>0.11</v>
      </c>
      <c r="I708" s="38">
        <v>206960239.19999999</v>
      </c>
      <c r="J708" s="42">
        <f>'Sales Order'!H708+('Sales Order'!H708*0.11)+Invoice!G708</f>
        <v>206960239.19999999</v>
      </c>
      <c r="K708" s="41"/>
    </row>
    <row r="709" spans="1:11" ht="15.75" customHeight="1" x14ac:dyDescent="0.3">
      <c r="A709" s="40" t="s">
        <v>1988</v>
      </c>
      <c r="B709" s="40" t="s">
        <v>946</v>
      </c>
      <c r="C709" s="51" t="str">
        <f>VLOOKUP(B709,'Sales Order'!A$2:B$1029,1,0)</f>
        <v>SO0708</v>
      </c>
      <c r="D709" s="17" t="s">
        <v>1275</v>
      </c>
      <c r="E709" s="29" t="s">
        <v>2315</v>
      </c>
      <c r="F709" s="29" t="s">
        <v>1295</v>
      </c>
      <c r="G709" s="18">
        <v>556050</v>
      </c>
      <c r="H709" s="43">
        <v>0.11</v>
      </c>
      <c r="I709" s="38">
        <v>322480137</v>
      </c>
      <c r="J709" s="42">
        <f>'Sales Order'!H709+('Sales Order'!H709*0.11)+Invoice!G709</f>
        <v>322480137</v>
      </c>
      <c r="K709" s="41"/>
    </row>
    <row r="710" spans="1:11" ht="15.75" customHeight="1" x14ac:dyDescent="0.3">
      <c r="A710" s="40" t="s">
        <v>1989</v>
      </c>
      <c r="B710" s="40" t="s">
        <v>947</v>
      </c>
      <c r="C710" s="51" t="str">
        <f>VLOOKUP(B710,'Sales Order'!A$2:B$1029,1,0)</f>
        <v>SO0709</v>
      </c>
      <c r="D710" s="17" t="s">
        <v>1275</v>
      </c>
      <c r="E710" s="29" t="s">
        <v>2317</v>
      </c>
      <c r="F710" s="29" t="s">
        <v>1288</v>
      </c>
      <c r="G710" s="32">
        <v>859350</v>
      </c>
      <c r="H710" s="43">
        <v>0.11</v>
      </c>
      <c r="I710" s="38">
        <v>76874769.599999994</v>
      </c>
      <c r="J710" s="42">
        <f>'Sales Order'!H710+('Sales Order'!H710*0.11)+Invoice!G710</f>
        <v>76874769.599999994</v>
      </c>
      <c r="K710" s="41"/>
    </row>
    <row r="711" spans="1:11" ht="15.75" customHeight="1" x14ac:dyDescent="0.3">
      <c r="A711" s="40" t="s">
        <v>1990</v>
      </c>
      <c r="B711" s="40" t="s">
        <v>948</v>
      </c>
      <c r="C711" s="51" t="str">
        <f>VLOOKUP(B711,'Sales Order'!A$2:B$1029,1,0)</f>
        <v>SO0710</v>
      </c>
      <c r="D711" s="17" t="s">
        <v>1275</v>
      </c>
      <c r="E711" s="29" t="s">
        <v>143</v>
      </c>
      <c r="F711" s="29" t="s">
        <v>1288</v>
      </c>
      <c r="G711" s="32">
        <v>859350</v>
      </c>
      <c r="H711" s="43">
        <v>0.11</v>
      </c>
      <c r="I711" s="38">
        <v>232538183.69999999</v>
      </c>
      <c r="J711" s="42">
        <f>'Sales Order'!H711+('Sales Order'!H711*0.11)+Invoice!G711</f>
        <v>232538183.69999999</v>
      </c>
      <c r="K711" s="41"/>
    </row>
    <row r="712" spans="1:11" ht="15.75" customHeight="1" x14ac:dyDescent="0.3">
      <c r="A712" s="40" t="s">
        <v>1991</v>
      </c>
      <c r="B712" s="40" t="s">
        <v>949</v>
      </c>
      <c r="C712" s="51" t="str">
        <f>VLOOKUP(B712,'Sales Order'!A$2:B$1029,1,0)</f>
        <v>SO0711</v>
      </c>
      <c r="D712" s="17" t="s">
        <v>1275</v>
      </c>
      <c r="E712" s="29" t="s">
        <v>2318</v>
      </c>
      <c r="F712" s="29" t="s">
        <v>1285</v>
      </c>
      <c r="G712" s="32">
        <v>859350</v>
      </c>
      <c r="H712" s="43">
        <v>0.11</v>
      </c>
      <c r="I712" s="38">
        <v>967404071.10000002</v>
      </c>
      <c r="J712" s="42">
        <f>'Sales Order'!H712+('Sales Order'!H712*0.11)+Invoice!G712</f>
        <v>967404071.10000002</v>
      </c>
      <c r="K712" s="41"/>
    </row>
    <row r="713" spans="1:11" ht="15.75" customHeight="1" x14ac:dyDescent="0.3">
      <c r="A713" s="40" t="s">
        <v>1992</v>
      </c>
      <c r="B713" s="40" t="s">
        <v>950</v>
      </c>
      <c r="C713" s="51" t="str">
        <f>VLOOKUP(B713,'Sales Order'!A$2:B$1029,1,0)</f>
        <v>SO0712</v>
      </c>
      <c r="D713" s="17" t="s">
        <v>1279</v>
      </c>
      <c r="E713" s="29" t="s">
        <v>118</v>
      </c>
      <c r="F713" s="29" t="s">
        <v>1288</v>
      </c>
      <c r="G713" s="18">
        <v>8088</v>
      </c>
      <c r="H713" s="43">
        <v>0.11</v>
      </c>
      <c r="I713" s="38">
        <v>13224192</v>
      </c>
      <c r="J713" s="42">
        <f>'Sales Order'!H713+('Sales Order'!H713*0.11)+Invoice!G713</f>
        <v>13224192</v>
      </c>
      <c r="K713" s="41"/>
    </row>
    <row r="714" spans="1:11" ht="15.75" customHeight="1" x14ac:dyDescent="0.3">
      <c r="A714" s="40" t="s">
        <v>1993</v>
      </c>
      <c r="B714" s="40" t="s">
        <v>951</v>
      </c>
      <c r="C714" s="51" t="str">
        <f>VLOOKUP(B714,'Sales Order'!A$2:B$1029,1,0)</f>
        <v>SO0713</v>
      </c>
      <c r="D714" s="17" t="s">
        <v>1275</v>
      </c>
      <c r="E714" s="29" t="s">
        <v>2319</v>
      </c>
      <c r="F714" s="29" t="s">
        <v>1288</v>
      </c>
      <c r="G714" s="18">
        <v>353850</v>
      </c>
      <c r="H714" s="43">
        <v>0.11</v>
      </c>
      <c r="I714" s="38">
        <v>52628289.899999999</v>
      </c>
      <c r="J714" s="42">
        <f>'Sales Order'!H714+('Sales Order'!H714*0.11)+Invoice!G714</f>
        <v>52628289.899999999</v>
      </c>
      <c r="K714" s="41"/>
    </row>
    <row r="715" spans="1:11" ht="15.75" customHeight="1" x14ac:dyDescent="0.3">
      <c r="A715" s="40" t="s">
        <v>1994</v>
      </c>
      <c r="B715" s="40" t="s">
        <v>952</v>
      </c>
      <c r="C715" s="51" t="str">
        <f>VLOOKUP(B715,'Sales Order'!A$2:B$1029,1,0)</f>
        <v>SO0714</v>
      </c>
      <c r="D715" s="17" t="s">
        <v>1279</v>
      </c>
      <c r="E715" s="29" t="s">
        <v>118</v>
      </c>
      <c r="F715" s="29" t="s">
        <v>1280</v>
      </c>
      <c r="G715" s="18">
        <v>8088</v>
      </c>
      <c r="H715" s="43">
        <v>0.11</v>
      </c>
      <c r="I715" s="38">
        <v>361505007</v>
      </c>
      <c r="J715" s="42">
        <f>'Sales Order'!H715+('Sales Order'!H715*0.11)+Invoice!G715</f>
        <v>361505007</v>
      </c>
      <c r="K715" s="41"/>
    </row>
    <row r="716" spans="1:11" ht="15.75" customHeight="1" x14ac:dyDescent="0.3">
      <c r="A716" s="40" t="s">
        <v>1995</v>
      </c>
      <c r="B716" s="40" t="s">
        <v>953</v>
      </c>
      <c r="C716" s="51" t="str">
        <f>VLOOKUP(B716,'Sales Order'!A$2:B$1029,1,0)</f>
        <v>SO0715</v>
      </c>
      <c r="D716" s="17" t="s">
        <v>1275</v>
      </c>
      <c r="E716" s="29" t="s">
        <v>2314</v>
      </c>
      <c r="F716" s="29" t="s">
        <v>1285</v>
      </c>
      <c r="G716" s="18">
        <v>808800</v>
      </c>
      <c r="H716" s="43">
        <v>0.11</v>
      </c>
      <c r="I716" s="38">
        <v>691422123.14999998</v>
      </c>
      <c r="J716" s="42">
        <f>'Sales Order'!H716+('Sales Order'!H716*0.11)+Invoice!G716</f>
        <v>691422123.14999998</v>
      </c>
      <c r="K716" s="41"/>
    </row>
    <row r="717" spans="1:11" ht="15.75" customHeight="1" x14ac:dyDescent="0.3">
      <c r="A717" s="40" t="s">
        <v>1996</v>
      </c>
      <c r="B717" s="40" t="s">
        <v>954</v>
      </c>
      <c r="C717" s="51" t="str">
        <f>VLOOKUP(B717,'Sales Order'!A$2:B$1029,1,0)</f>
        <v>SO0716</v>
      </c>
      <c r="D717" s="17" t="s">
        <v>1275</v>
      </c>
      <c r="E717" s="29" t="s">
        <v>143</v>
      </c>
      <c r="F717" s="29" t="s">
        <v>1295</v>
      </c>
      <c r="G717" s="32">
        <v>859350</v>
      </c>
      <c r="H717" s="43">
        <v>0.11</v>
      </c>
      <c r="I717" s="38">
        <v>525594601.70999998</v>
      </c>
      <c r="J717" s="42">
        <f>'Sales Order'!H717+('Sales Order'!H717*0.11)+Invoice!G717</f>
        <v>525594601.70999998</v>
      </c>
      <c r="K717" s="41"/>
    </row>
    <row r="718" spans="1:11" ht="15.75" customHeight="1" x14ac:dyDescent="0.3">
      <c r="A718" s="40" t="s">
        <v>1997</v>
      </c>
      <c r="B718" s="40" t="s">
        <v>955</v>
      </c>
      <c r="C718" s="51" t="str">
        <f>VLOOKUP(B718,'Sales Order'!A$2:B$1029,1,0)</f>
        <v>SO0717</v>
      </c>
      <c r="D718" s="17" t="s">
        <v>1275</v>
      </c>
      <c r="E718" s="29" t="s">
        <v>2316</v>
      </c>
      <c r="F718" s="29" t="s">
        <v>1288</v>
      </c>
      <c r="G718" s="18">
        <v>556050</v>
      </c>
      <c r="H718" s="43">
        <v>0.11</v>
      </c>
      <c r="I718" s="38">
        <v>89732284.5</v>
      </c>
      <c r="J718" s="42">
        <f>'Sales Order'!H718+('Sales Order'!H718*0.11)+Invoice!G718</f>
        <v>89732284.5</v>
      </c>
      <c r="K718" s="41"/>
    </row>
    <row r="719" spans="1:11" ht="15.75" customHeight="1" x14ac:dyDescent="0.3">
      <c r="A719" s="40" t="s">
        <v>1998</v>
      </c>
      <c r="B719" s="40" t="s">
        <v>956</v>
      </c>
      <c r="C719" s="51" t="str">
        <f>VLOOKUP(B719,'Sales Order'!A$2:B$1029,1,0)</f>
        <v>SO0718</v>
      </c>
      <c r="D719" s="17" t="s">
        <v>1279</v>
      </c>
      <c r="E719" s="29" t="s">
        <v>2312</v>
      </c>
      <c r="F719" s="29" t="s">
        <v>1276</v>
      </c>
      <c r="G719" s="18">
        <v>32352</v>
      </c>
      <c r="H719" s="43">
        <v>0.11</v>
      </c>
      <c r="I719" s="38">
        <v>24187506</v>
      </c>
      <c r="J719" s="42">
        <f>'Sales Order'!H719+('Sales Order'!H719*0.11)+Invoice!G719</f>
        <v>24187506</v>
      </c>
      <c r="K719" s="41"/>
    </row>
    <row r="720" spans="1:11" ht="15.75" customHeight="1" x14ac:dyDescent="0.3">
      <c r="A720" s="40" t="s">
        <v>1999</v>
      </c>
      <c r="B720" s="40" t="s">
        <v>957</v>
      </c>
      <c r="C720" s="51" t="str">
        <f>VLOOKUP(B720,'Sales Order'!A$2:B$1029,1,0)</f>
        <v>SO0719</v>
      </c>
      <c r="D720" s="17" t="s">
        <v>1279</v>
      </c>
      <c r="E720" s="29" t="s">
        <v>118</v>
      </c>
      <c r="F720" s="29" t="s">
        <v>1288</v>
      </c>
      <c r="G720" s="18">
        <v>8088</v>
      </c>
      <c r="H720" s="43">
        <v>0.11</v>
      </c>
      <c r="I720" s="38">
        <v>43716635.700000003</v>
      </c>
      <c r="J720" s="42">
        <f>'Sales Order'!H720+('Sales Order'!H720*0.11)+Invoice!G720</f>
        <v>43716635.700000003</v>
      </c>
      <c r="K720" s="41"/>
    </row>
    <row r="721" spans="1:11" ht="15.75" customHeight="1" x14ac:dyDescent="0.3">
      <c r="A721" s="40" t="s">
        <v>2000</v>
      </c>
      <c r="B721" s="40" t="s">
        <v>958</v>
      </c>
      <c r="C721" s="51" t="str">
        <f>VLOOKUP(B721,'Sales Order'!A$2:B$1029,1,0)</f>
        <v>SO0720</v>
      </c>
      <c r="D721" s="17" t="s">
        <v>1275</v>
      </c>
      <c r="E721" s="29" t="s">
        <v>170</v>
      </c>
      <c r="F721" s="29" t="s">
        <v>1285</v>
      </c>
      <c r="G721" s="32">
        <v>859350</v>
      </c>
      <c r="H721" s="43">
        <v>0.11</v>
      </c>
      <c r="I721" s="38">
        <v>489971459.39999998</v>
      </c>
      <c r="J721" s="42">
        <f>'Sales Order'!H721+('Sales Order'!H721*0.11)+Invoice!G721</f>
        <v>489971459.39999998</v>
      </c>
      <c r="K721" s="41"/>
    </row>
    <row r="722" spans="1:11" ht="15.75" customHeight="1" x14ac:dyDescent="0.3">
      <c r="A722" s="40" t="s">
        <v>2001</v>
      </c>
      <c r="B722" s="40" t="s">
        <v>959</v>
      </c>
      <c r="C722" s="51" t="str">
        <f>VLOOKUP(B722,'Sales Order'!A$2:B$1029,1,0)</f>
        <v>SO0721</v>
      </c>
      <c r="D722" s="17" t="s">
        <v>1279</v>
      </c>
      <c r="E722" s="29" t="s">
        <v>118</v>
      </c>
      <c r="F722" s="29" t="s">
        <v>1285</v>
      </c>
      <c r="G722" s="18">
        <v>8088</v>
      </c>
      <c r="H722" s="43">
        <v>0.11</v>
      </c>
      <c r="I722" s="38">
        <v>515982601.44</v>
      </c>
      <c r="J722" s="42">
        <f>'Sales Order'!H722+('Sales Order'!H722*0.11)+Invoice!G722</f>
        <v>515982601.44</v>
      </c>
      <c r="K722" s="41"/>
    </row>
    <row r="723" spans="1:11" ht="15.75" customHeight="1" x14ac:dyDescent="0.3">
      <c r="A723" s="40" t="s">
        <v>2002</v>
      </c>
      <c r="B723" s="40" t="s">
        <v>960</v>
      </c>
      <c r="C723" s="51" t="str">
        <f>VLOOKUP(B723,'Sales Order'!A$2:B$1029,1,0)</f>
        <v>SO0722</v>
      </c>
      <c r="D723" s="17" t="s">
        <v>1275</v>
      </c>
      <c r="E723" s="29" t="s">
        <v>2314</v>
      </c>
      <c r="F723" s="29" t="s">
        <v>1285</v>
      </c>
      <c r="G723" s="18">
        <v>808800</v>
      </c>
      <c r="H723" s="43">
        <v>0.11</v>
      </c>
      <c r="I723" s="38">
        <v>431226917.69999999</v>
      </c>
      <c r="J723" s="42">
        <f>'Sales Order'!H723+('Sales Order'!H723*0.11)+Invoice!G723</f>
        <v>431226917.69999999</v>
      </c>
      <c r="K723" s="41"/>
    </row>
    <row r="724" spans="1:11" ht="15.75" customHeight="1" x14ac:dyDescent="0.3">
      <c r="A724" s="40" t="s">
        <v>2003</v>
      </c>
      <c r="B724" s="40" t="s">
        <v>961</v>
      </c>
      <c r="C724" s="51" t="str">
        <f>VLOOKUP(B724,'Sales Order'!A$2:B$1029,1,0)</f>
        <v>SO0723</v>
      </c>
      <c r="D724" s="17" t="s">
        <v>1275</v>
      </c>
      <c r="E724" s="29" t="s">
        <v>2313</v>
      </c>
      <c r="F724" s="29" t="s">
        <v>1276</v>
      </c>
      <c r="G724" s="18">
        <v>808800</v>
      </c>
      <c r="H724" s="43">
        <v>0.11</v>
      </c>
      <c r="I724" s="38">
        <v>159694344.30000001</v>
      </c>
      <c r="J724" s="42">
        <f>'Sales Order'!H724+('Sales Order'!H724*0.11)+Invoice!G724</f>
        <v>159694344.30000001</v>
      </c>
      <c r="K724" s="41"/>
    </row>
    <row r="725" spans="1:11" ht="15.75" customHeight="1" x14ac:dyDescent="0.3">
      <c r="A725" s="40" t="s">
        <v>2004</v>
      </c>
      <c r="B725" s="40" t="s">
        <v>962</v>
      </c>
      <c r="C725" s="51" t="str">
        <f>VLOOKUP(B725,'Sales Order'!A$2:B$1029,1,0)</f>
        <v>SO0724</v>
      </c>
      <c r="D725" s="17" t="s">
        <v>1275</v>
      </c>
      <c r="E725" s="29" t="s">
        <v>143</v>
      </c>
      <c r="F725" s="29" t="s">
        <v>1276</v>
      </c>
      <c r="G725" s="32">
        <v>859350</v>
      </c>
      <c r="H725" s="43">
        <v>0.11</v>
      </c>
      <c r="I725" s="38">
        <v>33408268.5</v>
      </c>
      <c r="J725" s="42">
        <f>'Sales Order'!H725+('Sales Order'!H725*0.11)+Invoice!G725</f>
        <v>33408268.5</v>
      </c>
      <c r="K725" s="41"/>
    </row>
    <row r="726" spans="1:11" ht="15.75" customHeight="1" x14ac:dyDescent="0.3">
      <c r="A726" s="40" t="s">
        <v>2005</v>
      </c>
      <c r="B726" s="40" t="s">
        <v>963</v>
      </c>
      <c r="C726" s="51" t="str">
        <f>VLOOKUP(B726,'Sales Order'!A$2:B$1029,1,0)</f>
        <v>SO0725</v>
      </c>
      <c r="D726" s="17" t="s">
        <v>1275</v>
      </c>
      <c r="E726" s="29" t="s">
        <v>143</v>
      </c>
      <c r="F726" s="29" t="s">
        <v>1280</v>
      </c>
      <c r="G726" s="32">
        <v>859350</v>
      </c>
      <c r="H726" s="43">
        <v>0.11</v>
      </c>
      <c r="I726" s="38">
        <v>314710085.10000002</v>
      </c>
      <c r="J726" s="42">
        <f>'Sales Order'!H726+('Sales Order'!H726*0.11)+Invoice!G726</f>
        <v>314710085.10000002</v>
      </c>
      <c r="K726" s="41"/>
    </row>
    <row r="727" spans="1:11" ht="15.75" customHeight="1" x14ac:dyDescent="0.3">
      <c r="A727" s="40" t="s">
        <v>2006</v>
      </c>
      <c r="B727" s="40" t="s">
        <v>964</v>
      </c>
      <c r="C727" s="51" t="str">
        <f>VLOOKUP(B727,'Sales Order'!A$2:B$1029,1,0)</f>
        <v>SO0726</v>
      </c>
      <c r="D727" s="17" t="s">
        <v>1275</v>
      </c>
      <c r="E727" s="29" t="s">
        <v>170</v>
      </c>
      <c r="F727" s="29" t="s">
        <v>1295</v>
      </c>
      <c r="G727" s="32">
        <v>859350</v>
      </c>
      <c r="H727" s="43">
        <v>0.11</v>
      </c>
      <c r="I727" s="38">
        <v>544708079.10000002</v>
      </c>
      <c r="J727" s="42">
        <f>'Sales Order'!H727+('Sales Order'!H727*0.11)+Invoice!G727</f>
        <v>544708079.10000002</v>
      </c>
      <c r="K727" s="41"/>
    </row>
    <row r="728" spans="1:11" ht="15.75" customHeight="1" x14ac:dyDescent="0.3">
      <c r="A728" s="40" t="s">
        <v>2007</v>
      </c>
      <c r="B728" s="40" t="s">
        <v>965</v>
      </c>
      <c r="C728" s="51" t="str">
        <f>VLOOKUP(B728,'Sales Order'!A$2:B$1029,1,0)</f>
        <v>SO0727</v>
      </c>
      <c r="D728" s="17" t="s">
        <v>1279</v>
      </c>
      <c r="E728" s="29" t="s">
        <v>118</v>
      </c>
      <c r="F728" s="29" t="s">
        <v>1276</v>
      </c>
      <c r="G728" s="18">
        <v>8088</v>
      </c>
      <c r="H728" s="43">
        <v>0.11</v>
      </c>
      <c r="I728" s="38">
        <v>51174847.799999997</v>
      </c>
      <c r="J728" s="42">
        <f>'Sales Order'!H728+('Sales Order'!H728*0.11)+Invoice!G728</f>
        <v>51174847.799999997</v>
      </c>
      <c r="K728" s="41"/>
    </row>
    <row r="729" spans="1:11" ht="15.75" customHeight="1" x14ac:dyDescent="0.3">
      <c r="A729" s="40" t="s">
        <v>2008</v>
      </c>
      <c r="B729" s="40" t="s">
        <v>966</v>
      </c>
      <c r="C729" s="51" t="str">
        <f>VLOOKUP(B729,'Sales Order'!A$2:B$1029,1,0)</f>
        <v>SO0728</v>
      </c>
      <c r="D729" s="17" t="s">
        <v>1279</v>
      </c>
      <c r="E729" s="29" t="s">
        <v>118</v>
      </c>
      <c r="F729" s="29" t="s">
        <v>1288</v>
      </c>
      <c r="G729" s="18">
        <v>8088</v>
      </c>
      <c r="H729" s="43">
        <v>0.11</v>
      </c>
      <c r="I729" s="38">
        <v>81546468</v>
      </c>
      <c r="J729" s="42">
        <f>'Sales Order'!H729+('Sales Order'!H729*0.11)+Invoice!G729</f>
        <v>81546468</v>
      </c>
      <c r="K729" s="41"/>
    </row>
    <row r="730" spans="1:11" ht="15.75" customHeight="1" x14ac:dyDescent="0.3">
      <c r="A730" s="40" t="s">
        <v>2009</v>
      </c>
      <c r="B730" s="40" t="s">
        <v>967</v>
      </c>
      <c r="C730" s="51" t="str">
        <f>VLOOKUP(B730,'Sales Order'!A$2:B$1029,1,0)</f>
        <v>SO0729</v>
      </c>
      <c r="D730" s="17" t="s">
        <v>1275</v>
      </c>
      <c r="E730" s="29" t="s">
        <v>2316</v>
      </c>
      <c r="F730" s="29" t="s">
        <v>1276</v>
      </c>
      <c r="G730" s="18">
        <v>556050</v>
      </c>
      <c r="H730" s="43">
        <v>0.11</v>
      </c>
      <c r="I730" s="38">
        <v>187422596.40000001</v>
      </c>
      <c r="J730" s="42">
        <f>'Sales Order'!H730+('Sales Order'!H730*0.11)+Invoice!G730</f>
        <v>187422596.40000001</v>
      </c>
      <c r="K730" s="41"/>
    </row>
    <row r="731" spans="1:11" ht="15.75" customHeight="1" x14ac:dyDescent="0.3">
      <c r="A731" s="40" t="s">
        <v>2010</v>
      </c>
      <c r="B731" s="40" t="s">
        <v>968</v>
      </c>
      <c r="C731" s="51" t="str">
        <f>VLOOKUP(B731,'Sales Order'!A$2:B$1029,1,0)</f>
        <v>SO0730</v>
      </c>
      <c r="D731" s="17" t="s">
        <v>1279</v>
      </c>
      <c r="E731" s="29" t="s">
        <v>2312</v>
      </c>
      <c r="F731" s="29" t="s">
        <v>1276</v>
      </c>
      <c r="G731" s="18">
        <v>32352</v>
      </c>
      <c r="H731" s="43">
        <v>0.11</v>
      </c>
      <c r="I731" s="38">
        <v>109811696.09999999</v>
      </c>
      <c r="J731" s="42">
        <f>'Sales Order'!H731+('Sales Order'!H731*0.11)+Invoice!G731</f>
        <v>109811696.09999999</v>
      </c>
      <c r="K731" s="41"/>
    </row>
    <row r="732" spans="1:11" ht="15.75" customHeight="1" x14ac:dyDescent="0.3">
      <c r="A732" s="40" t="s">
        <v>2011</v>
      </c>
      <c r="B732" s="40" t="s">
        <v>969</v>
      </c>
      <c r="C732" s="51" t="str">
        <f>VLOOKUP(B732,'Sales Order'!A$2:B$1029,1,0)</f>
        <v>SO0731</v>
      </c>
      <c r="D732" s="17" t="s">
        <v>1275</v>
      </c>
      <c r="E732" s="29" t="s">
        <v>143</v>
      </c>
      <c r="F732" s="29" t="s">
        <v>1276</v>
      </c>
      <c r="G732" s="32">
        <v>859350</v>
      </c>
      <c r="H732" s="43">
        <v>0.11</v>
      </c>
      <c r="I732" s="38">
        <v>212665110</v>
      </c>
      <c r="J732" s="42">
        <f>'Sales Order'!H732+('Sales Order'!H732*0.11)+Invoice!G732</f>
        <v>212665110</v>
      </c>
      <c r="K732" s="41"/>
    </row>
    <row r="733" spans="1:11" ht="15.75" customHeight="1" x14ac:dyDescent="0.3">
      <c r="A733" s="40" t="s">
        <v>2012</v>
      </c>
      <c r="B733" s="40" t="s">
        <v>970</v>
      </c>
      <c r="C733" s="51" t="str">
        <f>VLOOKUP(B733,'Sales Order'!A$2:B$1029,1,0)</f>
        <v>SO0732</v>
      </c>
      <c r="D733" s="17" t="s">
        <v>1275</v>
      </c>
      <c r="E733" s="29" t="s">
        <v>108</v>
      </c>
      <c r="F733" s="29" t="s">
        <v>1276</v>
      </c>
      <c r="G733" s="18">
        <v>556050</v>
      </c>
      <c r="H733" s="43">
        <v>0.11</v>
      </c>
      <c r="I733" s="38">
        <v>203519550</v>
      </c>
      <c r="J733" s="42">
        <f>'Sales Order'!H733+('Sales Order'!H733*0.11)+Invoice!G733</f>
        <v>203519550</v>
      </c>
      <c r="K733" s="41"/>
    </row>
    <row r="734" spans="1:11" ht="15.75" customHeight="1" x14ac:dyDescent="0.3">
      <c r="A734" s="40" t="s">
        <v>2013</v>
      </c>
      <c r="B734" s="40" t="s">
        <v>971</v>
      </c>
      <c r="C734" s="51" t="str">
        <f>VLOOKUP(B734,'Sales Order'!A$2:B$1029,1,0)</f>
        <v>SO0733</v>
      </c>
      <c r="D734" s="17" t="s">
        <v>1275</v>
      </c>
      <c r="E734" s="29" t="s">
        <v>2320</v>
      </c>
      <c r="F734" s="29" t="s">
        <v>1295</v>
      </c>
      <c r="G734" s="32">
        <v>758250</v>
      </c>
      <c r="H734" s="43">
        <v>0.11</v>
      </c>
      <c r="I734" s="38">
        <v>728205130.5</v>
      </c>
      <c r="J734" s="42">
        <f>'Sales Order'!H734+('Sales Order'!H734*0.11)+Invoice!G734</f>
        <v>728205130.5</v>
      </c>
      <c r="K734" s="41"/>
    </row>
    <row r="735" spans="1:11" ht="15.75" customHeight="1" x14ac:dyDescent="0.3">
      <c r="A735" s="40" t="s">
        <v>2014</v>
      </c>
      <c r="B735" s="40" t="s">
        <v>972</v>
      </c>
      <c r="C735" s="51" t="str">
        <f>VLOOKUP(B735,'Sales Order'!A$2:B$1029,1,0)</f>
        <v>SO0734</v>
      </c>
      <c r="D735" s="17" t="s">
        <v>1275</v>
      </c>
      <c r="E735" s="29" t="s">
        <v>170</v>
      </c>
      <c r="F735" s="29" t="s">
        <v>1295</v>
      </c>
      <c r="G735" s="32">
        <v>859350</v>
      </c>
      <c r="H735" s="43">
        <v>0.11</v>
      </c>
      <c r="I735" s="38">
        <v>479678085.30000001</v>
      </c>
      <c r="J735" s="42">
        <f>'Sales Order'!H735+('Sales Order'!H735*0.11)+Invoice!G735</f>
        <v>479678085.30000001</v>
      </c>
      <c r="K735" s="41"/>
    </row>
    <row r="736" spans="1:11" ht="15.75" customHeight="1" x14ac:dyDescent="0.3">
      <c r="A736" s="40" t="s">
        <v>2015</v>
      </c>
      <c r="B736" s="40" t="s">
        <v>973</v>
      </c>
      <c r="C736" s="51" t="str">
        <f>VLOOKUP(B736,'Sales Order'!A$2:B$1029,1,0)</f>
        <v>SO0735</v>
      </c>
      <c r="D736" s="17" t="s">
        <v>1279</v>
      </c>
      <c r="E736" s="29" t="s">
        <v>118</v>
      </c>
      <c r="F736" s="29" t="s">
        <v>1288</v>
      </c>
      <c r="G736" s="18">
        <v>8088</v>
      </c>
      <c r="H736" s="43">
        <v>0.11</v>
      </c>
      <c r="I736" s="38">
        <v>122556444.75000001</v>
      </c>
      <c r="J736" s="42">
        <f>'Sales Order'!H736+('Sales Order'!H736*0.11)+Invoice!G736</f>
        <v>122556444.75000001</v>
      </c>
      <c r="K736" s="41"/>
    </row>
    <row r="737" spans="1:11" ht="15.75" customHeight="1" x14ac:dyDescent="0.3">
      <c r="A737" s="40" t="s">
        <v>2016</v>
      </c>
      <c r="B737" s="40" t="s">
        <v>974</v>
      </c>
      <c r="C737" s="51" t="str">
        <f>VLOOKUP(B737,'Sales Order'!A$2:B$1029,1,0)</f>
        <v>SO0736</v>
      </c>
      <c r="D737" s="17" t="s">
        <v>1275</v>
      </c>
      <c r="E737" s="29" t="s">
        <v>2314</v>
      </c>
      <c r="F737" s="29" t="s">
        <v>1288</v>
      </c>
      <c r="G737" s="18">
        <v>808800</v>
      </c>
      <c r="H737" s="43">
        <v>0.11</v>
      </c>
      <c r="I737" s="38">
        <v>28673174.399999999</v>
      </c>
      <c r="J737" s="42">
        <f>'Sales Order'!H737+('Sales Order'!H737*0.11)+Invoice!G737</f>
        <v>28673174.399999999</v>
      </c>
      <c r="K737" s="41"/>
    </row>
    <row r="738" spans="1:11" ht="15.75" customHeight="1" x14ac:dyDescent="0.3">
      <c r="A738" s="40" t="s">
        <v>2017</v>
      </c>
      <c r="B738" s="40" t="s">
        <v>975</v>
      </c>
      <c r="C738" s="51" t="str">
        <f>VLOOKUP(B738,'Sales Order'!A$2:B$1029,1,0)</f>
        <v>SO0737</v>
      </c>
      <c r="D738" s="17" t="s">
        <v>1275</v>
      </c>
      <c r="E738" s="29" t="s">
        <v>2318</v>
      </c>
      <c r="F738" s="29" t="s">
        <v>1280</v>
      </c>
      <c r="G738" s="32">
        <v>859350</v>
      </c>
      <c r="H738" s="43">
        <v>0.11</v>
      </c>
      <c r="I738" s="38">
        <v>335509631.39999998</v>
      </c>
      <c r="J738" s="42">
        <f>'Sales Order'!H738+('Sales Order'!H738*0.11)+Invoice!G738</f>
        <v>335509631.39999998</v>
      </c>
      <c r="K738" s="41"/>
    </row>
    <row r="739" spans="1:11" ht="15.75" customHeight="1" x14ac:dyDescent="0.3">
      <c r="A739" s="40" t="s">
        <v>2018</v>
      </c>
      <c r="B739" s="40" t="s">
        <v>976</v>
      </c>
      <c r="C739" s="51" t="str">
        <f>VLOOKUP(B739,'Sales Order'!A$2:B$1029,1,0)</f>
        <v>SO0738</v>
      </c>
      <c r="D739" s="17" t="s">
        <v>1279</v>
      </c>
      <c r="E739" s="29" t="s">
        <v>2312</v>
      </c>
      <c r="F739" s="29" t="s">
        <v>1285</v>
      </c>
      <c r="G739" s="18">
        <v>32352</v>
      </c>
      <c r="H739" s="43">
        <v>0.11</v>
      </c>
      <c r="I739" s="38">
        <v>426757910.39999998</v>
      </c>
      <c r="J739" s="42">
        <f>'Sales Order'!H739+('Sales Order'!H739*0.11)+Invoice!G739</f>
        <v>426757910.39999998</v>
      </c>
      <c r="K739" s="41"/>
    </row>
    <row r="740" spans="1:11" ht="15.75" customHeight="1" x14ac:dyDescent="0.3">
      <c r="A740" s="40" t="s">
        <v>2019</v>
      </c>
      <c r="B740" s="40" t="s">
        <v>977</v>
      </c>
      <c r="C740" s="51" t="str">
        <f>VLOOKUP(B740,'Sales Order'!A$2:B$1029,1,0)</f>
        <v>SO0739</v>
      </c>
      <c r="D740" s="17" t="s">
        <v>1275</v>
      </c>
      <c r="E740" s="29" t="s">
        <v>143</v>
      </c>
      <c r="F740" s="29" t="s">
        <v>1276</v>
      </c>
      <c r="G740" s="32">
        <v>859350</v>
      </c>
      <c r="H740" s="43">
        <v>0.11</v>
      </c>
      <c r="I740" s="38">
        <v>107351773.2</v>
      </c>
      <c r="J740" s="42">
        <f>'Sales Order'!H740+('Sales Order'!H740*0.11)+Invoice!G740</f>
        <v>107351773.2</v>
      </c>
      <c r="K740" s="41"/>
    </row>
    <row r="741" spans="1:11" ht="15.75" customHeight="1" x14ac:dyDescent="0.3">
      <c r="A741" s="40" t="s">
        <v>2020</v>
      </c>
      <c r="B741" s="40" t="s">
        <v>978</v>
      </c>
      <c r="C741" s="51" t="str">
        <f>VLOOKUP(B741,'Sales Order'!A$2:B$1029,1,0)</f>
        <v>SO0740</v>
      </c>
      <c r="D741" s="17" t="s">
        <v>1279</v>
      </c>
      <c r="E741" s="29" t="s">
        <v>2312</v>
      </c>
      <c r="F741" s="29" t="s">
        <v>1288</v>
      </c>
      <c r="G741" s="18">
        <v>32352</v>
      </c>
      <c r="H741" s="43">
        <v>0.11</v>
      </c>
      <c r="I741" s="38">
        <v>96143933.099999994</v>
      </c>
      <c r="J741" s="42">
        <f>'Sales Order'!H741+('Sales Order'!H741*0.11)+Invoice!G741</f>
        <v>96143933.099999994</v>
      </c>
      <c r="K741" s="41"/>
    </row>
    <row r="742" spans="1:11" ht="15.75" customHeight="1" x14ac:dyDescent="0.3">
      <c r="A742" s="40" t="s">
        <v>2021</v>
      </c>
      <c r="B742" s="40" t="s">
        <v>979</v>
      </c>
      <c r="C742" s="51" t="str">
        <f>VLOOKUP(B742,'Sales Order'!A$2:B$1029,1,0)</f>
        <v>SO0741</v>
      </c>
      <c r="D742" s="17" t="s">
        <v>1275</v>
      </c>
      <c r="E742" s="29" t="s">
        <v>170</v>
      </c>
      <c r="F742" s="29" t="s">
        <v>1276</v>
      </c>
      <c r="G742" s="32">
        <v>859350</v>
      </c>
      <c r="H742" s="43">
        <v>0.11</v>
      </c>
      <c r="I742" s="38">
        <v>183716243.40000001</v>
      </c>
      <c r="J742" s="42">
        <f>'Sales Order'!H742+('Sales Order'!H742*0.11)+Invoice!G742</f>
        <v>183716243.40000001</v>
      </c>
      <c r="K742" s="41"/>
    </row>
    <row r="743" spans="1:11" ht="15.75" customHeight="1" x14ac:dyDescent="0.3">
      <c r="A743" s="40" t="s">
        <v>2022</v>
      </c>
      <c r="B743" s="40" t="s">
        <v>980</v>
      </c>
      <c r="C743" s="51" t="str">
        <f>VLOOKUP(B743,'Sales Order'!A$2:B$1029,1,0)</f>
        <v>SO0742</v>
      </c>
      <c r="D743" s="17" t="s">
        <v>1279</v>
      </c>
      <c r="E743" s="29" t="s">
        <v>2312</v>
      </c>
      <c r="F743" s="29" t="s">
        <v>1288</v>
      </c>
      <c r="G743" s="18">
        <v>32352</v>
      </c>
      <c r="H743" s="43">
        <v>0.11</v>
      </c>
      <c r="I743" s="38">
        <v>88792158.900000006</v>
      </c>
      <c r="J743" s="42">
        <f>'Sales Order'!H743+('Sales Order'!H743*0.11)+Invoice!G743</f>
        <v>88792158.900000006</v>
      </c>
      <c r="K743" s="41"/>
    </row>
    <row r="744" spans="1:11" ht="15.75" customHeight="1" x14ac:dyDescent="0.3">
      <c r="A744" s="40" t="s">
        <v>2023</v>
      </c>
      <c r="B744" s="40" t="s">
        <v>981</v>
      </c>
      <c r="C744" s="51" t="str">
        <f>VLOOKUP(B744,'Sales Order'!A$2:B$1029,1,0)</f>
        <v>SO0743</v>
      </c>
      <c r="D744" s="17" t="s">
        <v>1275</v>
      </c>
      <c r="E744" s="29" t="s">
        <v>2313</v>
      </c>
      <c r="F744" s="29" t="s">
        <v>1288</v>
      </c>
      <c r="G744" s="18">
        <v>808800</v>
      </c>
      <c r="H744" s="43">
        <v>0.11</v>
      </c>
      <c r="I744" s="38">
        <v>85843768.799999997</v>
      </c>
      <c r="J744" s="42">
        <f>'Sales Order'!H744+('Sales Order'!H744*0.11)+Invoice!G744</f>
        <v>85843768.799999997</v>
      </c>
      <c r="K744" s="41"/>
    </row>
    <row r="745" spans="1:11" ht="15.75" customHeight="1" x14ac:dyDescent="0.3">
      <c r="A745" s="40" t="s">
        <v>2024</v>
      </c>
      <c r="B745" s="40" t="s">
        <v>982</v>
      </c>
      <c r="C745" s="51" t="str">
        <f>VLOOKUP(B745,'Sales Order'!A$2:B$1029,1,0)</f>
        <v>SO0744</v>
      </c>
      <c r="D745" s="17" t="s">
        <v>1275</v>
      </c>
      <c r="E745" s="29" t="s">
        <v>2316</v>
      </c>
      <c r="F745" s="29" t="s">
        <v>1280</v>
      </c>
      <c r="G745" s="18">
        <v>556050</v>
      </c>
      <c r="H745" s="43">
        <v>0.11</v>
      </c>
      <c r="I745" s="38">
        <v>354443108.69999999</v>
      </c>
      <c r="J745" s="42">
        <f>'Sales Order'!H745+('Sales Order'!H745*0.11)+Invoice!G745</f>
        <v>354443108.69999999</v>
      </c>
      <c r="K745" s="41"/>
    </row>
    <row r="746" spans="1:11" ht="15.75" customHeight="1" x14ac:dyDescent="0.3">
      <c r="A746" s="40" t="s">
        <v>2025</v>
      </c>
      <c r="B746" s="40" t="s">
        <v>983</v>
      </c>
      <c r="C746" s="51" t="str">
        <f>VLOOKUP(B746,'Sales Order'!A$2:B$1029,1,0)</f>
        <v>SO0745</v>
      </c>
      <c r="D746" s="17" t="s">
        <v>1275</v>
      </c>
      <c r="E746" s="29" t="s">
        <v>2314</v>
      </c>
      <c r="F746" s="29" t="s">
        <v>1280</v>
      </c>
      <c r="G746" s="18">
        <v>808800</v>
      </c>
      <c r="H746" s="43">
        <v>0.11</v>
      </c>
      <c r="I746" s="38">
        <v>555748025.27999997</v>
      </c>
      <c r="J746" s="42">
        <f>'Sales Order'!H746+('Sales Order'!H746*0.11)+Invoice!G746</f>
        <v>555748025.27999997</v>
      </c>
      <c r="K746" s="41"/>
    </row>
    <row r="747" spans="1:11" ht="15.75" customHeight="1" x14ac:dyDescent="0.3">
      <c r="A747" s="40" t="s">
        <v>2026</v>
      </c>
      <c r="B747" s="40" t="s">
        <v>984</v>
      </c>
      <c r="C747" s="51" t="str">
        <f>VLOOKUP(B747,'Sales Order'!A$2:B$1029,1,0)</f>
        <v>SO0746</v>
      </c>
      <c r="D747" s="17" t="s">
        <v>1275</v>
      </c>
      <c r="E747" s="29" t="s">
        <v>170</v>
      </c>
      <c r="F747" s="29" t="s">
        <v>1285</v>
      </c>
      <c r="G747" s="32">
        <v>859350</v>
      </c>
      <c r="H747" s="43">
        <v>0.11</v>
      </c>
      <c r="I747" s="38">
        <v>551593897.5</v>
      </c>
      <c r="J747" s="42">
        <f>'Sales Order'!H747+('Sales Order'!H747*0.11)+Invoice!G747</f>
        <v>551593897.5</v>
      </c>
      <c r="K747" s="41"/>
    </row>
    <row r="748" spans="1:11" ht="15.75" customHeight="1" x14ac:dyDescent="0.3">
      <c r="A748" s="40" t="s">
        <v>2027</v>
      </c>
      <c r="B748" s="40" t="s">
        <v>985</v>
      </c>
      <c r="C748" s="51" t="str">
        <f>VLOOKUP(B748,'Sales Order'!A$2:B$1029,1,0)</f>
        <v>SO0747</v>
      </c>
      <c r="D748" s="17" t="s">
        <v>1275</v>
      </c>
      <c r="E748" s="29" t="s">
        <v>2315</v>
      </c>
      <c r="F748" s="29" t="s">
        <v>1295</v>
      </c>
      <c r="G748" s="18">
        <v>556050</v>
      </c>
      <c r="H748" s="43">
        <v>0.11</v>
      </c>
      <c r="I748" s="38">
        <v>846400458.89999998</v>
      </c>
      <c r="J748" s="42">
        <f>'Sales Order'!H748+('Sales Order'!H748*0.11)+Invoice!G748</f>
        <v>846400458.89999998</v>
      </c>
      <c r="K748" s="41"/>
    </row>
    <row r="749" spans="1:11" ht="15.75" customHeight="1" x14ac:dyDescent="0.3">
      <c r="A749" s="40" t="s">
        <v>2028</v>
      </c>
      <c r="B749" s="40" t="s">
        <v>986</v>
      </c>
      <c r="C749" s="51" t="str">
        <f>VLOOKUP(B749,'Sales Order'!A$2:B$1029,1,0)</f>
        <v>SO0748</v>
      </c>
      <c r="D749" s="17" t="s">
        <v>1275</v>
      </c>
      <c r="E749" s="29" t="s">
        <v>170</v>
      </c>
      <c r="F749" s="29" t="s">
        <v>1276</v>
      </c>
      <c r="G749" s="32">
        <v>859350</v>
      </c>
      <c r="H749" s="43">
        <v>0.11</v>
      </c>
      <c r="I749" s="38">
        <v>43307193</v>
      </c>
      <c r="J749" s="42">
        <f>'Sales Order'!H749+('Sales Order'!H749*0.11)+Invoice!G749</f>
        <v>43307193</v>
      </c>
      <c r="K749" s="41"/>
    </row>
    <row r="750" spans="1:11" ht="15.75" customHeight="1" x14ac:dyDescent="0.3">
      <c r="A750" s="40" t="s">
        <v>2029</v>
      </c>
      <c r="B750" s="40" t="s">
        <v>987</v>
      </c>
      <c r="C750" s="51" t="str">
        <f>VLOOKUP(B750,'Sales Order'!A$2:B$1029,1,0)</f>
        <v>SO0749</v>
      </c>
      <c r="D750" s="17" t="s">
        <v>1279</v>
      </c>
      <c r="E750" s="29" t="s">
        <v>2312</v>
      </c>
      <c r="F750" s="29" t="s">
        <v>1285</v>
      </c>
      <c r="G750" s="18">
        <v>32352</v>
      </c>
      <c r="H750" s="43">
        <v>0.11</v>
      </c>
      <c r="I750" s="38">
        <v>1054026169.8</v>
      </c>
      <c r="J750" s="42">
        <f>'Sales Order'!H750+('Sales Order'!H750*0.11)+Invoice!G750</f>
        <v>1054026169.8</v>
      </c>
      <c r="K750" s="41"/>
    </row>
    <row r="751" spans="1:11" ht="15.75" customHeight="1" x14ac:dyDescent="0.3">
      <c r="A751" s="40" t="s">
        <v>2030</v>
      </c>
      <c r="B751" s="40" t="s">
        <v>988</v>
      </c>
      <c r="C751" s="51" t="str">
        <f>VLOOKUP(B751,'Sales Order'!A$2:B$1029,1,0)</f>
        <v>SO0750</v>
      </c>
      <c r="D751" s="17" t="s">
        <v>1275</v>
      </c>
      <c r="E751" s="29" t="s">
        <v>170</v>
      </c>
      <c r="F751" s="29" t="s">
        <v>1276</v>
      </c>
      <c r="G751" s="32">
        <v>859350</v>
      </c>
      <c r="H751" s="43">
        <v>0.11</v>
      </c>
      <c r="I751" s="38">
        <v>77819091</v>
      </c>
      <c r="J751" s="42">
        <f>'Sales Order'!H751+('Sales Order'!H751*0.11)+Invoice!G751</f>
        <v>77819091</v>
      </c>
      <c r="K751" s="41"/>
    </row>
    <row r="752" spans="1:11" ht="15.75" customHeight="1" x14ac:dyDescent="0.3">
      <c r="A752" s="40" t="s">
        <v>2031</v>
      </c>
      <c r="B752" s="40" t="s">
        <v>989</v>
      </c>
      <c r="C752" s="51" t="str">
        <f>VLOOKUP(B752,'Sales Order'!A$2:B$1029,1,0)</f>
        <v>SO0751</v>
      </c>
      <c r="D752" s="17" t="s">
        <v>1275</v>
      </c>
      <c r="E752" s="29" t="s">
        <v>2319</v>
      </c>
      <c r="F752" s="29" t="s">
        <v>1288</v>
      </c>
      <c r="G752" s="18">
        <v>353850</v>
      </c>
      <c r="H752" s="43">
        <v>0.11</v>
      </c>
      <c r="I752" s="38">
        <v>76159368.599999994</v>
      </c>
      <c r="J752" s="42">
        <f>'Sales Order'!H752+('Sales Order'!H752*0.11)+Invoice!G752</f>
        <v>76159368.599999994</v>
      </c>
      <c r="K752" s="41"/>
    </row>
    <row r="753" spans="1:11" ht="15.75" customHeight="1" x14ac:dyDescent="0.3">
      <c r="A753" s="40" t="s">
        <v>2032</v>
      </c>
      <c r="B753" s="40" t="s">
        <v>990</v>
      </c>
      <c r="C753" s="51" t="str">
        <f>VLOOKUP(B753,'Sales Order'!A$2:B$1029,1,0)</f>
        <v>SO0752</v>
      </c>
      <c r="D753" s="17" t="s">
        <v>1275</v>
      </c>
      <c r="E753" s="29" t="s">
        <v>2315</v>
      </c>
      <c r="F753" s="29" t="s">
        <v>1276</v>
      </c>
      <c r="G753" s="18">
        <v>556050</v>
      </c>
      <c r="H753" s="43">
        <v>0.11</v>
      </c>
      <c r="I753" s="38">
        <v>46243672.200000003</v>
      </c>
      <c r="J753" s="42">
        <f>'Sales Order'!H753+('Sales Order'!H753*0.11)+Invoice!G753</f>
        <v>46243672.200000003</v>
      </c>
      <c r="K753" s="41"/>
    </row>
    <row r="754" spans="1:11" ht="15.75" customHeight="1" x14ac:dyDescent="0.3">
      <c r="A754" s="40" t="s">
        <v>2033</v>
      </c>
      <c r="B754" s="40" t="s">
        <v>991</v>
      </c>
      <c r="C754" s="51" t="str">
        <f>VLOOKUP(B754,'Sales Order'!A$2:B$1029,1,0)</f>
        <v>SO0753</v>
      </c>
      <c r="D754" s="17" t="s">
        <v>1275</v>
      </c>
      <c r="E754" s="29" t="s">
        <v>2313</v>
      </c>
      <c r="F754" s="29" t="s">
        <v>1288</v>
      </c>
      <c r="G754" s="18">
        <v>808800</v>
      </c>
      <c r="H754" s="43">
        <v>0.11</v>
      </c>
      <c r="I754" s="38">
        <v>198694416.30000001</v>
      </c>
      <c r="J754" s="42">
        <f>'Sales Order'!H754+('Sales Order'!H754*0.11)+Invoice!G754</f>
        <v>198694416.30000001</v>
      </c>
      <c r="K754" s="41"/>
    </row>
    <row r="755" spans="1:11" ht="15.75" customHeight="1" x14ac:dyDescent="0.3">
      <c r="A755" s="40" t="s">
        <v>2034</v>
      </c>
      <c r="B755" s="40" t="s">
        <v>992</v>
      </c>
      <c r="C755" s="51" t="str">
        <f>VLOOKUP(B755,'Sales Order'!A$2:B$1029,1,0)</f>
        <v>SO0754</v>
      </c>
      <c r="D755" s="17" t="s">
        <v>1275</v>
      </c>
      <c r="E755" s="29" t="s">
        <v>2318</v>
      </c>
      <c r="F755" s="29" t="s">
        <v>1295</v>
      </c>
      <c r="G755" s="32">
        <v>859350</v>
      </c>
      <c r="H755" s="43">
        <v>0.11</v>
      </c>
      <c r="I755" s="38">
        <v>936772611</v>
      </c>
      <c r="J755" s="42">
        <f>'Sales Order'!H755+('Sales Order'!H755*0.11)+Invoice!G755</f>
        <v>936772611</v>
      </c>
      <c r="K755" s="41"/>
    </row>
    <row r="756" spans="1:11" ht="15.75" customHeight="1" x14ac:dyDescent="0.3">
      <c r="A756" s="40" t="s">
        <v>2035</v>
      </c>
      <c r="B756" s="40" t="s">
        <v>993</v>
      </c>
      <c r="C756" s="51" t="str">
        <f>VLOOKUP(B756,'Sales Order'!A$2:B$1029,1,0)</f>
        <v>SO0755</v>
      </c>
      <c r="D756" s="17" t="s">
        <v>1279</v>
      </c>
      <c r="E756" s="29" t="s">
        <v>118</v>
      </c>
      <c r="F756" s="29" t="s">
        <v>1288</v>
      </c>
      <c r="G756" s="18">
        <v>8088</v>
      </c>
      <c r="H756" s="43">
        <v>0.11</v>
      </c>
      <c r="I756" s="38">
        <v>69136690.200000003</v>
      </c>
      <c r="J756" s="42">
        <f>'Sales Order'!H756+('Sales Order'!H756*0.11)+Invoice!G756</f>
        <v>69136690.200000003</v>
      </c>
      <c r="K756" s="41"/>
    </row>
    <row r="757" spans="1:11" ht="15.75" customHeight="1" x14ac:dyDescent="0.3">
      <c r="A757" s="40" t="s">
        <v>2036</v>
      </c>
      <c r="B757" s="40" t="s">
        <v>994</v>
      </c>
      <c r="C757" s="51" t="str">
        <f>VLOOKUP(B757,'Sales Order'!A$2:B$1029,1,0)</f>
        <v>SO0756</v>
      </c>
      <c r="D757" s="17" t="s">
        <v>1275</v>
      </c>
      <c r="E757" s="29" t="s">
        <v>2320</v>
      </c>
      <c r="F757" s="29" t="s">
        <v>1295</v>
      </c>
      <c r="G757" s="32">
        <v>758250</v>
      </c>
      <c r="H757" s="43">
        <v>0.11</v>
      </c>
      <c r="I757" s="38">
        <v>641772138.89999998</v>
      </c>
      <c r="J757" s="42">
        <f>'Sales Order'!H757+('Sales Order'!H757*0.11)+Invoice!G757</f>
        <v>641772138.89999998</v>
      </c>
      <c r="K757" s="41"/>
    </row>
    <row r="758" spans="1:11" ht="15.75" customHeight="1" x14ac:dyDescent="0.3">
      <c r="A758" s="40" t="s">
        <v>2037</v>
      </c>
      <c r="B758" s="40" t="s">
        <v>995</v>
      </c>
      <c r="C758" s="51" t="str">
        <f>VLOOKUP(B758,'Sales Order'!A$2:B$1029,1,0)</f>
        <v>SO0757</v>
      </c>
      <c r="D758" s="17" t="s">
        <v>1275</v>
      </c>
      <c r="E758" s="29" t="s">
        <v>143</v>
      </c>
      <c r="F758" s="29" t="s">
        <v>1276</v>
      </c>
      <c r="G758" s="32">
        <v>859350</v>
      </c>
      <c r="H758" s="43">
        <v>0.11</v>
      </c>
      <c r="I758" s="38">
        <v>177379098</v>
      </c>
      <c r="J758" s="42">
        <f>'Sales Order'!H758+('Sales Order'!H758*0.11)+Invoice!G758</f>
        <v>177379098</v>
      </c>
      <c r="K758" s="41"/>
    </row>
    <row r="759" spans="1:11" ht="15.75" customHeight="1" x14ac:dyDescent="0.3">
      <c r="A759" s="40" t="s">
        <v>2038</v>
      </c>
      <c r="B759" s="40" t="s">
        <v>996</v>
      </c>
      <c r="C759" s="51" t="str">
        <f>VLOOKUP(B759,'Sales Order'!A$2:B$1029,1,0)</f>
        <v>SO0758</v>
      </c>
      <c r="D759" s="17" t="s">
        <v>1275</v>
      </c>
      <c r="E759" s="29" t="s">
        <v>170</v>
      </c>
      <c r="F759" s="29" t="s">
        <v>1295</v>
      </c>
      <c r="G759" s="32">
        <v>859350</v>
      </c>
      <c r="H759" s="43">
        <v>0.11</v>
      </c>
      <c r="I759" s="38">
        <v>344958928.19999999</v>
      </c>
      <c r="J759" s="42">
        <f>'Sales Order'!H759+('Sales Order'!H759*0.11)+Invoice!G759</f>
        <v>344958928.19999999</v>
      </c>
      <c r="K759" s="41"/>
    </row>
    <row r="760" spans="1:11" ht="15.75" customHeight="1" x14ac:dyDescent="0.3">
      <c r="A760" s="40" t="s">
        <v>2039</v>
      </c>
      <c r="B760" s="40" t="s">
        <v>997</v>
      </c>
      <c r="C760" s="51" t="str">
        <f>VLOOKUP(B760,'Sales Order'!A$2:B$1029,1,0)</f>
        <v>SO0759</v>
      </c>
      <c r="D760" s="17" t="s">
        <v>1279</v>
      </c>
      <c r="E760" s="29" t="s">
        <v>2312</v>
      </c>
      <c r="F760" s="29" t="s">
        <v>1276</v>
      </c>
      <c r="G760" s="18">
        <v>32352</v>
      </c>
      <c r="H760" s="43">
        <v>0.11</v>
      </c>
      <c r="I760" s="38">
        <v>7750293</v>
      </c>
      <c r="J760" s="42">
        <f>'Sales Order'!H760+('Sales Order'!H760*0.11)+Invoice!G760</f>
        <v>7750293</v>
      </c>
      <c r="K760" s="41"/>
    </row>
    <row r="761" spans="1:11" ht="15.75" customHeight="1" x14ac:dyDescent="0.3">
      <c r="A761" s="40" t="s">
        <v>2040</v>
      </c>
      <c r="B761" s="40" t="s">
        <v>998</v>
      </c>
      <c r="C761" s="51" t="str">
        <f>VLOOKUP(B761,'Sales Order'!A$2:B$1029,1,0)</f>
        <v>SO0760</v>
      </c>
      <c r="D761" s="17" t="s">
        <v>1275</v>
      </c>
      <c r="E761" s="29" t="s">
        <v>2316</v>
      </c>
      <c r="F761" s="29" t="s">
        <v>1288</v>
      </c>
      <c r="G761" s="18">
        <v>556050</v>
      </c>
      <c r="H761" s="43">
        <v>0.11</v>
      </c>
      <c r="I761" s="38">
        <v>58901479.5</v>
      </c>
      <c r="J761" s="42">
        <f>'Sales Order'!H761+('Sales Order'!H761*0.11)+Invoice!G761</f>
        <v>58901479.5</v>
      </c>
      <c r="K761" s="41"/>
    </row>
    <row r="762" spans="1:11" ht="15.75" customHeight="1" x14ac:dyDescent="0.3">
      <c r="A762" s="40" t="s">
        <v>2041</v>
      </c>
      <c r="B762" s="40" t="s">
        <v>999</v>
      </c>
      <c r="C762" s="51" t="str">
        <f>VLOOKUP(B762,'Sales Order'!A$2:B$1029,1,0)</f>
        <v>SO0761</v>
      </c>
      <c r="D762" s="17" t="s">
        <v>1275</v>
      </c>
      <c r="E762" s="29" t="s">
        <v>2318</v>
      </c>
      <c r="F762" s="29" t="s">
        <v>1288</v>
      </c>
      <c r="G762" s="32">
        <v>859350</v>
      </c>
      <c r="H762" s="43">
        <v>0.11</v>
      </c>
      <c r="I762" s="38">
        <v>86543402.400000006</v>
      </c>
      <c r="J762" s="42">
        <f>'Sales Order'!H762+('Sales Order'!H762*0.11)+Invoice!G762</f>
        <v>86543402.400000006</v>
      </c>
      <c r="K762" s="41"/>
    </row>
    <row r="763" spans="1:11" ht="15.75" customHeight="1" x14ac:dyDescent="0.3">
      <c r="A763" s="40" t="s">
        <v>2042</v>
      </c>
      <c r="B763" s="40" t="s">
        <v>1000</v>
      </c>
      <c r="C763" s="51" t="str">
        <f>VLOOKUP(B763,'Sales Order'!A$2:B$1029,1,0)</f>
        <v>SO0762</v>
      </c>
      <c r="D763" s="17" t="s">
        <v>1279</v>
      </c>
      <c r="E763" s="29" t="s">
        <v>150</v>
      </c>
      <c r="F763" s="29" t="s">
        <v>1280</v>
      </c>
      <c r="G763" s="18">
        <v>32352</v>
      </c>
      <c r="H763" s="43">
        <v>0.11</v>
      </c>
      <c r="I763" s="38">
        <v>699671296.04999995</v>
      </c>
      <c r="J763" s="42">
        <f>'Sales Order'!H763+('Sales Order'!H763*0.11)+Invoice!G763</f>
        <v>699671296.04999995</v>
      </c>
      <c r="K763" s="41"/>
    </row>
    <row r="764" spans="1:11" ht="15.75" customHeight="1" x14ac:dyDescent="0.3">
      <c r="A764" s="40" t="s">
        <v>2043</v>
      </c>
      <c r="B764" s="40" t="s">
        <v>1001</v>
      </c>
      <c r="C764" s="51" t="str">
        <f>VLOOKUP(B764,'Sales Order'!A$2:B$1029,1,0)</f>
        <v>SO0763</v>
      </c>
      <c r="D764" s="17" t="s">
        <v>1275</v>
      </c>
      <c r="E764" s="29" t="s">
        <v>143</v>
      </c>
      <c r="F764" s="29" t="s">
        <v>1288</v>
      </c>
      <c r="G764" s="32">
        <v>859350</v>
      </c>
      <c r="H764" s="43">
        <v>0.11</v>
      </c>
      <c r="I764" s="38">
        <v>24311108.100000001</v>
      </c>
      <c r="J764" s="42">
        <f>'Sales Order'!H764+('Sales Order'!H764*0.11)+Invoice!G764</f>
        <v>24311108.100000001</v>
      </c>
      <c r="K764" s="41"/>
    </row>
    <row r="765" spans="1:11" ht="15.75" customHeight="1" x14ac:dyDescent="0.3">
      <c r="A765" s="40" t="s">
        <v>2044</v>
      </c>
      <c r="B765" s="40" t="s">
        <v>1002</v>
      </c>
      <c r="C765" s="51" t="str">
        <f>VLOOKUP(B765,'Sales Order'!A$2:B$1029,1,0)</f>
        <v>SO0764</v>
      </c>
      <c r="D765" s="17" t="s">
        <v>1275</v>
      </c>
      <c r="E765" s="29" t="s">
        <v>2314</v>
      </c>
      <c r="F765" s="29" t="s">
        <v>1295</v>
      </c>
      <c r="G765" s="18">
        <v>808800</v>
      </c>
      <c r="H765" s="43">
        <v>0.11</v>
      </c>
      <c r="I765" s="38">
        <v>708196593</v>
      </c>
      <c r="J765" s="42">
        <f>'Sales Order'!H765+('Sales Order'!H765*0.11)+Invoice!G765</f>
        <v>708196593</v>
      </c>
      <c r="K765" s="41"/>
    </row>
    <row r="766" spans="1:11" ht="15.75" customHeight="1" x14ac:dyDescent="0.3">
      <c r="A766" s="40" t="s">
        <v>2045</v>
      </c>
      <c r="B766" s="40" t="s">
        <v>1003</v>
      </c>
      <c r="C766" s="51" t="str">
        <f>VLOOKUP(B766,'Sales Order'!A$2:B$1029,1,0)</f>
        <v>SO0765</v>
      </c>
      <c r="D766" s="17" t="s">
        <v>1275</v>
      </c>
      <c r="E766" s="29" t="s">
        <v>2314</v>
      </c>
      <c r="F766" s="29" t="s">
        <v>1295</v>
      </c>
      <c r="G766" s="18">
        <v>808800</v>
      </c>
      <c r="H766" s="43">
        <v>0.11</v>
      </c>
      <c r="I766" s="38">
        <v>356531587.80000001</v>
      </c>
      <c r="J766" s="42">
        <f>'Sales Order'!H766+('Sales Order'!H766*0.11)+Invoice!G766</f>
        <v>356531587.80000001</v>
      </c>
      <c r="K766" s="41"/>
    </row>
    <row r="767" spans="1:11" ht="15.75" customHeight="1" x14ac:dyDescent="0.3">
      <c r="A767" s="40" t="s">
        <v>2046</v>
      </c>
      <c r="B767" s="40" t="s">
        <v>1004</v>
      </c>
      <c r="C767" s="51" t="str">
        <f>VLOOKUP(B767,'Sales Order'!A$2:B$1029,1,0)</f>
        <v>SO0766</v>
      </c>
      <c r="D767" s="17" t="s">
        <v>1275</v>
      </c>
      <c r="E767" s="29" t="s">
        <v>2319</v>
      </c>
      <c r="F767" s="29" t="s">
        <v>1295</v>
      </c>
      <c r="G767" s="18">
        <v>353850</v>
      </c>
      <c r="H767" s="43">
        <v>0.11</v>
      </c>
      <c r="I767" s="38">
        <v>952722428.10000002</v>
      </c>
      <c r="J767" s="42">
        <f>'Sales Order'!H767+('Sales Order'!H767*0.11)+Invoice!G767</f>
        <v>952722428.10000002</v>
      </c>
      <c r="K767" s="41"/>
    </row>
    <row r="768" spans="1:11" ht="15.75" customHeight="1" x14ac:dyDescent="0.3">
      <c r="A768" s="40" t="s">
        <v>2047</v>
      </c>
      <c r="B768" s="40" t="s">
        <v>1005</v>
      </c>
      <c r="C768" s="51" t="str">
        <f>VLOOKUP(B768,'Sales Order'!A$2:B$1029,1,0)</f>
        <v>SO0767</v>
      </c>
      <c r="D768" s="17" t="s">
        <v>1275</v>
      </c>
      <c r="E768" s="29" t="s">
        <v>2316</v>
      </c>
      <c r="F768" s="29" t="s">
        <v>1285</v>
      </c>
      <c r="G768" s="18">
        <v>556050</v>
      </c>
      <c r="H768" s="43">
        <v>0.11</v>
      </c>
      <c r="I768" s="38">
        <v>292691144.69999999</v>
      </c>
      <c r="J768" s="42">
        <f>'Sales Order'!H768+('Sales Order'!H768*0.11)+Invoice!G768</f>
        <v>292691144.69999999</v>
      </c>
      <c r="K768" s="41"/>
    </row>
    <row r="769" spans="1:11" ht="15.75" customHeight="1" x14ac:dyDescent="0.3">
      <c r="A769" s="40" t="s">
        <v>2048</v>
      </c>
      <c r="B769" s="40" t="s">
        <v>1006</v>
      </c>
      <c r="C769" s="51" t="str">
        <f>VLOOKUP(B769,'Sales Order'!A$2:B$1029,1,0)</f>
        <v>SO0768</v>
      </c>
      <c r="D769" s="17" t="s">
        <v>1275</v>
      </c>
      <c r="E769" s="29" t="s">
        <v>2314</v>
      </c>
      <c r="F769" s="29" t="s">
        <v>1288</v>
      </c>
      <c r="G769" s="18">
        <v>808800</v>
      </c>
      <c r="H769" s="43">
        <v>0.11</v>
      </c>
      <c r="I769" s="38">
        <v>45767546.25</v>
      </c>
      <c r="J769" s="42">
        <f>'Sales Order'!H769+('Sales Order'!H769*0.11)+Invoice!G769</f>
        <v>45767546.25</v>
      </c>
      <c r="K769" s="41"/>
    </row>
    <row r="770" spans="1:11" ht="15.75" customHeight="1" x14ac:dyDescent="0.3">
      <c r="A770" s="40" t="s">
        <v>2049</v>
      </c>
      <c r="B770" s="40" t="s">
        <v>1007</v>
      </c>
      <c r="C770" s="51" t="str">
        <f>VLOOKUP(B770,'Sales Order'!A$2:B$1029,1,0)</f>
        <v>SO0769</v>
      </c>
      <c r="D770" s="17" t="s">
        <v>1275</v>
      </c>
      <c r="E770" s="29" t="s">
        <v>143</v>
      </c>
      <c r="F770" s="29" t="s">
        <v>1285</v>
      </c>
      <c r="G770" s="32">
        <v>859350</v>
      </c>
      <c r="H770" s="43">
        <v>0.11</v>
      </c>
      <c r="I770" s="38">
        <v>379999841.10000002</v>
      </c>
      <c r="J770" s="42">
        <f>'Sales Order'!H770+('Sales Order'!H770*0.11)+Invoice!G770</f>
        <v>379999841.10000002</v>
      </c>
      <c r="K770" s="41"/>
    </row>
    <row r="771" spans="1:11" ht="15.75" customHeight="1" x14ac:dyDescent="0.3">
      <c r="A771" s="40" t="s">
        <v>2050</v>
      </c>
      <c r="B771" s="40" t="s">
        <v>1008</v>
      </c>
      <c r="C771" s="51" t="str">
        <f>VLOOKUP(B771,'Sales Order'!A$2:B$1029,1,0)</f>
        <v>SO0770</v>
      </c>
      <c r="D771" s="17" t="s">
        <v>1275</v>
      </c>
      <c r="E771" s="29" t="s">
        <v>2318</v>
      </c>
      <c r="F771" s="29" t="s">
        <v>1288</v>
      </c>
      <c r="G771" s="32">
        <v>859350</v>
      </c>
      <c r="H771" s="43">
        <v>0.11</v>
      </c>
      <c r="I771" s="38">
        <v>230149263.90000001</v>
      </c>
      <c r="J771" s="42">
        <f>'Sales Order'!H771+('Sales Order'!H771*0.11)+Invoice!G771</f>
        <v>230149263.90000001</v>
      </c>
      <c r="K771" s="41"/>
    </row>
    <row r="772" spans="1:11" ht="15.75" customHeight="1" x14ac:dyDescent="0.3">
      <c r="A772" s="40" t="s">
        <v>2051</v>
      </c>
      <c r="B772" s="40" t="s">
        <v>1009</v>
      </c>
      <c r="C772" s="51" t="str">
        <f>VLOOKUP(B772,'Sales Order'!A$2:B$1029,1,0)</f>
        <v>SO0771</v>
      </c>
      <c r="D772" s="17" t="s">
        <v>1275</v>
      </c>
      <c r="E772" s="29" t="s">
        <v>170</v>
      </c>
      <c r="F772" s="29" t="s">
        <v>1295</v>
      </c>
      <c r="G772" s="32">
        <v>859350</v>
      </c>
      <c r="H772" s="43">
        <v>0.11</v>
      </c>
      <c r="I772" s="38">
        <v>310478909.39999998</v>
      </c>
      <c r="J772" s="42">
        <f>'Sales Order'!H772+('Sales Order'!H772*0.11)+Invoice!G772</f>
        <v>310478909.39999998</v>
      </c>
      <c r="K772" s="41"/>
    </row>
    <row r="773" spans="1:11" ht="15.75" customHeight="1" x14ac:dyDescent="0.3">
      <c r="A773" s="40" t="s">
        <v>2052</v>
      </c>
      <c r="B773" s="40" t="s">
        <v>1010</v>
      </c>
      <c r="C773" s="51" t="str">
        <f>VLOOKUP(B773,'Sales Order'!A$2:B$1029,1,0)</f>
        <v>SO0772</v>
      </c>
      <c r="D773" s="17" t="s">
        <v>1279</v>
      </c>
      <c r="E773" s="29" t="s">
        <v>118</v>
      </c>
      <c r="F773" s="29" t="s">
        <v>1276</v>
      </c>
      <c r="G773" s="18">
        <v>8088</v>
      </c>
      <c r="H773" s="43">
        <v>0.11</v>
      </c>
      <c r="I773" s="38">
        <v>237632081.69999999</v>
      </c>
      <c r="J773" s="42">
        <f>'Sales Order'!H773+('Sales Order'!H773*0.11)+Invoice!G773</f>
        <v>237632081.69999999</v>
      </c>
      <c r="K773" s="41"/>
    </row>
    <row r="774" spans="1:11" ht="15.75" customHeight="1" x14ac:dyDescent="0.3">
      <c r="A774" s="40" t="s">
        <v>2053</v>
      </c>
      <c r="B774" s="40" t="s">
        <v>1011</v>
      </c>
      <c r="C774" s="51" t="str">
        <f>VLOOKUP(B774,'Sales Order'!A$2:B$1029,1,0)</f>
        <v>SO0773</v>
      </c>
      <c r="D774" s="17" t="s">
        <v>1279</v>
      </c>
      <c r="E774" s="29" t="s">
        <v>118</v>
      </c>
      <c r="F774" s="29" t="s">
        <v>1295</v>
      </c>
      <c r="G774" s="18">
        <v>8088</v>
      </c>
      <c r="H774" s="43">
        <v>0.11</v>
      </c>
      <c r="I774" s="38">
        <v>533890737.60000002</v>
      </c>
      <c r="J774" s="42">
        <f>'Sales Order'!H774+('Sales Order'!H774*0.11)+Invoice!G774</f>
        <v>533890737.60000002</v>
      </c>
      <c r="K774" s="41"/>
    </row>
    <row r="775" spans="1:11" ht="15.75" customHeight="1" x14ac:dyDescent="0.3">
      <c r="A775" s="40" t="s">
        <v>2054</v>
      </c>
      <c r="B775" s="40" t="s">
        <v>1012</v>
      </c>
      <c r="C775" s="51" t="str">
        <f>VLOOKUP(B775,'Sales Order'!A$2:B$1029,1,0)</f>
        <v>SO0774</v>
      </c>
      <c r="D775" s="17" t="s">
        <v>1279</v>
      </c>
      <c r="E775" s="29" t="s">
        <v>2312</v>
      </c>
      <c r="F775" s="29" t="s">
        <v>1288</v>
      </c>
      <c r="G775" s="18">
        <v>32352</v>
      </c>
      <c r="H775" s="43">
        <v>0.11</v>
      </c>
      <c r="I775" s="38">
        <v>4547499</v>
      </c>
      <c r="J775" s="42">
        <f>'Sales Order'!H775+('Sales Order'!H775*0.11)+Invoice!G775</f>
        <v>4547499</v>
      </c>
      <c r="K775" s="41"/>
    </row>
    <row r="776" spans="1:11" ht="15.75" customHeight="1" x14ac:dyDescent="0.3">
      <c r="A776" s="40" t="s">
        <v>2055</v>
      </c>
      <c r="B776" s="40" t="s">
        <v>1013</v>
      </c>
      <c r="C776" s="51" t="str">
        <f>VLOOKUP(B776,'Sales Order'!A$2:B$1029,1,0)</f>
        <v>SO0775</v>
      </c>
      <c r="D776" s="17" t="s">
        <v>1279</v>
      </c>
      <c r="E776" s="29" t="s">
        <v>2312</v>
      </c>
      <c r="F776" s="29" t="s">
        <v>1276</v>
      </c>
      <c r="G776" s="18">
        <v>32352</v>
      </c>
      <c r="H776" s="43">
        <v>0.11</v>
      </c>
      <c r="I776" s="38">
        <v>58835117.039999999</v>
      </c>
      <c r="J776" s="42">
        <f>'Sales Order'!H776+('Sales Order'!H776*0.11)+Invoice!G776</f>
        <v>58835117.039999999</v>
      </c>
      <c r="K776" s="41"/>
    </row>
    <row r="777" spans="1:11" ht="15.75" customHeight="1" x14ac:dyDescent="0.3">
      <c r="A777" s="40" t="s">
        <v>2056</v>
      </c>
      <c r="B777" s="40" t="s">
        <v>1014</v>
      </c>
      <c r="C777" s="51" t="str">
        <f>VLOOKUP(B777,'Sales Order'!A$2:B$1029,1,0)</f>
        <v>SO0776</v>
      </c>
      <c r="D777" s="17" t="s">
        <v>1275</v>
      </c>
      <c r="E777" s="29" t="s">
        <v>2315</v>
      </c>
      <c r="F777" s="29" t="s">
        <v>1276</v>
      </c>
      <c r="G777" s="18">
        <v>556050</v>
      </c>
      <c r="H777" s="43">
        <v>0.11</v>
      </c>
      <c r="I777" s="38">
        <v>113509872</v>
      </c>
      <c r="J777" s="42">
        <f>'Sales Order'!H777+('Sales Order'!H777*0.11)+Invoice!G777</f>
        <v>113509872</v>
      </c>
      <c r="K777" s="41"/>
    </row>
    <row r="778" spans="1:11" ht="15.75" customHeight="1" x14ac:dyDescent="0.3">
      <c r="A778" s="40" t="s">
        <v>2057</v>
      </c>
      <c r="B778" s="40" t="s">
        <v>1015</v>
      </c>
      <c r="C778" s="51" t="str">
        <f>VLOOKUP(B778,'Sales Order'!A$2:B$1029,1,0)</f>
        <v>SO0777</v>
      </c>
      <c r="D778" s="17" t="s">
        <v>1275</v>
      </c>
      <c r="E778" s="29" t="s">
        <v>2314</v>
      </c>
      <c r="F778" s="29" t="s">
        <v>1276</v>
      </c>
      <c r="G778" s="18">
        <v>808800</v>
      </c>
      <c r="H778" s="43">
        <v>0.11</v>
      </c>
      <c r="I778" s="38">
        <v>37792978.799999997</v>
      </c>
      <c r="J778" s="42">
        <f>'Sales Order'!H778+('Sales Order'!H778*0.11)+Invoice!G778</f>
        <v>37792978.799999997</v>
      </c>
      <c r="K778" s="41"/>
    </row>
    <row r="779" spans="1:11" ht="15.75" customHeight="1" x14ac:dyDescent="0.3">
      <c r="A779" s="40" t="s">
        <v>2058</v>
      </c>
      <c r="B779" s="40" t="s">
        <v>1016</v>
      </c>
      <c r="C779" s="51" t="str">
        <f>VLOOKUP(B779,'Sales Order'!A$2:B$1029,1,0)</f>
        <v>SO0778</v>
      </c>
      <c r="D779" s="17" t="s">
        <v>1275</v>
      </c>
      <c r="E779" s="29" t="s">
        <v>2315</v>
      </c>
      <c r="F779" s="29" t="s">
        <v>1295</v>
      </c>
      <c r="G779" s="18">
        <v>556050</v>
      </c>
      <c r="H779" s="43">
        <v>0.11</v>
      </c>
      <c r="I779" s="38">
        <v>551670139.79999995</v>
      </c>
      <c r="J779" s="42">
        <f>'Sales Order'!H779+('Sales Order'!H779*0.11)+Invoice!G779</f>
        <v>551670139.79999995</v>
      </c>
      <c r="K779" s="41"/>
    </row>
    <row r="780" spans="1:11" ht="15.75" customHeight="1" x14ac:dyDescent="0.3">
      <c r="A780" s="40" t="s">
        <v>2059</v>
      </c>
      <c r="B780" s="40" t="s">
        <v>1017</v>
      </c>
      <c r="C780" s="51" t="str">
        <f>VLOOKUP(B780,'Sales Order'!A$2:B$1029,1,0)</f>
        <v>SO0779</v>
      </c>
      <c r="D780" s="17" t="s">
        <v>1279</v>
      </c>
      <c r="E780" s="29" t="s">
        <v>118</v>
      </c>
      <c r="F780" s="29" t="s">
        <v>1295</v>
      </c>
      <c r="G780" s="18">
        <v>8088</v>
      </c>
      <c r="H780" s="43">
        <v>0.11</v>
      </c>
      <c r="I780" s="38">
        <v>378788155.44</v>
      </c>
      <c r="J780" s="42">
        <f>'Sales Order'!H780+('Sales Order'!H780*0.11)+Invoice!G780</f>
        <v>378788155.44</v>
      </c>
      <c r="K780" s="41"/>
    </row>
    <row r="781" spans="1:11" ht="15.75" customHeight="1" x14ac:dyDescent="0.3">
      <c r="A781" s="40" t="s">
        <v>2060</v>
      </c>
      <c r="B781" s="40" t="s">
        <v>1018</v>
      </c>
      <c r="C781" s="51" t="str">
        <f>VLOOKUP(B781,'Sales Order'!A$2:B$1029,1,0)</f>
        <v>SO0780</v>
      </c>
      <c r="D781" s="17" t="s">
        <v>1275</v>
      </c>
      <c r="E781" s="29" t="s">
        <v>2318</v>
      </c>
      <c r="F781" s="29" t="s">
        <v>1288</v>
      </c>
      <c r="G781" s="32">
        <v>859350</v>
      </c>
      <c r="H781" s="43">
        <v>0.11</v>
      </c>
      <c r="I781" s="38">
        <v>137482068.30000001</v>
      </c>
      <c r="J781" s="42">
        <f>'Sales Order'!H781+('Sales Order'!H781*0.11)+Invoice!G781</f>
        <v>137482068.30000001</v>
      </c>
      <c r="K781" s="41"/>
    </row>
    <row r="782" spans="1:11" ht="15.75" customHeight="1" x14ac:dyDescent="0.3">
      <c r="A782" s="40" t="s">
        <v>2061</v>
      </c>
      <c r="B782" s="40" t="s">
        <v>1019</v>
      </c>
      <c r="C782" s="51" t="str">
        <f>VLOOKUP(B782,'Sales Order'!A$2:B$1029,1,0)</f>
        <v>SO0781</v>
      </c>
      <c r="D782" s="17" t="s">
        <v>1279</v>
      </c>
      <c r="E782" s="29" t="s">
        <v>2312</v>
      </c>
      <c r="F782" s="29" t="s">
        <v>1276</v>
      </c>
      <c r="G782" s="18">
        <v>32352</v>
      </c>
      <c r="H782" s="43">
        <v>0.11</v>
      </c>
      <c r="I782" s="38">
        <v>206912509.19999999</v>
      </c>
      <c r="J782" s="42">
        <f>'Sales Order'!H782+('Sales Order'!H782*0.11)+Invoice!G782</f>
        <v>206912509.19999999</v>
      </c>
      <c r="K782" s="41"/>
    </row>
    <row r="783" spans="1:11" ht="15.75" customHeight="1" x14ac:dyDescent="0.3">
      <c r="A783" s="40" t="s">
        <v>2062</v>
      </c>
      <c r="B783" s="40" t="s">
        <v>1020</v>
      </c>
      <c r="C783" s="51" t="str">
        <f>VLOOKUP(B783,'Sales Order'!A$2:B$1029,1,0)</f>
        <v>SO0782</v>
      </c>
      <c r="D783" s="17" t="s">
        <v>1275</v>
      </c>
      <c r="E783" s="29" t="s">
        <v>143</v>
      </c>
      <c r="F783" s="29" t="s">
        <v>1285</v>
      </c>
      <c r="G783" s="32">
        <v>859350</v>
      </c>
      <c r="H783" s="43">
        <v>0.11</v>
      </c>
      <c r="I783" s="38">
        <v>492063176.69999999</v>
      </c>
      <c r="J783" s="42">
        <f>'Sales Order'!H783+('Sales Order'!H783*0.11)+Invoice!G783</f>
        <v>492063176.69999999</v>
      </c>
      <c r="K783" s="41"/>
    </row>
    <row r="784" spans="1:11" ht="15.75" customHeight="1" x14ac:dyDescent="0.3">
      <c r="A784" s="40" t="s">
        <v>2063</v>
      </c>
      <c r="B784" s="40" t="s">
        <v>1021</v>
      </c>
      <c r="C784" s="51" t="str">
        <f>VLOOKUP(B784,'Sales Order'!A$2:B$1029,1,0)</f>
        <v>SO0783</v>
      </c>
      <c r="D784" s="17" t="s">
        <v>1275</v>
      </c>
      <c r="E784" s="29" t="s">
        <v>2315</v>
      </c>
      <c r="F784" s="29" t="s">
        <v>1295</v>
      </c>
      <c r="G784" s="18">
        <v>556050</v>
      </c>
      <c r="H784" s="43">
        <v>0.11</v>
      </c>
      <c r="I784" s="38">
        <v>889562820</v>
      </c>
      <c r="J784" s="42">
        <f>'Sales Order'!H784+('Sales Order'!H784*0.11)+Invoice!G784</f>
        <v>889562820</v>
      </c>
      <c r="K784" s="41"/>
    </row>
    <row r="785" spans="1:11" ht="15.75" customHeight="1" x14ac:dyDescent="0.3">
      <c r="A785" s="40" t="s">
        <v>2064</v>
      </c>
      <c r="B785" s="40" t="s">
        <v>1022</v>
      </c>
      <c r="C785" s="51" t="str">
        <f>VLOOKUP(B785,'Sales Order'!A$2:B$1029,1,0)</f>
        <v>SO0784</v>
      </c>
      <c r="D785" s="17" t="s">
        <v>1279</v>
      </c>
      <c r="E785" s="29" t="s">
        <v>118</v>
      </c>
      <c r="F785" s="29" t="s">
        <v>1285</v>
      </c>
      <c r="G785" s="18">
        <v>8088</v>
      </c>
      <c r="H785" s="43">
        <v>0.11</v>
      </c>
      <c r="I785" s="38">
        <v>297726837.89999998</v>
      </c>
      <c r="J785" s="42">
        <f>'Sales Order'!H785+('Sales Order'!H785*0.11)+Invoice!G785</f>
        <v>297726837.89999998</v>
      </c>
      <c r="K785" s="41"/>
    </row>
    <row r="786" spans="1:11" ht="15.75" customHeight="1" x14ac:dyDescent="0.3">
      <c r="A786" s="40" t="s">
        <v>2065</v>
      </c>
      <c r="B786" s="40" t="s">
        <v>1023</v>
      </c>
      <c r="C786" s="51" t="str">
        <f>VLOOKUP(B786,'Sales Order'!A$2:B$1029,1,0)</f>
        <v>SO0785</v>
      </c>
      <c r="D786" s="17" t="s">
        <v>1275</v>
      </c>
      <c r="E786" s="29" t="s">
        <v>143</v>
      </c>
      <c r="F786" s="29" t="s">
        <v>1276</v>
      </c>
      <c r="G786" s="32">
        <v>859350</v>
      </c>
      <c r="H786" s="43">
        <v>0.11</v>
      </c>
      <c r="I786" s="38">
        <v>25324194</v>
      </c>
      <c r="J786" s="42">
        <f>'Sales Order'!H786+('Sales Order'!H786*0.11)+Invoice!G786</f>
        <v>25324194</v>
      </c>
      <c r="K786" s="41"/>
    </row>
    <row r="787" spans="1:11" ht="15.75" customHeight="1" x14ac:dyDescent="0.3">
      <c r="A787" s="40" t="s">
        <v>2066</v>
      </c>
      <c r="B787" s="40" t="s">
        <v>1024</v>
      </c>
      <c r="C787" s="51" t="str">
        <f>VLOOKUP(B787,'Sales Order'!A$2:B$1029,1,0)</f>
        <v>SO0786</v>
      </c>
      <c r="D787" s="17" t="s">
        <v>1275</v>
      </c>
      <c r="E787" s="29" t="s">
        <v>2313</v>
      </c>
      <c r="F787" s="29" t="s">
        <v>1276</v>
      </c>
      <c r="G787" s="18">
        <v>808800</v>
      </c>
      <c r="H787" s="43">
        <v>0.11</v>
      </c>
      <c r="I787" s="38">
        <v>79207656</v>
      </c>
      <c r="J787" s="42">
        <f>'Sales Order'!H787+('Sales Order'!H787*0.11)+Invoice!G787</f>
        <v>79207656</v>
      </c>
      <c r="K787" s="41"/>
    </row>
    <row r="788" spans="1:11" ht="15.75" customHeight="1" x14ac:dyDescent="0.3">
      <c r="A788" s="40" t="s">
        <v>2067</v>
      </c>
      <c r="B788" s="40" t="s">
        <v>1025</v>
      </c>
      <c r="C788" s="51" t="str">
        <f>VLOOKUP(B788,'Sales Order'!A$2:B$1029,1,0)</f>
        <v>SO0787</v>
      </c>
      <c r="D788" s="17" t="s">
        <v>1279</v>
      </c>
      <c r="E788" s="29" t="s">
        <v>150</v>
      </c>
      <c r="F788" s="29" t="s">
        <v>1288</v>
      </c>
      <c r="G788" s="18">
        <v>32352</v>
      </c>
      <c r="H788" s="43">
        <v>0.11</v>
      </c>
      <c r="I788" s="38">
        <v>143035605.59999999</v>
      </c>
      <c r="J788" s="42">
        <f>'Sales Order'!H788+('Sales Order'!H788*0.11)+Invoice!G788</f>
        <v>143035605.59999999</v>
      </c>
      <c r="K788" s="41"/>
    </row>
    <row r="789" spans="1:11" ht="15.75" customHeight="1" x14ac:dyDescent="0.3">
      <c r="A789" s="40" t="s">
        <v>2068</v>
      </c>
      <c r="B789" s="40" t="s">
        <v>1026</v>
      </c>
      <c r="C789" s="51" t="str">
        <f>VLOOKUP(B789,'Sales Order'!A$2:B$1029,1,0)</f>
        <v>SO0788</v>
      </c>
      <c r="D789" s="17" t="s">
        <v>1279</v>
      </c>
      <c r="E789" s="29" t="s">
        <v>118</v>
      </c>
      <c r="F789" s="29" t="s">
        <v>1295</v>
      </c>
      <c r="G789" s="18">
        <v>8088</v>
      </c>
      <c r="H789" s="43">
        <v>0.11</v>
      </c>
      <c r="I789" s="38">
        <v>334507653.60000002</v>
      </c>
      <c r="J789" s="42">
        <f>'Sales Order'!H789+('Sales Order'!H789*0.11)+Invoice!G789</f>
        <v>334507653.60000002</v>
      </c>
      <c r="K789" s="41"/>
    </row>
    <row r="790" spans="1:11" ht="15.75" customHeight="1" x14ac:dyDescent="0.3">
      <c r="A790" s="40" t="s">
        <v>2069</v>
      </c>
      <c r="B790" s="40" t="s">
        <v>1027</v>
      </c>
      <c r="C790" s="51" t="str">
        <f>VLOOKUP(B790,'Sales Order'!A$2:B$1029,1,0)</f>
        <v>SO0789</v>
      </c>
      <c r="D790" s="17" t="s">
        <v>1275</v>
      </c>
      <c r="E790" s="29" t="s">
        <v>2314</v>
      </c>
      <c r="F790" s="29" t="s">
        <v>1280</v>
      </c>
      <c r="G790" s="18">
        <v>808800</v>
      </c>
      <c r="H790" s="43">
        <v>0.11</v>
      </c>
      <c r="I790" s="38">
        <v>288295625.39999998</v>
      </c>
      <c r="J790" s="42">
        <f>'Sales Order'!H790+('Sales Order'!H790*0.11)+Invoice!G790</f>
        <v>288295625.39999998</v>
      </c>
      <c r="K790" s="41"/>
    </row>
    <row r="791" spans="1:11" ht="15.75" customHeight="1" x14ac:dyDescent="0.3">
      <c r="A791" s="40" t="s">
        <v>2070</v>
      </c>
      <c r="B791" s="40" t="s">
        <v>1028</v>
      </c>
      <c r="C791" s="51" t="str">
        <f>VLOOKUP(B791,'Sales Order'!A$2:B$1029,1,0)</f>
        <v>SO0790</v>
      </c>
      <c r="D791" s="17" t="s">
        <v>1279</v>
      </c>
      <c r="E791" s="29" t="s">
        <v>118</v>
      </c>
      <c r="F791" s="29" t="s">
        <v>1295</v>
      </c>
      <c r="G791" s="18">
        <v>8088</v>
      </c>
      <c r="H791" s="43">
        <v>0.11</v>
      </c>
      <c r="I791" s="38">
        <v>657929297.10000002</v>
      </c>
      <c r="J791" s="42">
        <f>'Sales Order'!H791+('Sales Order'!H791*0.11)+Invoice!G791</f>
        <v>657929297.10000002</v>
      </c>
      <c r="K791" s="41"/>
    </row>
    <row r="792" spans="1:11" ht="15.75" customHeight="1" x14ac:dyDescent="0.3">
      <c r="A792" s="40" t="s">
        <v>2071</v>
      </c>
      <c r="B792" s="40" t="s">
        <v>1029</v>
      </c>
      <c r="C792" s="51" t="str">
        <f>VLOOKUP(B792,'Sales Order'!A$2:B$1029,1,0)</f>
        <v>SO0791</v>
      </c>
      <c r="D792" s="17" t="s">
        <v>1279</v>
      </c>
      <c r="E792" s="29" t="s">
        <v>2312</v>
      </c>
      <c r="F792" s="29" t="s">
        <v>1280</v>
      </c>
      <c r="G792" s="18">
        <v>32352</v>
      </c>
      <c r="H792" s="43">
        <v>0.11</v>
      </c>
      <c r="I792" s="38">
        <v>317760605.69999999</v>
      </c>
      <c r="J792" s="42">
        <f>'Sales Order'!H792+('Sales Order'!H792*0.11)+Invoice!G792</f>
        <v>317760605.69999999</v>
      </c>
      <c r="K792" s="41"/>
    </row>
    <row r="793" spans="1:11" ht="15.75" customHeight="1" x14ac:dyDescent="0.3">
      <c r="A793" s="40" t="s">
        <v>2072</v>
      </c>
      <c r="B793" s="40" t="s">
        <v>1030</v>
      </c>
      <c r="C793" s="51" t="str">
        <f>VLOOKUP(B793,'Sales Order'!A$2:B$1029,1,0)</f>
        <v>SO0792</v>
      </c>
      <c r="D793" s="17" t="s">
        <v>1275</v>
      </c>
      <c r="E793" s="29" t="s">
        <v>2314</v>
      </c>
      <c r="F793" s="29" t="s">
        <v>1280</v>
      </c>
      <c r="G793" s="18">
        <v>808800</v>
      </c>
      <c r="H793" s="43">
        <v>0.11</v>
      </c>
      <c r="I793" s="38">
        <v>412309243.19999999</v>
      </c>
      <c r="J793" s="42">
        <f>'Sales Order'!H793+('Sales Order'!H793*0.11)+Invoice!G793</f>
        <v>412309243.19999999</v>
      </c>
      <c r="K793" s="41"/>
    </row>
    <row r="794" spans="1:11" ht="15.75" customHeight="1" x14ac:dyDescent="0.3">
      <c r="A794" s="40" t="s">
        <v>2073</v>
      </c>
      <c r="B794" s="40" t="s">
        <v>1031</v>
      </c>
      <c r="C794" s="51" t="str">
        <f>VLOOKUP(B794,'Sales Order'!A$2:B$1029,1,0)</f>
        <v>SO0793</v>
      </c>
      <c r="D794" s="17" t="s">
        <v>1275</v>
      </c>
      <c r="E794" s="29" t="s">
        <v>143</v>
      </c>
      <c r="F794" s="29" t="s">
        <v>1280</v>
      </c>
      <c r="G794" s="32">
        <v>859350</v>
      </c>
      <c r="H794" s="43">
        <v>0.11</v>
      </c>
      <c r="I794" s="38">
        <v>572630084.70000005</v>
      </c>
      <c r="J794" s="42">
        <f>'Sales Order'!H794+('Sales Order'!H794*0.11)+Invoice!G794</f>
        <v>572630084.70000005</v>
      </c>
      <c r="K794" s="41"/>
    </row>
    <row r="795" spans="1:11" ht="15.75" customHeight="1" x14ac:dyDescent="0.3">
      <c r="A795" s="40" t="s">
        <v>2074</v>
      </c>
      <c r="B795" s="40" t="s">
        <v>1032</v>
      </c>
      <c r="C795" s="51" t="str">
        <f>VLOOKUP(B795,'Sales Order'!A$2:B$1029,1,0)</f>
        <v>SO0794</v>
      </c>
      <c r="D795" s="17" t="s">
        <v>1275</v>
      </c>
      <c r="E795" s="29" t="s">
        <v>2320</v>
      </c>
      <c r="F795" s="29" t="s">
        <v>1288</v>
      </c>
      <c r="G795" s="32">
        <v>758250</v>
      </c>
      <c r="H795" s="43">
        <v>0.11</v>
      </c>
      <c r="I795" s="38">
        <v>178835050.5</v>
      </c>
      <c r="J795" s="42">
        <f>'Sales Order'!H795+('Sales Order'!H795*0.11)+Invoice!G795</f>
        <v>178835050.5</v>
      </c>
      <c r="K795" s="41"/>
    </row>
    <row r="796" spans="1:11" ht="15.75" customHeight="1" x14ac:dyDescent="0.3">
      <c r="A796" s="40" t="s">
        <v>2075</v>
      </c>
      <c r="B796" s="40" t="s">
        <v>1033</v>
      </c>
      <c r="C796" s="51" t="str">
        <f>VLOOKUP(B796,'Sales Order'!A$2:B$1029,1,0)</f>
        <v>SO0795</v>
      </c>
      <c r="D796" s="17" t="s">
        <v>1275</v>
      </c>
      <c r="E796" s="29" t="s">
        <v>2316</v>
      </c>
      <c r="F796" s="29" t="s">
        <v>1285</v>
      </c>
      <c r="G796" s="18">
        <v>556050</v>
      </c>
      <c r="H796" s="43">
        <v>0.11</v>
      </c>
      <c r="I796" s="38">
        <v>411540731.69999999</v>
      </c>
      <c r="J796" s="42">
        <f>'Sales Order'!H796+('Sales Order'!H796*0.11)+Invoice!G796</f>
        <v>411540731.69999999</v>
      </c>
      <c r="K796" s="41"/>
    </row>
    <row r="797" spans="1:11" ht="15.75" customHeight="1" x14ac:dyDescent="0.3">
      <c r="A797" s="40" t="s">
        <v>2076</v>
      </c>
      <c r="B797" s="40" t="s">
        <v>1034</v>
      </c>
      <c r="C797" s="51" t="str">
        <f>VLOOKUP(B797,'Sales Order'!A$2:B$1029,1,0)</f>
        <v>SO0796</v>
      </c>
      <c r="D797" s="17" t="s">
        <v>1279</v>
      </c>
      <c r="E797" s="29" t="s">
        <v>2312</v>
      </c>
      <c r="F797" s="29" t="s">
        <v>1288</v>
      </c>
      <c r="G797" s="18">
        <v>32352</v>
      </c>
      <c r="H797" s="43">
        <v>0.11</v>
      </c>
      <c r="I797" s="38">
        <v>88038790.799999997</v>
      </c>
      <c r="J797" s="42">
        <f>'Sales Order'!H797+('Sales Order'!H797*0.11)+Invoice!G797</f>
        <v>88038790.799999997</v>
      </c>
      <c r="K797" s="41"/>
    </row>
    <row r="798" spans="1:11" ht="15.75" customHeight="1" x14ac:dyDescent="0.3">
      <c r="A798" s="40" t="s">
        <v>2077</v>
      </c>
      <c r="B798" s="40" t="s">
        <v>1035</v>
      </c>
      <c r="C798" s="51" t="str">
        <f>VLOOKUP(B798,'Sales Order'!A$2:B$1029,1,0)</f>
        <v>SO0797</v>
      </c>
      <c r="D798" s="17" t="s">
        <v>1275</v>
      </c>
      <c r="E798" s="29" t="s">
        <v>2317</v>
      </c>
      <c r="F798" s="29" t="s">
        <v>1276</v>
      </c>
      <c r="G798" s="32">
        <v>859350</v>
      </c>
      <c r="H798" s="43">
        <v>0.11</v>
      </c>
      <c r="I798" s="38">
        <v>23129184.539999999</v>
      </c>
      <c r="J798" s="42">
        <f>'Sales Order'!H798+('Sales Order'!H798*0.11)+Invoice!G798</f>
        <v>23129184.539999999</v>
      </c>
      <c r="K798" s="41"/>
    </row>
    <row r="799" spans="1:11" ht="15.75" customHeight="1" x14ac:dyDescent="0.3">
      <c r="A799" s="40" t="s">
        <v>2078</v>
      </c>
      <c r="B799" s="40" t="s">
        <v>1036</v>
      </c>
      <c r="C799" s="51" t="str">
        <f>VLOOKUP(B799,'Sales Order'!A$2:B$1029,1,0)</f>
        <v>SO0798</v>
      </c>
      <c r="D799" s="17" t="s">
        <v>1275</v>
      </c>
      <c r="E799" s="29" t="s">
        <v>2318</v>
      </c>
      <c r="F799" s="29" t="s">
        <v>1276</v>
      </c>
      <c r="G799" s="32">
        <v>859350</v>
      </c>
      <c r="H799" s="43">
        <v>0.11</v>
      </c>
      <c r="I799" s="38">
        <v>67707867.900000006</v>
      </c>
      <c r="J799" s="42">
        <f>'Sales Order'!H799+('Sales Order'!H799*0.11)+Invoice!G799</f>
        <v>67707867.900000006</v>
      </c>
      <c r="K799" s="41"/>
    </row>
    <row r="800" spans="1:11" ht="15.75" customHeight="1" x14ac:dyDescent="0.3">
      <c r="A800" s="40" t="s">
        <v>2079</v>
      </c>
      <c r="B800" s="40" t="s">
        <v>1037</v>
      </c>
      <c r="C800" s="51" t="str">
        <f>VLOOKUP(B800,'Sales Order'!A$2:B$1029,1,0)</f>
        <v>SO0799</v>
      </c>
      <c r="D800" s="17" t="s">
        <v>1275</v>
      </c>
      <c r="E800" s="29" t="s">
        <v>2313</v>
      </c>
      <c r="F800" s="29" t="s">
        <v>1295</v>
      </c>
      <c r="G800" s="18">
        <v>808800</v>
      </c>
      <c r="H800" s="43">
        <v>0.11</v>
      </c>
      <c r="I800" s="38">
        <v>294921970.19999999</v>
      </c>
      <c r="J800" s="42">
        <f>'Sales Order'!H800+('Sales Order'!H800*0.11)+Invoice!G800</f>
        <v>294921970.19999999</v>
      </c>
      <c r="K800" s="41"/>
    </row>
    <row r="801" spans="1:11" ht="15.75" customHeight="1" x14ac:dyDescent="0.3">
      <c r="A801" s="40" t="s">
        <v>2080</v>
      </c>
      <c r="B801" s="40" t="s">
        <v>1038</v>
      </c>
      <c r="C801" s="51" t="str">
        <f>VLOOKUP(B801,'Sales Order'!A$2:B$1029,1,0)</f>
        <v>SO0800</v>
      </c>
      <c r="D801" s="17" t="s">
        <v>1279</v>
      </c>
      <c r="E801" s="29" t="s">
        <v>150</v>
      </c>
      <c r="F801" s="29" t="s">
        <v>1276</v>
      </c>
      <c r="G801" s="18">
        <v>32352</v>
      </c>
      <c r="H801" s="43">
        <v>0.11</v>
      </c>
      <c r="I801" s="38">
        <v>91082177.700000003</v>
      </c>
      <c r="J801" s="42">
        <f>'Sales Order'!H801+('Sales Order'!H801*0.11)+Invoice!G801</f>
        <v>91082177.700000003</v>
      </c>
      <c r="K801" s="41"/>
    </row>
    <row r="802" spans="1:11" ht="15.75" customHeight="1" x14ac:dyDescent="0.3">
      <c r="A802" s="40" t="s">
        <v>2081</v>
      </c>
      <c r="B802" s="40" t="s">
        <v>1039</v>
      </c>
      <c r="C802" s="51" t="str">
        <f>VLOOKUP(B802,'Sales Order'!A$2:B$1029,1,0)</f>
        <v>SO0801</v>
      </c>
      <c r="D802" s="17" t="s">
        <v>1279</v>
      </c>
      <c r="E802" s="29" t="s">
        <v>118</v>
      </c>
      <c r="F802" s="29" t="s">
        <v>1280</v>
      </c>
      <c r="G802" s="18">
        <v>8088</v>
      </c>
      <c r="H802" s="43">
        <v>0.11</v>
      </c>
      <c r="I802" s="38">
        <v>317589799.5</v>
      </c>
      <c r="J802" s="42">
        <f>'Sales Order'!H802+('Sales Order'!H802*0.11)+Invoice!G802</f>
        <v>317589799.5</v>
      </c>
      <c r="K802" s="41"/>
    </row>
    <row r="803" spans="1:11" ht="15.75" customHeight="1" x14ac:dyDescent="0.3">
      <c r="A803" s="40" t="s">
        <v>2082</v>
      </c>
      <c r="B803" s="40" t="s">
        <v>1040</v>
      </c>
      <c r="C803" s="51" t="str">
        <f>VLOOKUP(B803,'Sales Order'!A$2:B$1029,1,0)</f>
        <v>SO0802</v>
      </c>
      <c r="D803" s="17" t="s">
        <v>1279</v>
      </c>
      <c r="E803" s="29" t="s">
        <v>2312</v>
      </c>
      <c r="F803" s="29" t="s">
        <v>1295</v>
      </c>
      <c r="G803" s="18">
        <v>32352</v>
      </c>
      <c r="H803" s="43">
        <v>0.11</v>
      </c>
      <c r="I803" s="38">
        <v>580714943.70000005</v>
      </c>
      <c r="J803" s="42">
        <f>'Sales Order'!H803+('Sales Order'!H803*0.11)+Invoice!G803</f>
        <v>580714943.70000005</v>
      </c>
      <c r="K803" s="41"/>
    </row>
    <row r="804" spans="1:11" ht="15.75" customHeight="1" x14ac:dyDescent="0.3">
      <c r="A804" s="40" t="s">
        <v>2083</v>
      </c>
      <c r="B804" s="40" t="s">
        <v>1041</v>
      </c>
      <c r="C804" s="51" t="str">
        <f>VLOOKUP(B804,'Sales Order'!A$2:B$1029,1,0)</f>
        <v>SO0803</v>
      </c>
      <c r="D804" s="17" t="s">
        <v>1275</v>
      </c>
      <c r="E804" s="29" t="s">
        <v>2317</v>
      </c>
      <c r="F804" s="29" t="s">
        <v>1285</v>
      </c>
      <c r="G804" s="32">
        <v>859350</v>
      </c>
      <c r="H804" s="43">
        <v>0.11</v>
      </c>
      <c r="I804" s="38">
        <v>350895492.36000001</v>
      </c>
      <c r="J804" s="42">
        <f>'Sales Order'!H804+('Sales Order'!H804*0.11)+Invoice!G804</f>
        <v>350895492.36000001</v>
      </c>
      <c r="K804" s="41"/>
    </row>
    <row r="805" spans="1:11" ht="15.75" customHeight="1" x14ac:dyDescent="0.3">
      <c r="A805" s="40" t="s">
        <v>2084</v>
      </c>
      <c r="B805" s="40" t="s">
        <v>1042</v>
      </c>
      <c r="C805" s="51" t="str">
        <f>VLOOKUP(B805,'Sales Order'!A$2:B$1029,1,0)</f>
        <v>SO0804</v>
      </c>
      <c r="D805" s="17" t="s">
        <v>1275</v>
      </c>
      <c r="E805" s="29" t="s">
        <v>2313</v>
      </c>
      <c r="F805" s="29" t="s">
        <v>1295</v>
      </c>
      <c r="G805" s="18">
        <v>808800</v>
      </c>
      <c r="H805" s="43">
        <v>0.11</v>
      </c>
      <c r="I805" s="38">
        <v>923401359.48000002</v>
      </c>
      <c r="J805" s="42">
        <f>'Sales Order'!H805+('Sales Order'!H805*0.11)+Invoice!G805</f>
        <v>923401359.48000002</v>
      </c>
      <c r="K805" s="41"/>
    </row>
    <row r="806" spans="1:11" ht="15.75" customHeight="1" x14ac:dyDescent="0.3">
      <c r="A806" s="40" t="s">
        <v>2085</v>
      </c>
      <c r="B806" s="40" t="s">
        <v>1043</v>
      </c>
      <c r="C806" s="51" t="str">
        <f>VLOOKUP(B806,'Sales Order'!A$2:B$1029,1,0)</f>
        <v>SO0805</v>
      </c>
      <c r="D806" s="17" t="s">
        <v>1275</v>
      </c>
      <c r="E806" s="29" t="s">
        <v>143</v>
      </c>
      <c r="F806" s="29" t="s">
        <v>1280</v>
      </c>
      <c r="G806" s="32">
        <v>859350</v>
      </c>
      <c r="H806" s="43">
        <v>0.11</v>
      </c>
      <c r="I806" s="38">
        <v>370783999.5</v>
      </c>
      <c r="J806" s="42">
        <f>'Sales Order'!H806+('Sales Order'!H806*0.11)+Invoice!G806</f>
        <v>370783999.5</v>
      </c>
      <c r="K806" s="41"/>
    </row>
    <row r="807" spans="1:11" ht="15.75" customHeight="1" x14ac:dyDescent="0.3">
      <c r="A807" s="40" t="s">
        <v>2086</v>
      </c>
      <c r="B807" s="40" t="s">
        <v>1044</v>
      </c>
      <c r="C807" s="51" t="str">
        <f>VLOOKUP(B807,'Sales Order'!A$2:B$1029,1,0)</f>
        <v>SO0806</v>
      </c>
      <c r="D807" s="17" t="s">
        <v>1275</v>
      </c>
      <c r="E807" s="29" t="s">
        <v>2313</v>
      </c>
      <c r="F807" s="29" t="s">
        <v>1285</v>
      </c>
      <c r="G807" s="18">
        <v>808800</v>
      </c>
      <c r="H807" s="43">
        <v>0.11</v>
      </c>
      <c r="I807" s="38">
        <v>301590448.38</v>
      </c>
      <c r="J807" s="42">
        <f>'Sales Order'!H807+('Sales Order'!H807*0.11)+Invoice!G807</f>
        <v>301590448.38</v>
      </c>
      <c r="K807" s="41"/>
    </row>
    <row r="808" spans="1:11" ht="15.75" customHeight="1" x14ac:dyDescent="0.3">
      <c r="A808" s="40" t="s">
        <v>2087</v>
      </c>
      <c r="B808" s="40" t="s">
        <v>1045</v>
      </c>
      <c r="C808" s="51" t="str">
        <f>VLOOKUP(B808,'Sales Order'!A$2:B$1029,1,0)</f>
        <v>SO0807</v>
      </c>
      <c r="D808" s="17" t="s">
        <v>1275</v>
      </c>
      <c r="E808" s="29" t="s">
        <v>2314</v>
      </c>
      <c r="F808" s="29" t="s">
        <v>1280</v>
      </c>
      <c r="G808" s="18">
        <v>808800</v>
      </c>
      <c r="H808" s="43">
        <v>0.11</v>
      </c>
      <c r="I808" s="38">
        <v>779158981.79999995</v>
      </c>
      <c r="J808" s="42">
        <f>'Sales Order'!H808+('Sales Order'!H808*0.11)+Invoice!G808</f>
        <v>779158981.79999995</v>
      </c>
      <c r="K808" s="41"/>
    </row>
    <row r="809" spans="1:11" ht="15.75" customHeight="1" x14ac:dyDescent="0.3">
      <c r="A809" s="40" t="s">
        <v>2088</v>
      </c>
      <c r="B809" s="40" t="s">
        <v>1046</v>
      </c>
      <c r="C809" s="51" t="str">
        <f>VLOOKUP(B809,'Sales Order'!A$2:B$1029,1,0)</f>
        <v>SO0808</v>
      </c>
      <c r="D809" s="17" t="s">
        <v>1275</v>
      </c>
      <c r="E809" s="29" t="s">
        <v>2314</v>
      </c>
      <c r="F809" s="29" t="s">
        <v>1276</v>
      </c>
      <c r="G809" s="18">
        <v>808800</v>
      </c>
      <c r="H809" s="43">
        <v>0.11</v>
      </c>
      <c r="I809" s="38">
        <v>22948116.300000001</v>
      </c>
      <c r="J809" s="42">
        <f>'Sales Order'!H809+('Sales Order'!H809*0.11)+Invoice!G809</f>
        <v>22948116.300000001</v>
      </c>
      <c r="K809" s="41"/>
    </row>
    <row r="810" spans="1:11" ht="15.75" customHeight="1" x14ac:dyDescent="0.3">
      <c r="A810" s="40" t="s">
        <v>2089</v>
      </c>
      <c r="B810" s="40" t="s">
        <v>1047</v>
      </c>
      <c r="C810" s="51" t="str">
        <f>VLOOKUP(B810,'Sales Order'!A$2:B$1029,1,0)</f>
        <v>SO0809</v>
      </c>
      <c r="D810" s="17" t="s">
        <v>1279</v>
      </c>
      <c r="E810" s="29" t="s">
        <v>118</v>
      </c>
      <c r="F810" s="29" t="s">
        <v>1276</v>
      </c>
      <c r="G810" s="18">
        <v>8088</v>
      </c>
      <c r="H810" s="43">
        <v>0.11</v>
      </c>
      <c r="I810" s="38">
        <v>205206619.62</v>
      </c>
      <c r="J810" s="42">
        <f>'Sales Order'!H810+('Sales Order'!H810*0.11)+Invoice!G810</f>
        <v>205206619.62</v>
      </c>
      <c r="K810" s="41"/>
    </row>
    <row r="811" spans="1:11" ht="15.75" customHeight="1" x14ac:dyDescent="0.3">
      <c r="A811" s="40" t="s">
        <v>2090</v>
      </c>
      <c r="B811" s="40" t="s">
        <v>1048</v>
      </c>
      <c r="C811" s="51" t="str">
        <f>VLOOKUP(B811,'Sales Order'!A$2:B$1029,1,0)</f>
        <v>SO0810</v>
      </c>
      <c r="D811" s="17" t="s">
        <v>1275</v>
      </c>
      <c r="E811" s="29" t="s">
        <v>2314</v>
      </c>
      <c r="F811" s="29" t="s">
        <v>1276</v>
      </c>
      <c r="G811" s="18">
        <v>808800</v>
      </c>
      <c r="H811" s="43">
        <v>0.11</v>
      </c>
      <c r="I811" s="38">
        <v>146227680</v>
      </c>
      <c r="J811" s="42">
        <f>'Sales Order'!H811+('Sales Order'!H811*0.11)+Invoice!G811</f>
        <v>146227680</v>
      </c>
      <c r="K811" s="41"/>
    </row>
    <row r="812" spans="1:11" ht="15.75" customHeight="1" x14ac:dyDescent="0.3">
      <c r="A812" s="40" t="s">
        <v>2091</v>
      </c>
      <c r="B812" s="40" t="s">
        <v>1049</v>
      </c>
      <c r="C812" s="51" t="str">
        <f>VLOOKUP(B812,'Sales Order'!A$2:B$1029,1,0)</f>
        <v>SO0811</v>
      </c>
      <c r="D812" s="17" t="s">
        <v>1275</v>
      </c>
      <c r="E812" s="29" t="s">
        <v>143</v>
      </c>
      <c r="F812" s="29" t="s">
        <v>1276</v>
      </c>
      <c r="G812" s="32">
        <v>859350</v>
      </c>
      <c r="H812" s="43">
        <v>0.11</v>
      </c>
      <c r="I812" s="38">
        <v>54008236.799999997</v>
      </c>
      <c r="J812" s="42">
        <f>'Sales Order'!H812+('Sales Order'!H812*0.11)+Invoice!G812</f>
        <v>54008236.799999997</v>
      </c>
      <c r="K812" s="41"/>
    </row>
    <row r="813" spans="1:11" ht="15.75" customHeight="1" x14ac:dyDescent="0.3">
      <c r="A813" s="40" t="s">
        <v>2092</v>
      </c>
      <c r="B813" s="40" t="s">
        <v>1050</v>
      </c>
      <c r="C813" s="51" t="str">
        <f>VLOOKUP(B813,'Sales Order'!A$2:B$1029,1,0)</f>
        <v>SO0812</v>
      </c>
      <c r="D813" s="17" t="s">
        <v>1275</v>
      </c>
      <c r="E813" s="29" t="s">
        <v>2318</v>
      </c>
      <c r="F813" s="29" t="s">
        <v>1285</v>
      </c>
      <c r="G813" s="32">
        <v>859350</v>
      </c>
      <c r="H813" s="43">
        <v>0.11</v>
      </c>
      <c r="I813" s="38">
        <v>474737197.80000001</v>
      </c>
      <c r="J813" s="42">
        <f>'Sales Order'!H813+('Sales Order'!H813*0.11)+Invoice!G813</f>
        <v>474737197.80000001</v>
      </c>
      <c r="K813" s="41"/>
    </row>
    <row r="814" spans="1:11" ht="15.75" customHeight="1" x14ac:dyDescent="0.3">
      <c r="A814" s="40" t="s">
        <v>2093</v>
      </c>
      <c r="B814" s="40" t="s">
        <v>1051</v>
      </c>
      <c r="C814" s="51" t="str">
        <f>VLOOKUP(B814,'Sales Order'!A$2:B$1029,1,0)</f>
        <v>SO0813</v>
      </c>
      <c r="D814" s="17" t="s">
        <v>1275</v>
      </c>
      <c r="E814" s="29" t="s">
        <v>143</v>
      </c>
      <c r="F814" s="29" t="s">
        <v>1288</v>
      </c>
      <c r="G814" s="32">
        <v>859350</v>
      </c>
      <c r="H814" s="43">
        <v>0.11</v>
      </c>
      <c r="I814" s="38">
        <v>68679395.400000006</v>
      </c>
      <c r="J814" s="42">
        <f>'Sales Order'!H814+('Sales Order'!H814*0.11)+Invoice!G814</f>
        <v>68679395.400000006</v>
      </c>
      <c r="K814" s="41"/>
    </row>
    <row r="815" spans="1:11" ht="15.75" customHeight="1" x14ac:dyDescent="0.3">
      <c r="A815" s="40" t="s">
        <v>2094</v>
      </c>
      <c r="B815" s="40" t="s">
        <v>1052</v>
      </c>
      <c r="C815" s="51" t="str">
        <f>VLOOKUP(B815,'Sales Order'!A$2:B$1029,1,0)</f>
        <v>SO0814</v>
      </c>
      <c r="D815" s="17" t="s">
        <v>1279</v>
      </c>
      <c r="E815" s="29" t="s">
        <v>2312</v>
      </c>
      <c r="F815" s="29" t="s">
        <v>1288</v>
      </c>
      <c r="G815" s="18">
        <v>32352</v>
      </c>
      <c r="H815" s="43">
        <v>0.11</v>
      </c>
      <c r="I815" s="38">
        <v>43678761.899999999</v>
      </c>
      <c r="J815" s="42">
        <f>'Sales Order'!H815+('Sales Order'!H815*0.11)+Invoice!G815</f>
        <v>43678761.899999999</v>
      </c>
      <c r="K815" s="41"/>
    </row>
    <row r="816" spans="1:11" ht="15.75" customHeight="1" x14ac:dyDescent="0.3">
      <c r="A816" s="40" t="s">
        <v>2095</v>
      </c>
      <c r="B816" s="40" t="s">
        <v>1053</v>
      </c>
      <c r="C816" s="51" t="str">
        <f>VLOOKUP(B816,'Sales Order'!A$2:B$1029,1,0)</f>
        <v>SO0815</v>
      </c>
      <c r="D816" s="17" t="s">
        <v>1275</v>
      </c>
      <c r="E816" s="29" t="s">
        <v>143</v>
      </c>
      <c r="F816" s="29" t="s">
        <v>1280</v>
      </c>
      <c r="G816" s="32">
        <v>859350</v>
      </c>
      <c r="H816" s="43">
        <v>0.11</v>
      </c>
      <c r="I816" s="38">
        <v>721991535.96000004</v>
      </c>
      <c r="J816" s="42">
        <f>'Sales Order'!H816+('Sales Order'!H816*0.11)+Invoice!G816</f>
        <v>721991535.96000004</v>
      </c>
      <c r="K816" s="41"/>
    </row>
    <row r="817" spans="1:11" ht="15.75" customHeight="1" x14ac:dyDescent="0.3">
      <c r="A817" s="40" t="s">
        <v>2096</v>
      </c>
      <c r="B817" s="40" t="s">
        <v>1054</v>
      </c>
      <c r="C817" s="51" t="str">
        <f>VLOOKUP(B817,'Sales Order'!A$2:B$1029,1,0)</f>
        <v>SO0816</v>
      </c>
      <c r="D817" s="17" t="s">
        <v>1275</v>
      </c>
      <c r="E817" s="29" t="s">
        <v>143</v>
      </c>
      <c r="F817" s="29" t="s">
        <v>1288</v>
      </c>
      <c r="G817" s="32">
        <v>859350</v>
      </c>
      <c r="H817" s="43">
        <v>0.11</v>
      </c>
      <c r="I817" s="38">
        <v>3121974</v>
      </c>
      <c r="J817" s="42">
        <f>'Sales Order'!H817+('Sales Order'!H817*0.11)+Invoice!G817</f>
        <v>3121974</v>
      </c>
      <c r="K817" s="41"/>
    </row>
    <row r="818" spans="1:11" ht="15.75" customHeight="1" x14ac:dyDescent="0.3">
      <c r="A818" s="40" t="s">
        <v>2097</v>
      </c>
      <c r="B818" s="40" t="s">
        <v>1055</v>
      </c>
      <c r="C818" s="51" t="str">
        <f>VLOOKUP(B818,'Sales Order'!A$2:B$1029,1,0)</f>
        <v>SO0817</v>
      </c>
      <c r="D818" s="17" t="s">
        <v>1279</v>
      </c>
      <c r="E818" s="29" t="s">
        <v>2312</v>
      </c>
      <c r="F818" s="29" t="s">
        <v>1288</v>
      </c>
      <c r="G818" s="18">
        <v>32352</v>
      </c>
      <c r="H818" s="43">
        <v>0.11</v>
      </c>
      <c r="I818" s="38">
        <v>24756603</v>
      </c>
      <c r="J818" s="42">
        <f>'Sales Order'!H818+('Sales Order'!H818*0.11)+Invoice!G818</f>
        <v>24756603</v>
      </c>
      <c r="K818" s="41"/>
    </row>
    <row r="819" spans="1:11" ht="15.75" customHeight="1" x14ac:dyDescent="0.3">
      <c r="A819" s="40" t="s">
        <v>2098</v>
      </c>
      <c r="B819" s="40" t="s">
        <v>1056</v>
      </c>
      <c r="C819" s="51" t="str">
        <f>VLOOKUP(B819,'Sales Order'!A$2:B$1029,1,0)</f>
        <v>SO0818</v>
      </c>
      <c r="D819" s="17" t="s">
        <v>1275</v>
      </c>
      <c r="E819" s="29" t="s">
        <v>143</v>
      </c>
      <c r="F819" s="29" t="s">
        <v>1288</v>
      </c>
      <c r="G819" s="32">
        <v>859350</v>
      </c>
      <c r="H819" s="43">
        <v>0.11</v>
      </c>
      <c r="I819" s="38">
        <v>202935682.5</v>
      </c>
      <c r="J819" s="42">
        <f>'Sales Order'!H819+('Sales Order'!H819*0.11)+Invoice!G819</f>
        <v>202935682.5</v>
      </c>
      <c r="K819" s="41"/>
    </row>
    <row r="820" spans="1:11" ht="15.75" customHeight="1" x14ac:dyDescent="0.3">
      <c r="A820" s="40" t="s">
        <v>2099</v>
      </c>
      <c r="B820" s="40" t="s">
        <v>1057</v>
      </c>
      <c r="C820" s="51" t="str">
        <f>VLOOKUP(B820,'Sales Order'!A$2:B$1029,1,0)</f>
        <v>SO0819</v>
      </c>
      <c r="D820" s="17" t="s">
        <v>1275</v>
      </c>
      <c r="E820" s="29" t="s">
        <v>2314</v>
      </c>
      <c r="F820" s="29" t="s">
        <v>1288</v>
      </c>
      <c r="G820" s="18">
        <v>808800</v>
      </c>
      <c r="H820" s="43">
        <v>0.11</v>
      </c>
      <c r="I820" s="38">
        <v>230721856.80000001</v>
      </c>
      <c r="J820" s="42">
        <f>'Sales Order'!H820+('Sales Order'!H820*0.11)+Invoice!G820</f>
        <v>230721856.80000001</v>
      </c>
      <c r="K820" s="41"/>
    </row>
    <row r="821" spans="1:11" ht="15.75" customHeight="1" x14ac:dyDescent="0.3">
      <c r="A821" s="40" t="s">
        <v>2100</v>
      </c>
      <c r="B821" s="40" t="s">
        <v>1058</v>
      </c>
      <c r="C821" s="51" t="str">
        <f>VLOOKUP(B821,'Sales Order'!A$2:B$1029,1,0)</f>
        <v>SO0820</v>
      </c>
      <c r="D821" s="17" t="s">
        <v>1275</v>
      </c>
      <c r="E821" s="29" t="s">
        <v>143</v>
      </c>
      <c r="F821" s="29" t="s">
        <v>1276</v>
      </c>
      <c r="G821" s="32">
        <v>859350</v>
      </c>
      <c r="H821" s="43">
        <v>0.11</v>
      </c>
      <c r="I821" s="38">
        <v>41947542.899999999</v>
      </c>
      <c r="J821" s="42">
        <f>'Sales Order'!H821+('Sales Order'!H821*0.11)+Invoice!G821</f>
        <v>41947542.899999999</v>
      </c>
      <c r="K821" s="41"/>
    </row>
    <row r="822" spans="1:11" ht="15.75" customHeight="1" x14ac:dyDescent="0.3">
      <c r="A822" s="40" t="s">
        <v>2101</v>
      </c>
      <c r="B822" s="40" t="s">
        <v>1059</v>
      </c>
      <c r="C822" s="51" t="str">
        <f>VLOOKUP(B822,'Sales Order'!A$2:B$1029,1,0)</f>
        <v>SO0821</v>
      </c>
      <c r="D822" s="17" t="s">
        <v>1279</v>
      </c>
      <c r="E822" s="29" t="s">
        <v>118</v>
      </c>
      <c r="F822" s="29" t="s">
        <v>1276</v>
      </c>
      <c r="G822" s="18">
        <v>8088</v>
      </c>
      <c r="H822" s="43">
        <v>0.11</v>
      </c>
      <c r="I822" s="38">
        <v>253505337</v>
      </c>
      <c r="J822" s="42">
        <f>'Sales Order'!H822+('Sales Order'!H822*0.11)+Invoice!G822</f>
        <v>253505337</v>
      </c>
      <c r="K822" s="41"/>
    </row>
    <row r="823" spans="1:11" ht="15.75" customHeight="1" x14ac:dyDescent="0.3">
      <c r="A823" s="40" t="s">
        <v>2102</v>
      </c>
      <c r="B823" s="40" t="s">
        <v>1060</v>
      </c>
      <c r="C823" s="51" t="str">
        <f>VLOOKUP(B823,'Sales Order'!A$2:B$1029,1,0)</f>
        <v>SO0822</v>
      </c>
      <c r="D823" s="17" t="s">
        <v>1275</v>
      </c>
      <c r="E823" s="29" t="s">
        <v>143</v>
      </c>
      <c r="F823" s="29" t="s">
        <v>1288</v>
      </c>
      <c r="G823" s="32">
        <v>859350</v>
      </c>
      <c r="H823" s="43">
        <v>0.11</v>
      </c>
      <c r="I823" s="38">
        <v>149688383.09999999</v>
      </c>
      <c r="J823" s="42">
        <f>'Sales Order'!H823+('Sales Order'!H823*0.11)+Invoice!G823</f>
        <v>149688383.09999999</v>
      </c>
      <c r="K823" s="41"/>
    </row>
    <row r="824" spans="1:11" ht="15.75" customHeight="1" x14ac:dyDescent="0.3">
      <c r="A824" s="40" t="s">
        <v>2103</v>
      </c>
      <c r="B824" s="40" t="s">
        <v>1061</v>
      </c>
      <c r="C824" s="51" t="str">
        <f>VLOOKUP(B824,'Sales Order'!A$2:B$1029,1,0)</f>
        <v>SO0823</v>
      </c>
      <c r="D824" s="17" t="s">
        <v>1275</v>
      </c>
      <c r="E824" s="29" t="s">
        <v>2316</v>
      </c>
      <c r="F824" s="29" t="s">
        <v>1276</v>
      </c>
      <c r="G824" s="18">
        <v>556050</v>
      </c>
      <c r="H824" s="43">
        <v>0.11</v>
      </c>
      <c r="I824" s="38">
        <v>116603475.3</v>
      </c>
      <c r="J824" s="42">
        <f>'Sales Order'!H824+('Sales Order'!H824*0.11)+Invoice!G824</f>
        <v>116603475.3</v>
      </c>
      <c r="K824" s="41"/>
    </row>
    <row r="825" spans="1:11" ht="15.75" customHeight="1" x14ac:dyDescent="0.3">
      <c r="A825" s="40" t="s">
        <v>2104</v>
      </c>
      <c r="B825" s="40" t="s">
        <v>1062</v>
      </c>
      <c r="C825" s="51" t="str">
        <f>VLOOKUP(B825,'Sales Order'!A$2:B$1029,1,0)</f>
        <v>SO0824</v>
      </c>
      <c r="D825" s="17" t="s">
        <v>1275</v>
      </c>
      <c r="E825" s="29" t="s">
        <v>2316</v>
      </c>
      <c r="F825" s="29" t="s">
        <v>1295</v>
      </c>
      <c r="G825" s="18">
        <v>556050</v>
      </c>
      <c r="H825" s="43">
        <v>0.11</v>
      </c>
      <c r="I825" s="38">
        <v>1353946915.5</v>
      </c>
      <c r="J825" s="42">
        <f>'Sales Order'!H825+('Sales Order'!H825*0.11)+Invoice!G825</f>
        <v>1353946915.5</v>
      </c>
      <c r="K825" s="41"/>
    </row>
    <row r="826" spans="1:11" ht="15.75" customHeight="1" x14ac:dyDescent="0.3">
      <c r="A826" s="40" t="s">
        <v>2105</v>
      </c>
      <c r="B826" s="40" t="s">
        <v>1063</v>
      </c>
      <c r="C826" s="51" t="str">
        <f>VLOOKUP(B826,'Sales Order'!A$2:B$1029,1,0)</f>
        <v>SO0825</v>
      </c>
      <c r="D826" s="17" t="s">
        <v>1275</v>
      </c>
      <c r="E826" s="29" t="s">
        <v>2318</v>
      </c>
      <c r="F826" s="29" t="s">
        <v>1285</v>
      </c>
      <c r="G826" s="32">
        <v>859350</v>
      </c>
      <c r="H826" s="43">
        <v>0.11</v>
      </c>
      <c r="I826" s="38">
        <v>349935579.89999998</v>
      </c>
      <c r="J826" s="42">
        <f>'Sales Order'!H826+('Sales Order'!H826*0.11)+Invoice!G826</f>
        <v>349935579.89999998</v>
      </c>
      <c r="K826" s="41"/>
    </row>
    <row r="827" spans="1:11" ht="15.75" customHeight="1" x14ac:dyDescent="0.3">
      <c r="A827" s="40" t="s">
        <v>2106</v>
      </c>
      <c r="B827" s="40" t="s">
        <v>1064</v>
      </c>
      <c r="C827" s="51" t="str">
        <f>VLOOKUP(B827,'Sales Order'!A$2:B$1029,1,0)</f>
        <v>SO0826</v>
      </c>
      <c r="D827" s="17" t="s">
        <v>1279</v>
      </c>
      <c r="E827" s="29" t="s">
        <v>2312</v>
      </c>
      <c r="F827" s="29" t="s">
        <v>1295</v>
      </c>
      <c r="G827" s="18">
        <v>32352</v>
      </c>
      <c r="H827" s="43">
        <v>0.11</v>
      </c>
      <c r="I827" s="38">
        <v>280791445.19999999</v>
      </c>
      <c r="J827" s="42">
        <f>'Sales Order'!H827+('Sales Order'!H827*0.11)+Invoice!G827</f>
        <v>280791445.19999999</v>
      </c>
      <c r="K827" s="41"/>
    </row>
    <row r="828" spans="1:11" ht="15.75" customHeight="1" x14ac:dyDescent="0.3">
      <c r="A828" s="40" t="s">
        <v>2107</v>
      </c>
      <c r="B828" s="40" t="s">
        <v>1065</v>
      </c>
      <c r="C828" s="51" t="str">
        <f>VLOOKUP(B828,'Sales Order'!A$2:B$1029,1,0)</f>
        <v>SO0827</v>
      </c>
      <c r="D828" s="17" t="s">
        <v>1275</v>
      </c>
      <c r="E828" s="29" t="s">
        <v>2318</v>
      </c>
      <c r="F828" s="29" t="s">
        <v>1276</v>
      </c>
      <c r="G828" s="32">
        <v>859350</v>
      </c>
      <c r="H828" s="43">
        <v>0.11</v>
      </c>
      <c r="I828" s="38">
        <v>23659626.899999999</v>
      </c>
      <c r="J828" s="42">
        <f>'Sales Order'!H828+('Sales Order'!H828*0.11)+Invoice!G828</f>
        <v>23659626.899999999</v>
      </c>
      <c r="K828" s="41"/>
    </row>
    <row r="829" spans="1:11" ht="15.75" customHeight="1" x14ac:dyDescent="0.3">
      <c r="A829" s="40" t="s">
        <v>2108</v>
      </c>
      <c r="B829" s="40" t="s">
        <v>1066</v>
      </c>
      <c r="C829" s="51" t="str">
        <f>VLOOKUP(B829,'Sales Order'!A$2:B$1029,1,0)</f>
        <v>SO0828</v>
      </c>
      <c r="D829" s="17" t="s">
        <v>1275</v>
      </c>
      <c r="E829" s="29" t="s">
        <v>2313</v>
      </c>
      <c r="F829" s="29" t="s">
        <v>1285</v>
      </c>
      <c r="G829" s="18">
        <v>808800</v>
      </c>
      <c r="H829" s="43">
        <v>0.11</v>
      </c>
      <c r="I829" s="38">
        <v>333751024.5</v>
      </c>
      <c r="J829" s="42">
        <f>'Sales Order'!H829+('Sales Order'!H829*0.11)+Invoice!G829</f>
        <v>333751024.5</v>
      </c>
      <c r="K829" s="41"/>
    </row>
    <row r="830" spans="1:11" ht="15.75" customHeight="1" x14ac:dyDescent="0.3">
      <c r="A830" s="40" t="s">
        <v>2109</v>
      </c>
      <c r="B830" s="40" t="s">
        <v>1067</v>
      </c>
      <c r="C830" s="51" t="str">
        <f>VLOOKUP(B830,'Sales Order'!A$2:B$1029,1,0)</f>
        <v>SO0829</v>
      </c>
      <c r="D830" s="17" t="s">
        <v>1275</v>
      </c>
      <c r="E830" s="29" t="s">
        <v>108</v>
      </c>
      <c r="F830" s="29" t="s">
        <v>1295</v>
      </c>
      <c r="G830" s="18">
        <v>556050</v>
      </c>
      <c r="H830" s="43">
        <v>0.11</v>
      </c>
      <c r="I830" s="38">
        <v>301682400</v>
      </c>
      <c r="J830" s="42">
        <f>'Sales Order'!H830+('Sales Order'!H830*0.11)+Invoice!G830</f>
        <v>301682400</v>
      </c>
      <c r="K830" s="41"/>
    </row>
    <row r="831" spans="1:11" ht="15.75" customHeight="1" x14ac:dyDescent="0.3">
      <c r="A831" s="40" t="s">
        <v>2110</v>
      </c>
      <c r="B831" s="40" t="s">
        <v>1068</v>
      </c>
      <c r="C831" s="51" t="str">
        <f>VLOOKUP(B831,'Sales Order'!A$2:B$1029,1,0)</f>
        <v>SO0830</v>
      </c>
      <c r="D831" s="17" t="s">
        <v>1275</v>
      </c>
      <c r="E831" s="29" t="s">
        <v>108</v>
      </c>
      <c r="F831" s="29" t="s">
        <v>1280</v>
      </c>
      <c r="G831" s="18">
        <v>556050</v>
      </c>
      <c r="H831" s="43">
        <v>0.11</v>
      </c>
      <c r="I831" s="38">
        <v>438299634.89999998</v>
      </c>
      <c r="J831" s="42">
        <f>'Sales Order'!H831+('Sales Order'!H831*0.11)+Invoice!G831</f>
        <v>438299634.89999998</v>
      </c>
      <c r="K831" s="41"/>
    </row>
    <row r="832" spans="1:11" ht="15.75" customHeight="1" x14ac:dyDescent="0.3">
      <c r="A832" s="40" t="s">
        <v>2111</v>
      </c>
      <c r="B832" s="40" t="s">
        <v>1069</v>
      </c>
      <c r="C832" s="51" t="str">
        <f>VLOOKUP(B832,'Sales Order'!A$2:B$1029,1,0)</f>
        <v>SO0831</v>
      </c>
      <c r="D832" s="17" t="s">
        <v>1275</v>
      </c>
      <c r="E832" s="29" t="s">
        <v>2318</v>
      </c>
      <c r="F832" s="29" t="s">
        <v>1276</v>
      </c>
      <c r="G832" s="32">
        <v>859350</v>
      </c>
      <c r="H832" s="43">
        <v>0.11</v>
      </c>
      <c r="I832" s="38">
        <v>107595840</v>
      </c>
      <c r="J832" s="42">
        <f>'Sales Order'!H832+('Sales Order'!H832*0.11)+Invoice!G832</f>
        <v>107595840</v>
      </c>
      <c r="K832" s="41"/>
    </row>
    <row r="833" spans="1:11" ht="15.75" customHeight="1" x14ac:dyDescent="0.3">
      <c r="A833" s="40" t="s">
        <v>2112</v>
      </c>
      <c r="B833" s="40" t="s">
        <v>1070</v>
      </c>
      <c r="C833" s="51" t="str">
        <f>VLOOKUP(B833,'Sales Order'!A$2:B$1029,1,0)</f>
        <v>SO0832</v>
      </c>
      <c r="D833" s="17" t="s">
        <v>1279</v>
      </c>
      <c r="E833" s="29" t="s">
        <v>150</v>
      </c>
      <c r="F833" s="29" t="s">
        <v>1280</v>
      </c>
      <c r="G833" s="18">
        <v>32352</v>
      </c>
      <c r="H833" s="43">
        <v>0.11</v>
      </c>
      <c r="I833" s="38">
        <v>424531334.75999999</v>
      </c>
      <c r="J833" s="42">
        <f>'Sales Order'!H833+('Sales Order'!H833*0.11)+Invoice!G833</f>
        <v>424531334.75999999</v>
      </c>
      <c r="K833" s="41"/>
    </row>
    <row r="834" spans="1:11" ht="15.75" customHeight="1" x14ac:dyDescent="0.3">
      <c r="A834" s="40" t="s">
        <v>2113</v>
      </c>
      <c r="B834" s="40" t="s">
        <v>1071</v>
      </c>
      <c r="C834" s="51" t="str">
        <f>VLOOKUP(B834,'Sales Order'!A$2:B$1029,1,0)</f>
        <v>SO0833</v>
      </c>
      <c r="D834" s="17" t="s">
        <v>1275</v>
      </c>
      <c r="E834" s="29" t="s">
        <v>2316</v>
      </c>
      <c r="F834" s="29" t="s">
        <v>1295</v>
      </c>
      <c r="G834" s="18">
        <v>556050</v>
      </c>
      <c r="H834" s="43">
        <v>0.11</v>
      </c>
      <c r="I834" s="38">
        <v>367795576.19999999</v>
      </c>
      <c r="J834" s="42">
        <f>'Sales Order'!H834+('Sales Order'!H834*0.11)+Invoice!G834</f>
        <v>367795576.19999999</v>
      </c>
      <c r="K834" s="41"/>
    </row>
    <row r="835" spans="1:11" ht="15.75" customHeight="1" x14ac:dyDescent="0.3">
      <c r="A835" s="40" t="s">
        <v>2114</v>
      </c>
      <c r="B835" s="40" t="s">
        <v>1072</v>
      </c>
      <c r="C835" s="51" t="str">
        <f>VLOOKUP(B835,'Sales Order'!A$2:B$1029,1,0)</f>
        <v>SO0834</v>
      </c>
      <c r="D835" s="17" t="s">
        <v>1279</v>
      </c>
      <c r="E835" s="29" t="s">
        <v>118</v>
      </c>
      <c r="F835" s="29" t="s">
        <v>1288</v>
      </c>
      <c r="G835" s="18">
        <v>8088</v>
      </c>
      <c r="H835" s="43">
        <v>0.11</v>
      </c>
      <c r="I835" s="38">
        <v>41303573.399999999</v>
      </c>
      <c r="J835" s="42">
        <f>'Sales Order'!H835+('Sales Order'!H835*0.11)+Invoice!G835</f>
        <v>41303573.399999999</v>
      </c>
      <c r="K835" s="41"/>
    </row>
    <row r="836" spans="1:11" ht="15.75" customHeight="1" x14ac:dyDescent="0.3">
      <c r="A836" s="40" t="s">
        <v>2115</v>
      </c>
      <c r="B836" s="40" t="s">
        <v>1073</v>
      </c>
      <c r="C836" s="51" t="str">
        <f>VLOOKUP(B836,'Sales Order'!A$2:B$1029,1,0)</f>
        <v>SO0835</v>
      </c>
      <c r="D836" s="17" t="s">
        <v>1275</v>
      </c>
      <c r="E836" s="29" t="s">
        <v>2314</v>
      </c>
      <c r="F836" s="29" t="s">
        <v>1288</v>
      </c>
      <c r="G836" s="18">
        <v>808800</v>
      </c>
      <c r="H836" s="43">
        <v>0.11</v>
      </c>
      <c r="I836" s="38">
        <v>35558282.399999999</v>
      </c>
      <c r="J836" s="42">
        <f>'Sales Order'!H836+('Sales Order'!H836*0.11)+Invoice!G836</f>
        <v>35558282.399999999</v>
      </c>
      <c r="K836" s="41"/>
    </row>
    <row r="837" spans="1:11" ht="15.75" customHeight="1" x14ac:dyDescent="0.3">
      <c r="A837" s="40" t="s">
        <v>2116</v>
      </c>
      <c r="B837" s="40" t="s">
        <v>1074</v>
      </c>
      <c r="C837" s="51" t="str">
        <f>VLOOKUP(B837,'Sales Order'!A$2:B$1029,1,0)</f>
        <v>SO0836</v>
      </c>
      <c r="D837" s="17" t="s">
        <v>1279</v>
      </c>
      <c r="E837" s="29" t="s">
        <v>118</v>
      </c>
      <c r="F837" s="29" t="s">
        <v>1288</v>
      </c>
      <c r="G837" s="18">
        <v>8088</v>
      </c>
      <c r="H837" s="43">
        <v>0.11</v>
      </c>
      <c r="I837" s="38">
        <v>26755480.5</v>
      </c>
      <c r="J837" s="42">
        <f>'Sales Order'!H837+('Sales Order'!H837*0.11)+Invoice!G837</f>
        <v>26755480.5</v>
      </c>
      <c r="K837" s="41"/>
    </row>
    <row r="838" spans="1:11" ht="15.75" customHeight="1" x14ac:dyDescent="0.3">
      <c r="A838" s="40" t="s">
        <v>2117</v>
      </c>
      <c r="B838" s="40" t="s">
        <v>1075</v>
      </c>
      <c r="C838" s="51" t="str">
        <f>VLOOKUP(B838,'Sales Order'!A$2:B$1029,1,0)</f>
        <v>SO0837</v>
      </c>
      <c r="D838" s="17" t="s">
        <v>1275</v>
      </c>
      <c r="E838" s="29" t="s">
        <v>2318</v>
      </c>
      <c r="F838" s="29" t="s">
        <v>1285</v>
      </c>
      <c r="G838" s="32">
        <v>859350</v>
      </c>
      <c r="H838" s="43">
        <v>0.11</v>
      </c>
      <c r="I838" s="38">
        <v>456967109.00999999</v>
      </c>
      <c r="J838" s="42">
        <f>'Sales Order'!H838+('Sales Order'!H838*0.11)+Invoice!G838</f>
        <v>456967109.00999999</v>
      </c>
      <c r="K838" s="41"/>
    </row>
    <row r="839" spans="1:11" ht="15.75" customHeight="1" x14ac:dyDescent="0.3">
      <c r="A839" s="40" t="s">
        <v>2118</v>
      </c>
      <c r="B839" s="40" t="s">
        <v>1076</v>
      </c>
      <c r="C839" s="51" t="str">
        <f>VLOOKUP(B839,'Sales Order'!A$2:B$1029,1,0)</f>
        <v>SO0838</v>
      </c>
      <c r="D839" s="17" t="s">
        <v>1275</v>
      </c>
      <c r="E839" s="29" t="s">
        <v>2313</v>
      </c>
      <c r="F839" s="29" t="s">
        <v>1288</v>
      </c>
      <c r="G839" s="18">
        <v>808800</v>
      </c>
      <c r="H839" s="43">
        <v>0.11</v>
      </c>
      <c r="I839" s="38">
        <v>34721386.799999997</v>
      </c>
      <c r="J839" s="42">
        <f>'Sales Order'!H839+('Sales Order'!H839*0.11)+Invoice!G839</f>
        <v>34721386.799999997</v>
      </c>
      <c r="K839" s="41"/>
    </row>
    <row r="840" spans="1:11" ht="15.75" customHeight="1" x14ac:dyDescent="0.3">
      <c r="A840" s="40" t="s">
        <v>2119</v>
      </c>
      <c r="B840" s="40" t="s">
        <v>1077</v>
      </c>
      <c r="C840" s="51" t="str">
        <f>VLOOKUP(B840,'Sales Order'!A$2:B$1029,1,0)</f>
        <v>SO0839</v>
      </c>
      <c r="D840" s="17" t="s">
        <v>1279</v>
      </c>
      <c r="E840" s="29" t="s">
        <v>2312</v>
      </c>
      <c r="F840" s="29" t="s">
        <v>1276</v>
      </c>
      <c r="G840" s="18">
        <v>32352</v>
      </c>
      <c r="H840" s="43">
        <v>0.11</v>
      </c>
      <c r="I840" s="38">
        <v>21915114</v>
      </c>
      <c r="J840" s="42">
        <f>'Sales Order'!H840+('Sales Order'!H840*0.11)+Invoice!G840</f>
        <v>21915114</v>
      </c>
      <c r="K840" s="41"/>
    </row>
    <row r="841" spans="1:11" ht="15.75" customHeight="1" x14ac:dyDescent="0.3">
      <c r="A841" s="40" t="s">
        <v>2120</v>
      </c>
      <c r="B841" s="40" t="s">
        <v>1078</v>
      </c>
      <c r="C841" s="51" t="str">
        <f>VLOOKUP(B841,'Sales Order'!A$2:B$1029,1,0)</f>
        <v>SO0840</v>
      </c>
      <c r="D841" s="17" t="s">
        <v>1275</v>
      </c>
      <c r="E841" s="29" t="s">
        <v>2314</v>
      </c>
      <c r="F841" s="29" t="s">
        <v>1276</v>
      </c>
      <c r="G841" s="18">
        <v>808800</v>
      </c>
      <c r="H841" s="43">
        <v>0.11</v>
      </c>
      <c r="I841" s="38">
        <v>83118197.099999994</v>
      </c>
      <c r="J841" s="42">
        <f>'Sales Order'!H841+('Sales Order'!H841*0.11)+Invoice!G841</f>
        <v>83118197.099999994</v>
      </c>
      <c r="K841" s="41"/>
    </row>
    <row r="842" spans="1:11" ht="15.75" customHeight="1" x14ac:dyDescent="0.3">
      <c r="A842" s="40" t="s">
        <v>2121</v>
      </c>
      <c r="B842" s="40" t="s">
        <v>1079</v>
      </c>
      <c r="C842" s="51" t="str">
        <f>VLOOKUP(B842,'Sales Order'!A$2:B$1029,1,0)</f>
        <v>SO0841</v>
      </c>
      <c r="D842" s="17" t="s">
        <v>1279</v>
      </c>
      <c r="E842" s="29" t="s">
        <v>118</v>
      </c>
      <c r="F842" s="29" t="s">
        <v>1285</v>
      </c>
      <c r="G842" s="18">
        <v>8088</v>
      </c>
      <c r="H842" s="43">
        <v>0.11</v>
      </c>
      <c r="I842" s="38">
        <v>427204630.5</v>
      </c>
      <c r="J842" s="42">
        <f>'Sales Order'!H842+('Sales Order'!H842*0.11)+Invoice!G842</f>
        <v>427204630.5</v>
      </c>
      <c r="K842" s="41"/>
    </row>
    <row r="843" spans="1:11" ht="15.75" customHeight="1" x14ac:dyDescent="0.3">
      <c r="A843" s="40" t="s">
        <v>2122</v>
      </c>
      <c r="B843" s="40" t="s">
        <v>1080</v>
      </c>
      <c r="C843" s="51" t="str">
        <f>VLOOKUP(B843,'Sales Order'!A$2:B$1029,1,0)</f>
        <v>SO0842</v>
      </c>
      <c r="D843" s="17" t="s">
        <v>1275</v>
      </c>
      <c r="E843" s="29" t="s">
        <v>2313</v>
      </c>
      <c r="F843" s="29" t="s">
        <v>1288</v>
      </c>
      <c r="G843" s="18">
        <v>808800</v>
      </c>
      <c r="H843" s="43">
        <v>0.11</v>
      </c>
      <c r="I843" s="38">
        <v>35524682.700000003</v>
      </c>
      <c r="J843" s="42">
        <f>'Sales Order'!H843+('Sales Order'!H843*0.11)+Invoice!G843</f>
        <v>35524682.700000003</v>
      </c>
      <c r="K843" s="41"/>
    </row>
    <row r="844" spans="1:11" ht="15.75" customHeight="1" x14ac:dyDescent="0.3">
      <c r="A844" s="40" t="s">
        <v>2123</v>
      </c>
      <c r="B844" s="40" t="s">
        <v>1081</v>
      </c>
      <c r="C844" s="51" t="str">
        <f>VLOOKUP(B844,'Sales Order'!A$2:B$1029,1,0)</f>
        <v>SO0843</v>
      </c>
      <c r="D844" s="17" t="s">
        <v>1275</v>
      </c>
      <c r="E844" s="29" t="s">
        <v>2316</v>
      </c>
      <c r="F844" s="29" t="s">
        <v>1276</v>
      </c>
      <c r="G844" s="18">
        <v>556050</v>
      </c>
      <c r="H844" s="43">
        <v>0.11</v>
      </c>
      <c r="I844" s="38">
        <v>71787203.099999994</v>
      </c>
      <c r="J844" s="42">
        <f>'Sales Order'!H844+('Sales Order'!H844*0.11)+Invoice!G844</f>
        <v>71787203.099999994</v>
      </c>
      <c r="K844" s="41"/>
    </row>
    <row r="845" spans="1:11" ht="15.75" customHeight="1" x14ac:dyDescent="0.3">
      <c r="A845" s="40" t="s">
        <v>2124</v>
      </c>
      <c r="B845" s="40" t="s">
        <v>1082</v>
      </c>
      <c r="C845" s="51" t="str">
        <f>VLOOKUP(B845,'Sales Order'!A$2:B$1029,1,0)</f>
        <v>SO0844</v>
      </c>
      <c r="D845" s="17" t="s">
        <v>1275</v>
      </c>
      <c r="E845" s="29" t="s">
        <v>143</v>
      </c>
      <c r="F845" s="29" t="s">
        <v>1288</v>
      </c>
      <c r="G845" s="32">
        <v>859350</v>
      </c>
      <c r="H845" s="43">
        <v>0.11</v>
      </c>
      <c r="I845" s="38">
        <v>138104523</v>
      </c>
      <c r="J845" s="42">
        <f>'Sales Order'!H845+('Sales Order'!H845*0.11)+Invoice!G845</f>
        <v>138104523</v>
      </c>
      <c r="K845" s="41"/>
    </row>
    <row r="846" spans="1:11" ht="15.75" customHeight="1" x14ac:dyDescent="0.3">
      <c r="A846" s="40" t="s">
        <v>2125</v>
      </c>
      <c r="B846" s="40" t="s">
        <v>1083</v>
      </c>
      <c r="C846" s="51" t="str">
        <f>VLOOKUP(B846,'Sales Order'!A$2:B$1029,1,0)</f>
        <v>SO0845</v>
      </c>
      <c r="D846" s="17" t="s">
        <v>1275</v>
      </c>
      <c r="E846" s="29" t="s">
        <v>2316</v>
      </c>
      <c r="F846" s="29" t="s">
        <v>1285</v>
      </c>
      <c r="G846" s="18">
        <v>556050</v>
      </c>
      <c r="H846" s="43">
        <v>0.11</v>
      </c>
      <c r="I846" s="38">
        <v>691832627.00999999</v>
      </c>
      <c r="J846" s="42">
        <f>'Sales Order'!H846+('Sales Order'!H846*0.11)+Invoice!G846</f>
        <v>691832627.00999999</v>
      </c>
      <c r="K846" s="41"/>
    </row>
    <row r="847" spans="1:11" ht="15.75" customHeight="1" x14ac:dyDescent="0.3">
      <c r="A847" s="40" t="s">
        <v>2126</v>
      </c>
      <c r="B847" s="40" t="s">
        <v>1084</v>
      </c>
      <c r="C847" s="51" t="str">
        <f>VLOOKUP(B847,'Sales Order'!A$2:B$1029,1,0)</f>
        <v>SO0846</v>
      </c>
      <c r="D847" s="17" t="s">
        <v>1275</v>
      </c>
      <c r="E847" s="29" t="s">
        <v>2315</v>
      </c>
      <c r="F847" s="29" t="s">
        <v>1295</v>
      </c>
      <c r="G847" s="18">
        <v>556050</v>
      </c>
      <c r="H847" s="43">
        <v>0.11</v>
      </c>
      <c r="I847" s="38">
        <v>661625674.20000005</v>
      </c>
      <c r="J847" s="42">
        <f>'Sales Order'!H847+('Sales Order'!H847*0.11)+Invoice!G847</f>
        <v>661625674.20000005</v>
      </c>
      <c r="K847" s="41"/>
    </row>
    <row r="848" spans="1:11" ht="15.75" customHeight="1" x14ac:dyDescent="0.3">
      <c r="A848" s="40" t="s">
        <v>2127</v>
      </c>
      <c r="B848" s="40" t="s">
        <v>1085</v>
      </c>
      <c r="C848" s="51" t="str">
        <f>VLOOKUP(B848,'Sales Order'!A$2:B$1029,1,0)</f>
        <v>SO0847</v>
      </c>
      <c r="D848" s="17" t="s">
        <v>1275</v>
      </c>
      <c r="E848" s="29" t="s">
        <v>2314</v>
      </c>
      <c r="F848" s="29" t="s">
        <v>1285</v>
      </c>
      <c r="G848" s="18">
        <v>808800</v>
      </c>
      <c r="H848" s="43">
        <v>0.11</v>
      </c>
      <c r="I848" s="38">
        <v>417615964.5</v>
      </c>
      <c r="J848" s="42">
        <f>'Sales Order'!H848+('Sales Order'!H848*0.11)+Invoice!G848</f>
        <v>417615964.5</v>
      </c>
      <c r="K848" s="41"/>
    </row>
    <row r="849" spans="1:11" ht="15.75" customHeight="1" x14ac:dyDescent="0.3">
      <c r="A849" s="40" t="s">
        <v>2128</v>
      </c>
      <c r="B849" s="40" t="s">
        <v>1086</v>
      </c>
      <c r="C849" s="51" t="str">
        <f>VLOOKUP(B849,'Sales Order'!A$2:B$1029,1,0)</f>
        <v>SO0848</v>
      </c>
      <c r="D849" s="17" t="s">
        <v>1279</v>
      </c>
      <c r="E849" s="29" t="s">
        <v>118</v>
      </c>
      <c r="F849" s="29" t="s">
        <v>1276</v>
      </c>
      <c r="G849" s="18">
        <v>8088</v>
      </c>
      <c r="H849" s="43">
        <v>0.11</v>
      </c>
      <c r="I849" s="38">
        <v>44345346.359999999</v>
      </c>
      <c r="J849" s="42">
        <f>'Sales Order'!H849+('Sales Order'!H849*0.11)+Invoice!G849</f>
        <v>44345346.359999999</v>
      </c>
      <c r="K849" s="41"/>
    </row>
    <row r="850" spans="1:11" ht="15.75" customHeight="1" x14ac:dyDescent="0.3">
      <c r="A850" s="40" t="s">
        <v>2129</v>
      </c>
      <c r="B850" s="40" t="s">
        <v>1087</v>
      </c>
      <c r="C850" s="51" t="str">
        <f>VLOOKUP(B850,'Sales Order'!A$2:B$1029,1,0)</f>
        <v>SO0849</v>
      </c>
      <c r="D850" s="17" t="s">
        <v>1279</v>
      </c>
      <c r="E850" s="29" t="s">
        <v>2312</v>
      </c>
      <c r="F850" s="29" t="s">
        <v>1276</v>
      </c>
      <c r="G850" s="18">
        <v>32352</v>
      </c>
      <c r="H850" s="43">
        <v>0.11</v>
      </c>
      <c r="I850" s="38">
        <v>30768707.100000001</v>
      </c>
      <c r="J850" s="42">
        <f>'Sales Order'!H850+('Sales Order'!H850*0.11)+Invoice!G850</f>
        <v>30768707.100000001</v>
      </c>
      <c r="K850" s="41"/>
    </row>
    <row r="851" spans="1:11" ht="15.75" customHeight="1" x14ac:dyDescent="0.3">
      <c r="A851" s="40" t="s">
        <v>2130</v>
      </c>
      <c r="B851" s="40" t="s">
        <v>1088</v>
      </c>
      <c r="C851" s="51" t="str">
        <f>VLOOKUP(B851,'Sales Order'!A$2:B$1029,1,0)</f>
        <v>SO0850</v>
      </c>
      <c r="D851" s="17" t="s">
        <v>1279</v>
      </c>
      <c r="E851" s="29" t="s">
        <v>2312</v>
      </c>
      <c r="F851" s="29" t="s">
        <v>1280</v>
      </c>
      <c r="G851" s="18">
        <v>32352</v>
      </c>
      <c r="H851" s="43">
        <v>0.11</v>
      </c>
      <c r="I851" s="38">
        <v>284809503.12</v>
      </c>
      <c r="J851" s="42">
        <f>'Sales Order'!H851+('Sales Order'!H851*0.11)+Invoice!G851</f>
        <v>284809503.12</v>
      </c>
      <c r="K851" s="41"/>
    </row>
    <row r="852" spans="1:11" ht="15.75" customHeight="1" x14ac:dyDescent="0.3">
      <c r="A852" s="40" t="s">
        <v>2131</v>
      </c>
      <c r="B852" s="40" t="s">
        <v>1089</v>
      </c>
      <c r="C852" s="51" t="str">
        <f>VLOOKUP(B852,'Sales Order'!A$2:B$1029,1,0)</f>
        <v>SO0851</v>
      </c>
      <c r="D852" s="17" t="s">
        <v>1275</v>
      </c>
      <c r="E852" s="29" t="s">
        <v>170</v>
      </c>
      <c r="F852" s="29" t="s">
        <v>1285</v>
      </c>
      <c r="G852" s="32">
        <v>859350</v>
      </c>
      <c r="H852" s="43">
        <v>0.11</v>
      </c>
      <c r="I852" s="38">
        <v>697574004.60000002</v>
      </c>
      <c r="J852" s="42">
        <f>'Sales Order'!H852+('Sales Order'!H852*0.11)+Invoice!G852</f>
        <v>697574004.60000002</v>
      </c>
      <c r="K852" s="41"/>
    </row>
    <row r="853" spans="1:11" ht="15.75" customHeight="1" x14ac:dyDescent="0.3">
      <c r="A853" s="40" t="s">
        <v>2132</v>
      </c>
      <c r="B853" s="40" t="s">
        <v>1090</v>
      </c>
      <c r="C853" s="51" t="str">
        <f>VLOOKUP(B853,'Sales Order'!A$2:B$1029,1,0)</f>
        <v>SO0852</v>
      </c>
      <c r="D853" s="17" t="s">
        <v>1275</v>
      </c>
      <c r="E853" s="29" t="s">
        <v>2316</v>
      </c>
      <c r="F853" s="29" t="s">
        <v>1276</v>
      </c>
      <c r="G853" s="18">
        <v>556050</v>
      </c>
      <c r="H853" s="43">
        <v>0.11</v>
      </c>
      <c r="I853" s="38">
        <v>138808559.09999999</v>
      </c>
      <c r="J853" s="42">
        <f>'Sales Order'!H853+('Sales Order'!H853*0.11)+Invoice!G853</f>
        <v>138808559.09999999</v>
      </c>
      <c r="K853" s="41"/>
    </row>
    <row r="854" spans="1:11" ht="15.75" customHeight="1" x14ac:dyDescent="0.3">
      <c r="A854" s="40" t="s">
        <v>2133</v>
      </c>
      <c r="B854" s="40" t="s">
        <v>1091</v>
      </c>
      <c r="C854" s="51" t="str">
        <f>VLOOKUP(B854,'Sales Order'!A$2:B$1029,1,0)</f>
        <v>SO0853</v>
      </c>
      <c r="D854" s="17" t="s">
        <v>1275</v>
      </c>
      <c r="E854" s="29" t="s">
        <v>2313</v>
      </c>
      <c r="F854" s="29" t="s">
        <v>1280</v>
      </c>
      <c r="G854" s="18">
        <v>808800</v>
      </c>
      <c r="H854" s="43">
        <v>0.11</v>
      </c>
      <c r="I854" s="38">
        <v>357820320</v>
      </c>
      <c r="J854" s="42">
        <f>'Sales Order'!H854+('Sales Order'!H854*0.11)+Invoice!G854</f>
        <v>357820320</v>
      </c>
      <c r="K854" s="41"/>
    </row>
    <row r="855" spans="1:11" ht="15.75" customHeight="1" x14ac:dyDescent="0.3">
      <c r="A855" s="40" t="s">
        <v>2134</v>
      </c>
      <c r="B855" s="40" t="s">
        <v>1092</v>
      </c>
      <c r="C855" s="51" t="str">
        <f>VLOOKUP(B855,'Sales Order'!A$2:B$1029,1,0)</f>
        <v>SO0854</v>
      </c>
      <c r="D855" s="17" t="s">
        <v>1279</v>
      </c>
      <c r="E855" s="29" t="s">
        <v>118</v>
      </c>
      <c r="F855" s="29" t="s">
        <v>1285</v>
      </c>
      <c r="G855" s="18">
        <v>8088</v>
      </c>
      <c r="H855" s="43">
        <v>0.11</v>
      </c>
      <c r="I855" s="38">
        <v>313196507.19</v>
      </c>
      <c r="J855" s="42">
        <f>'Sales Order'!H855+('Sales Order'!H855*0.11)+Invoice!G855</f>
        <v>313196507.19</v>
      </c>
      <c r="K855" s="41"/>
    </row>
    <row r="856" spans="1:11" ht="15.75" customHeight="1" x14ac:dyDescent="0.3">
      <c r="A856" s="40" t="s">
        <v>2135</v>
      </c>
      <c r="B856" s="40" t="s">
        <v>1093</v>
      </c>
      <c r="C856" s="51" t="str">
        <f>VLOOKUP(B856,'Sales Order'!A$2:B$1029,1,0)</f>
        <v>SO0855</v>
      </c>
      <c r="D856" s="17" t="s">
        <v>1275</v>
      </c>
      <c r="E856" s="29" t="s">
        <v>2319</v>
      </c>
      <c r="F856" s="29" t="s">
        <v>1285</v>
      </c>
      <c r="G856" s="18">
        <v>353850</v>
      </c>
      <c r="H856" s="43">
        <v>0.11</v>
      </c>
      <c r="I856" s="38">
        <v>730729293.45000005</v>
      </c>
      <c r="J856" s="42">
        <f>'Sales Order'!H856+('Sales Order'!H856*0.11)+Invoice!G856</f>
        <v>730729293.45000005</v>
      </c>
      <c r="K856" s="41"/>
    </row>
    <row r="857" spans="1:11" ht="15.75" customHeight="1" x14ac:dyDescent="0.3">
      <c r="A857" s="40" t="s">
        <v>2136</v>
      </c>
      <c r="B857" s="40" t="s">
        <v>1094</v>
      </c>
      <c r="C857" s="51" t="str">
        <f>VLOOKUP(B857,'Sales Order'!A$2:B$1029,1,0)</f>
        <v>SO0856</v>
      </c>
      <c r="D857" s="17" t="s">
        <v>1279</v>
      </c>
      <c r="E857" s="29" t="s">
        <v>118</v>
      </c>
      <c r="F857" s="29" t="s">
        <v>1276</v>
      </c>
      <c r="G857" s="18">
        <v>8088</v>
      </c>
      <c r="H857" s="43">
        <v>0.11</v>
      </c>
      <c r="I857" s="38">
        <v>147481189.5</v>
      </c>
      <c r="J857" s="42">
        <f>'Sales Order'!H857+('Sales Order'!H857*0.11)+Invoice!G857</f>
        <v>147481189.5</v>
      </c>
      <c r="K857" s="41"/>
    </row>
    <row r="858" spans="1:11" ht="15.75" customHeight="1" x14ac:dyDescent="0.3">
      <c r="A858" s="40" t="s">
        <v>2137</v>
      </c>
      <c r="B858" s="40" t="s">
        <v>1095</v>
      </c>
      <c r="C858" s="51" t="str">
        <f>VLOOKUP(B858,'Sales Order'!A$2:B$1029,1,0)</f>
        <v>SO0857</v>
      </c>
      <c r="D858" s="17" t="s">
        <v>1275</v>
      </c>
      <c r="E858" s="29" t="s">
        <v>108</v>
      </c>
      <c r="F858" s="29" t="s">
        <v>1285</v>
      </c>
      <c r="G858" s="18">
        <v>556050</v>
      </c>
      <c r="H858" s="43">
        <v>0.11</v>
      </c>
      <c r="I858" s="38">
        <v>545178582.29999995</v>
      </c>
      <c r="J858" s="42">
        <f>'Sales Order'!H858+('Sales Order'!H858*0.11)+Invoice!G858</f>
        <v>545178582.29999995</v>
      </c>
      <c r="K858" s="41"/>
    </row>
    <row r="859" spans="1:11" ht="15.75" customHeight="1" x14ac:dyDescent="0.3">
      <c r="A859" s="40" t="s">
        <v>2138</v>
      </c>
      <c r="B859" s="40" t="s">
        <v>1096</v>
      </c>
      <c r="C859" s="51" t="str">
        <f>VLOOKUP(B859,'Sales Order'!A$2:B$1029,1,0)</f>
        <v>SO0858</v>
      </c>
      <c r="D859" s="17" t="s">
        <v>1275</v>
      </c>
      <c r="E859" s="29" t="s">
        <v>2315</v>
      </c>
      <c r="F859" s="29" t="s">
        <v>1280</v>
      </c>
      <c r="G859" s="18">
        <v>556050</v>
      </c>
      <c r="H859" s="43">
        <v>0.11</v>
      </c>
      <c r="I859" s="38">
        <v>576891437.70000005</v>
      </c>
      <c r="J859" s="42">
        <f>'Sales Order'!H859+('Sales Order'!H859*0.11)+Invoice!G859</f>
        <v>576891437.70000005</v>
      </c>
      <c r="K859" s="41"/>
    </row>
    <row r="860" spans="1:11" ht="15.75" customHeight="1" x14ac:dyDescent="0.3">
      <c r="A860" s="40" t="s">
        <v>2139</v>
      </c>
      <c r="B860" s="40" t="s">
        <v>1097</v>
      </c>
      <c r="C860" s="51" t="str">
        <f>VLOOKUP(B860,'Sales Order'!A$2:B$1029,1,0)</f>
        <v>SO0859</v>
      </c>
      <c r="D860" s="17" t="s">
        <v>1275</v>
      </c>
      <c r="E860" s="29" t="s">
        <v>2315</v>
      </c>
      <c r="F860" s="29" t="s">
        <v>1288</v>
      </c>
      <c r="G860" s="18">
        <v>556050</v>
      </c>
      <c r="H860" s="43">
        <v>0.11</v>
      </c>
      <c r="I860" s="38">
        <v>21440355.899999999</v>
      </c>
      <c r="J860" s="42">
        <f>'Sales Order'!H860+('Sales Order'!H860*0.11)+Invoice!G860</f>
        <v>21440355.899999999</v>
      </c>
      <c r="K860" s="41"/>
    </row>
    <row r="861" spans="1:11" ht="15.75" customHeight="1" x14ac:dyDescent="0.3">
      <c r="A861" s="40" t="s">
        <v>2140</v>
      </c>
      <c r="B861" s="40" t="s">
        <v>1098</v>
      </c>
      <c r="C861" s="51" t="str">
        <f>VLOOKUP(B861,'Sales Order'!A$2:B$1029,1,0)</f>
        <v>SO0860</v>
      </c>
      <c r="D861" s="17" t="s">
        <v>1275</v>
      </c>
      <c r="E861" s="29" t="s">
        <v>170</v>
      </c>
      <c r="F861" s="29" t="s">
        <v>1276</v>
      </c>
      <c r="G861" s="32">
        <v>859350</v>
      </c>
      <c r="H861" s="43">
        <v>0.11</v>
      </c>
      <c r="I861" s="38">
        <v>43350594</v>
      </c>
      <c r="J861" s="42">
        <f>'Sales Order'!H861+('Sales Order'!H861*0.11)+Invoice!G861</f>
        <v>43350594</v>
      </c>
      <c r="K861" s="41"/>
    </row>
    <row r="862" spans="1:11" ht="15.75" customHeight="1" x14ac:dyDescent="0.3">
      <c r="A862" s="40" t="s">
        <v>2141</v>
      </c>
      <c r="B862" s="40" t="s">
        <v>1099</v>
      </c>
      <c r="C862" s="51" t="str">
        <f>VLOOKUP(B862,'Sales Order'!A$2:B$1029,1,0)</f>
        <v>SO0861</v>
      </c>
      <c r="D862" s="17" t="s">
        <v>1275</v>
      </c>
      <c r="E862" s="29" t="s">
        <v>2313</v>
      </c>
      <c r="F862" s="29" t="s">
        <v>1288</v>
      </c>
      <c r="G862" s="18">
        <v>808800</v>
      </c>
      <c r="H862" s="43">
        <v>0.11</v>
      </c>
      <c r="I862" s="38">
        <v>87108902.400000006</v>
      </c>
      <c r="J862" s="42">
        <f>'Sales Order'!H862+('Sales Order'!H862*0.11)+Invoice!G862</f>
        <v>87108902.400000006</v>
      </c>
      <c r="K862" s="41"/>
    </row>
    <row r="863" spans="1:11" ht="15.75" customHeight="1" x14ac:dyDescent="0.3">
      <c r="A863" s="40" t="s">
        <v>2142</v>
      </c>
      <c r="B863" s="40" t="s">
        <v>1100</v>
      </c>
      <c r="C863" s="51" t="str">
        <f>VLOOKUP(B863,'Sales Order'!A$2:B$1029,1,0)</f>
        <v>SO0862</v>
      </c>
      <c r="D863" s="17" t="s">
        <v>1275</v>
      </c>
      <c r="E863" s="29" t="s">
        <v>2313</v>
      </c>
      <c r="F863" s="29" t="s">
        <v>1288</v>
      </c>
      <c r="G863" s="18">
        <v>808800</v>
      </c>
      <c r="H863" s="43">
        <v>0.11</v>
      </c>
      <c r="I863" s="38">
        <v>147674565</v>
      </c>
      <c r="J863" s="42">
        <f>'Sales Order'!H863+('Sales Order'!H863*0.11)+Invoice!G863</f>
        <v>147674565</v>
      </c>
      <c r="K863" s="41"/>
    </row>
    <row r="864" spans="1:11" ht="15.75" customHeight="1" x14ac:dyDescent="0.3">
      <c r="A864" s="40" t="s">
        <v>2143</v>
      </c>
      <c r="B864" s="40" t="s">
        <v>1101</v>
      </c>
      <c r="C864" s="51" t="str">
        <f>VLOOKUP(B864,'Sales Order'!A$2:B$1029,1,0)</f>
        <v>SO0863</v>
      </c>
      <c r="D864" s="17" t="s">
        <v>1275</v>
      </c>
      <c r="E864" s="29" t="s">
        <v>2314</v>
      </c>
      <c r="F864" s="29" t="s">
        <v>1276</v>
      </c>
      <c r="G864" s="18">
        <v>808800</v>
      </c>
      <c r="H864" s="43">
        <v>0.11</v>
      </c>
      <c r="I864" s="38">
        <v>40801767</v>
      </c>
      <c r="J864" s="42">
        <f>'Sales Order'!H864+('Sales Order'!H864*0.11)+Invoice!G864</f>
        <v>40801767</v>
      </c>
      <c r="K864" s="41"/>
    </row>
    <row r="865" spans="1:11" ht="15.75" customHeight="1" x14ac:dyDescent="0.3">
      <c r="A865" s="40" t="s">
        <v>2144</v>
      </c>
      <c r="B865" s="40" t="s">
        <v>1102</v>
      </c>
      <c r="C865" s="51" t="str">
        <f>VLOOKUP(B865,'Sales Order'!A$2:B$1029,1,0)</f>
        <v>SO0864</v>
      </c>
      <c r="D865" s="17" t="s">
        <v>1275</v>
      </c>
      <c r="E865" s="29" t="s">
        <v>2318</v>
      </c>
      <c r="F865" s="29" t="s">
        <v>1288</v>
      </c>
      <c r="G865" s="32">
        <v>859350</v>
      </c>
      <c r="H865" s="43">
        <v>0.11</v>
      </c>
      <c r="I865" s="38">
        <v>127239998.40000001</v>
      </c>
      <c r="J865" s="42">
        <f>'Sales Order'!H865+('Sales Order'!H865*0.11)+Invoice!G865</f>
        <v>127239998.40000001</v>
      </c>
      <c r="K865" s="41"/>
    </row>
    <row r="866" spans="1:11" ht="15.75" customHeight="1" x14ac:dyDescent="0.3">
      <c r="A866" s="40" t="s">
        <v>2145</v>
      </c>
      <c r="B866" s="40" t="s">
        <v>1103</v>
      </c>
      <c r="C866" s="51" t="str">
        <f>VLOOKUP(B866,'Sales Order'!A$2:B$1029,1,0)</f>
        <v>SO0865</v>
      </c>
      <c r="D866" s="17" t="s">
        <v>1275</v>
      </c>
      <c r="E866" s="29" t="s">
        <v>2316</v>
      </c>
      <c r="F866" s="29" t="s">
        <v>1276</v>
      </c>
      <c r="G866" s="18">
        <v>556050</v>
      </c>
      <c r="H866" s="43">
        <v>0.11</v>
      </c>
      <c r="I866" s="38">
        <v>83561827.799999997</v>
      </c>
      <c r="J866" s="42">
        <f>'Sales Order'!H866+('Sales Order'!H866*0.11)+Invoice!G866</f>
        <v>83561827.799999997</v>
      </c>
      <c r="K866" s="41"/>
    </row>
    <row r="867" spans="1:11" ht="15.75" customHeight="1" x14ac:dyDescent="0.3">
      <c r="A867" s="40" t="s">
        <v>2146</v>
      </c>
      <c r="B867" s="40" t="s">
        <v>1104</v>
      </c>
      <c r="C867" s="51" t="str">
        <f>VLOOKUP(B867,'Sales Order'!A$2:B$1029,1,0)</f>
        <v>SO0866</v>
      </c>
      <c r="D867" s="17" t="s">
        <v>1279</v>
      </c>
      <c r="E867" s="29" t="s">
        <v>118</v>
      </c>
      <c r="F867" s="29" t="s">
        <v>1285</v>
      </c>
      <c r="G867" s="18">
        <v>8088</v>
      </c>
      <c r="H867" s="43">
        <v>0.11</v>
      </c>
      <c r="I867" s="38">
        <v>355883101.19999999</v>
      </c>
      <c r="J867" s="42">
        <f>'Sales Order'!H867+('Sales Order'!H867*0.11)+Invoice!G867</f>
        <v>355883101.19999999</v>
      </c>
      <c r="K867" s="41"/>
    </row>
    <row r="868" spans="1:11" ht="15.75" customHeight="1" x14ac:dyDescent="0.3">
      <c r="A868" s="40" t="s">
        <v>2147</v>
      </c>
      <c r="B868" s="40" t="s">
        <v>1105</v>
      </c>
      <c r="C868" s="51" t="str">
        <f>VLOOKUP(B868,'Sales Order'!A$2:B$1029,1,0)</f>
        <v>SO0867</v>
      </c>
      <c r="D868" s="17" t="s">
        <v>1275</v>
      </c>
      <c r="E868" s="29" t="s">
        <v>2313</v>
      </c>
      <c r="F868" s="29" t="s">
        <v>1295</v>
      </c>
      <c r="G868" s="18">
        <v>808800</v>
      </c>
      <c r="H868" s="43">
        <v>0.11</v>
      </c>
      <c r="I868" s="38">
        <v>280932495.89999998</v>
      </c>
      <c r="J868" s="42">
        <f>'Sales Order'!H868+('Sales Order'!H868*0.11)+Invoice!G868</f>
        <v>280932495.89999998</v>
      </c>
      <c r="K868" s="41"/>
    </row>
    <row r="869" spans="1:11" ht="15.75" customHeight="1" x14ac:dyDescent="0.3">
      <c r="A869" s="40" t="s">
        <v>2148</v>
      </c>
      <c r="B869" s="40" t="s">
        <v>1106</v>
      </c>
      <c r="C869" s="51" t="str">
        <f>VLOOKUP(B869,'Sales Order'!A$2:B$1029,1,0)</f>
        <v>SO0868</v>
      </c>
      <c r="D869" s="17" t="s">
        <v>1275</v>
      </c>
      <c r="E869" s="29" t="s">
        <v>2320</v>
      </c>
      <c r="F869" s="29" t="s">
        <v>1288</v>
      </c>
      <c r="G869" s="32">
        <v>758250</v>
      </c>
      <c r="H869" s="43">
        <v>0.11</v>
      </c>
      <c r="I869" s="38">
        <v>225516977.40000001</v>
      </c>
      <c r="J869" s="42">
        <f>'Sales Order'!H869+('Sales Order'!H869*0.11)+Invoice!G869</f>
        <v>225516977.40000001</v>
      </c>
      <c r="K869" s="41"/>
    </row>
    <row r="870" spans="1:11" ht="15.75" customHeight="1" x14ac:dyDescent="0.3">
      <c r="A870" s="40" t="s">
        <v>2149</v>
      </c>
      <c r="B870" s="40" t="s">
        <v>1107</v>
      </c>
      <c r="C870" s="51" t="str">
        <f>VLOOKUP(B870,'Sales Order'!A$2:B$1029,1,0)</f>
        <v>SO0869</v>
      </c>
      <c r="D870" s="17" t="s">
        <v>1275</v>
      </c>
      <c r="E870" s="29" t="s">
        <v>2314</v>
      </c>
      <c r="F870" s="29" t="s">
        <v>1288</v>
      </c>
      <c r="G870" s="18">
        <v>808800</v>
      </c>
      <c r="H870" s="43">
        <v>0.11</v>
      </c>
      <c r="I870" s="38">
        <v>65716605</v>
      </c>
      <c r="J870" s="42">
        <f>'Sales Order'!H870+('Sales Order'!H870*0.11)+Invoice!G870</f>
        <v>65716605</v>
      </c>
      <c r="K870" s="41"/>
    </row>
    <row r="871" spans="1:11" ht="15.75" customHeight="1" x14ac:dyDescent="0.3">
      <c r="A871" s="40" t="s">
        <v>2150</v>
      </c>
      <c r="B871" s="40" t="s">
        <v>1108</v>
      </c>
      <c r="C871" s="51" t="str">
        <f>VLOOKUP(B871,'Sales Order'!A$2:B$1029,1,0)</f>
        <v>SO0870</v>
      </c>
      <c r="D871" s="17" t="s">
        <v>1279</v>
      </c>
      <c r="E871" s="29" t="s">
        <v>2312</v>
      </c>
      <c r="F871" s="29" t="s">
        <v>1288</v>
      </c>
      <c r="G871" s="18">
        <v>32352</v>
      </c>
      <c r="H871" s="43">
        <v>0.11</v>
      </c>
      <c r="I871" s="38">
        <v>54910552.200000003</v>
      </c>
      <c r="J871" s="42">
        <f>'Sales Order'!H871+('Sales Order'!H871*0.11)+Invoice!G871</f>
        <v>54910552.200000003</v>
      </c>
      <c r="K871" s="41"/>
    </row>
    <row r="872" spans="1:11" ht="15.75" customHeight="1" x14ac:dyDescent="0.3">
      <c r="A872" s="40" t="s">
        <v>2151</v>
      </c>
      <c r="B872" s="40" t="s">
        <v>1109</v>
      </c>
      <c r="C872" s="51" t="str">
        <f>VLOOKUP(B872,'Sales Order'!A$2:B$1029,1,0)</f>
        <v>SO0871</v>
      </c>
      <c r="D872" s="17" t="s">
        <v>1275</v>
      </c>
      <c r="E872" s="29" t="s">
        <v>2313</v>
      </c>
      <c r="F872" s="29" t="s">
        <v>1285</v>
      </c>
      <c r="G872" s="18">
        <v>808800</v>
      </c>
      <c r="H872" s="43">
        <v>0.11</v>
      </c>
      <c r="I872" s="38">
        <v>437258313.60000002</v>
      </c>
      <c r="J872" s="42">
        <f>'Sales Order'!H872+('Sales Order'!H872*0.11)+Invoice!G872</f>
        <v>437258313.60000002</v>
      </c>
      <c r="K872" s="41"/>
    </row>
    <row r="873" spans="1:11" ht="15.75" customHeight="1" x14ac:dyDescent="0.3">
      <c r="A873" s="40" t="s">
        <v>2152</v>
      </c>
      <c r="B873" s="40" t="s">
        <v>1110</v>
      </c>
      <c r="C873" s="51" t="str">
        <f>VLOOKUP(B873,'Sales Order'!A$2:B$1029,1,0)</f>
        <v>SO0872</v>
      </c>
      <c r="D873" s="17" t="s">
        <v>1275</v>
      </c>
      <c r="E873" s="29" t="s">
        <v>143</v>
      </c>
      <c r="F873" s="29" t="s">
        <v>1280</v>
      </c>
      <c r="G873" s="32">
        <v>859350</v>
      </c>
      <c r="H873" s="43">
        <v>0.11</v>
      </c>
      <c r="I873" s="38">
        <v>434393459.69999999</v>
      </c>
      <c r="J873" s="42">
        <f>'Sales Order'!H873+('Sales Order'!H873*0.11)+Invoice!G873</f>
        <v>434393459.69999999</v>
      </c>
      <c r="K873" s="41"/>
    </row>
    <row r="874" spans="1:11" ht="15.75" customHeight="1" x14ac:dyDescent="0.3">
      <c r="A874" s="40" t="s">
        <v>2153</v>
      </c>
      <c r="B874" s="40" t="s">
        <v>1111</v>
      </c>
      <c r="C874" s="51" t="str">
        <f>VLOOKUP(B874,'Sales Order'!A$2:B$1029,1,0)</f>
        <v>SO0873</v>
      </c>
      <c r="D874" s="17" t="s">
        <v>1275</v>
      </c>
      <c r="E874" s="29" t="s">
        <v>2314</v>
      </c>
      <c r="F874" s="29" t="s">
        <v>1280</v>
      </c>
      <c r="G874" s="18">
        <v>808800</v>
      </c>
      <c r="H874" s="43">
        <v>0.11</v>
      </c>
      <c r="I874" s="38">
        <v>1043408601</v>
      </c>
      <c r="J874" s="42">
        <f>'Sales Order'!H874+('Sales Order'!H874*0.11)+Invoice!G874</f>
        <v>1043408601</v>
      </c>
      <c r="K874" s="41"/>
    </row>
    <row r="875" spans="1:11" ht="15.75" customHeight="1" x14ac:dyDescent="0.3">
      <c r="A875" s="40" t="s">
        <v>2154</v>
      </c>
      <c r="B875" s="40" t="s">
        <v>1112</v>
      </c>
      <c r="C875" s="51" t="str">
        <f>VLOOKUP(B875,'Sales Order'!A$2:B$1029,1,0)</f>
        <v>SO0874</v>
      </c>
      <c r="D875" s="17" t="s">
        <v>1275</v>
      </c>
      <c r="E875" s="29" t="s">
        <v>2316</v>
      </c>
      <c r="F875" s="29" t="s">
        <v>1288</v>
      </c>
      <c r="G875" s="18">
        <v>556050</v>
      </c>
      <c r="H875" s="43">
        <v>0.11</v>
      </c>
      <c r="I875" s="38">
        <v>74996157.599999994</v>
      </c>
      <c r="J875" s="42">
        <f>'Sales Order'!H875+('Sales Order'!H875*0.11)+Invoice!G875</f>
        <v>74996157.599999994</v>
      </c>
      <c r="K875" s="41"/>
    </row>
    <row r="876" spans="1:11" ht="15.75" customHeight="1" x14ac:dyDescent="0.3">
      <c r="A876" s="40" t="s">
        <v>2155</v>
      </c>
      <c r="B876" s="40" t="s">
        <v>1113</v>
      </c>
      <c r="C876" s="51" t="str">
        <f>VLOOKUP(B876,'Sales Order'!A$2:B$1029,1,0)</f>
        <v>SO0875</v>
      </c>
      <c r="D876" s="17" t="s">
        <v>1275</v>
      </c>
      <c r="E876" s="29" t="s">
        <v>170</v>
      </c>
      <c r="F876" s="29" t="s">
        <v>1276</v>
      </c>
      <c r="G876" s="32">
        <v>859350</v>
      </c>
      <c r="H876" s="43">
        <v>0.11</v>
      </c>
      <c r="I876" s="38">
        <v>97394145.239999995</v>
      </c>
      <c r="J876" s="42">
        <f>'Sales Order'!H876+('Sales Order'!H876*0.11)+Invoice!G876</f>
        <v>97394145.239999995</v>
      </c>
      <c r="K876" s="41"/>
    </row>
    <row r="877" spans="1:11" ht="15.75" customHeight="1" x14ac:dyDescent="0.3">
      <c r="A877" s="40" t="s">
        <v>2156</v>
      </c>
      <c r="B877" s="40" t="s">
        <v>1114</v>
      </c>
      <c r="C877" s="51" t="str">
        <f>VLOOKUP(B877,'Sales Order'!A$2:B$1029,1,0)</f>
        <v>SO0876</v>
      </c>
      <c r="D877" s="17" t="s">
        <v>1275</v>
      </c>
      <c r="E877" s="29" t="s">
        <v>2313</v>
      </c>
      <c r="F877" s="29" t="s">
        <v>1276</v>
      </c>
      <c r="G877" s="18">
        <v>808800</v>
      </c>
      <c r="H877" s="43">
        <v>0.11</v>
      </c>
      <c r="I877" s="38">
        <v>113469493.2</v>
      </c>
      <c r="J877" s="42">
        <f>'Sales Order'!H877+('Sales Order'!H877*0.11)+Invoice!G877</f>
        <v>113469493.2</v>
      </c>
      <c r="K877" s="41"/>
    </row>
    <row r="878" spans="1:11" ht="15.75" customHeight="1" x14ac:dyDescent="0.3">
      <c r="A878" s="40" t="s">
        <v>2157</v>
      </c>
      <c r="B878" s="40" t="s">
        <v>1115</v>
      </c>
      <c r="C878" s="51" t="str">
        <f>VLOOKUP(B878,'Sales Order'!A$2:B$1029,1,0)</f>
        <v>SO0877</v>
      </c>
      <c r="D878" s="17" t="s">
        <v>1275</v>
      </c>
      <c r="E878" s="29" t="s">
        <v>170</v>
      </c>
      <c r="F878" s="29" t="s">
        <v>1288</v>
      </c>
      <c r="G878" s="32">
        <v>859350</v>
      </c>
      <c r="H878" s="43">
        <v>0.11</v>
      </c>
      <c r="I878" s="38">
        <v>238606187.40000001</v>
      </c>
      <c r="J878" s="42">
        <f>'Sales Order'!H878+('Sales Order'!H878*0.11)+Invoice!G878</f>
        <v>238606187.40000001</v>
      </c>
      <c r="K878" s="41"/>
    </row>
    <row r="879" spans="1:11" ht="15.75" customHeight="1" x14ac:dyDescent="0.3">
      <c r="A879" s="40" t="s">
        <v>2158</v>
      </c>
      <c r="B879" s="40" t="s">
        <v>1116</v>
      </c>
      <c r="C879" s="51" t="str">
        <f>VLOOKUP(B879,'Sales Order'!A$2:B$1029,1,0)</f>
        <v>SO0878</v>
      </c>
      <c r="D879" s="17" t="s">
        <v>1275</v>
      </c>
      <c r="E879" s="29" t="s">
        <v>2313</v>
      </c>
      <c r="F879" s="29" t="s">
        <v>1276</v>
      </c>
      <c r="G879" s="18">
        <v>808800</v>
      </c>
      <c r="H879" s="43">
        <v>0.11</v>
      </c>
      <c r="I879" s="38">
        <v>16742983.199999999</v>
      </c>
      <c r="J879" s="42">
        <f>'Sales Order'!H879+('Sales Order'!H879*0.11)+Invoice!G879</f>
        <v>16742983.199999999</v>
      </c>
      <c r="K879" s="41"/>
    </row>
    <row r="880" spans="1:11" ht="15.75" customHeight="1" x14ac:dyDescent="0.3">
      <c r="A880" s="40" t="s">
        <v>2159</v>
      </c>
      <c r="B880" s="40" t="s">
        <v>1117</v>
      </c>
      <c r="C880" s="51" t="str">
        <f>VLOOKUP(B880,'Sales Order'!A$2:B$1029,1,0)</f>
        <v>SO0879</v>
      </c>
      <c r="D880" s="17" t="s">
        <v>1279</v>
      </c>
      <c r="E880" s="29" t="s">
        <v>118</v>
      </c>
      <c r="F880" s="29" t="s">
        <v>1285</v>
      </c>
      <c r="G880" s="18">
        <v>8088</v>
      </c>
      <c r="H880" s="43">
        <v>0.11</v>
      </c>
      <c r="I880" s="38">
        <v>386140624.5</v>
      </c>
      <c r="J880" s="42">
        <f>'Sales Order'!H880+('Sales Order'!H880*0.11)+Invoice!G880</f>
        <v>386140624.5</v>
      </c>
      <c r="K880" s="41"/>
    </row>
    <row r="881" spans="1:11" ht="15.75" customHeight="1" x14ac:dyDescent="0.3">
      <c r="A881" s="40" t="s">
        <v>2160</v>
      </c>
      <c r="B881" s="40" t="s">
        <v>1118</v>
      </c>
      <c r="C881" s="51" t="str">
        <f>VLOOKUP(B881,'Sales Order'!A$2:B$1029,1,0)</f>
        <v>SO0880</v>
      </c>
      <c r="D881" s="17" t="s">
        <v>1275</v>
      </c>
      <c r="E881" s="29" t="s">
        <v>143</v>
      </c>
      <c r="F881" s="29" t="s">
        <v>1288</v>
      </c>
      <c r="G881" s="32">
        <v>859350</v>
      </c>
      <c r="H881" s="43">
        <v>0.11</v>
      </c>
      <c r="I881" s="38">
        <v>48253663.799999997</v>
      </c>
      <c r="J881" s="42">
        <f>'Sales Order'!H881+('Sales Order'!H881*0.11)+Invoice!G881</f>
        <v>48253663.799999997</v>
      </c>
      <c r="K881" s="41"/>
    </row>
    <row r="882" spans="1:11" ht="15.75" customHeight="1" x14ac:dyDescent="0.3">
      <c r="A882" s="40" t="s">
        <v>2161</v>
      </c>
      <c r="B882" s="40" t="s">
        <v>1119</v>
      </c>
      <c r="C882" s="51" t="str">
        <f>VLOOKUP(B882,'Sales Order'!A$2:B$1029,1,0)</f>
        <v>SO0881</v>
      </c>
      <c r="D882" s="17" t="s">
        <v>1275</v>
      </c>
      <c r="E882" s="29" t="s">
        <v>2316</v>
      </c>
      <c r="F882" s="29" t="s">
        <v>1295</v>
      </c>
      <c r="G882" s="18">
        <v>556050</v>
      </c>
      <c r="H882" s="43">
        <v>0.11</v>
      </c>
      <c r="I882" s="38">
        <v>352952167.80000001</v>
      </c>
      <c r="J882" s="42">
        <f>'Sales Order'!H882+('Sales Order'!H882*0.11)+Invoice!G882</f>
        <v>352952167.80000001</v>
      </c>
      <c r="K882" s="41"/>
    </row>
    <row r="883" spans="1:11" ht="15.75" customHeight="1" x14ac:dyDescent="0.3">
      <c r="A883" s="40" t="s">
        <v>2162</v>
      </c>
      <c r="B883" s="40" t="s">
        <v>1120</v>
      </c>
      <c r="C883" s="51" t="str">
        <f>VLOOKUP(B883,'Sales Order'!A$2:B$1029,1,0)</f>
        <v>SO0882</v>
      </c>
      <c r="D883" s="17" t="s">
        <v>1275</v>
      </c>
      <c r="E883" s="29" t="s">
        <v>2315</v>
      </c>
      <c r="F883" s="29" t="s">
        <v>1276</v>
      </c>
      <c r="G883" s="18">
        <v>556050</v>
      </c>
      <c r="H883" s="43">
        <v>0.11</v>
      </c>
      <c r="I883" s="38">
        <v>245297441.40000001</v>
      </c>
      <c r="J883" s="42">
        <f>'Sales Order'!H883+('Sales Order'!H883*0.11)+Invoice!G883</f>
        <v>245297441.40000001</v>
      </c>
      <c r="K883" s="41"/>
    </row>
    <row r="884" spans="1:11" ht="15.75" customHeight="1" x14ac:dyDescent="0.3">
      <c r="A884" s="40" t="s">
        <v>2163</v>
      </c>
      <c r="B884" s="40" t="s">
        <v>1121</v>
      </c>
      <c r="C884" s="51" t="str">
        <f>VLOOKUP(B884,'Sales Order'!A$2:B$1029,1,0)</f>
        <v>SO0883</v>
      </c>
      <c r="D884" s="17" t="s">
        <v>1275</v>
      </c>
      <c r="E884" s="29" t="s">
        <v>2318</v>
      </c>
      <c r="F884" s="29" t="s">
        <v>1276</v>
      </c>
      <c r="G884" s="32">
        <v>859350</v>
      </c>
      <c r="H884" s="43">
        <v>0.11</v>
      </c>
      <c r="I884" s="38">
        <v>243744654.90000001</v>
      </c>
      <c r="J884" s="42">
        <f>'Sales Order'!H884+('Sales Order'!H884*0.11)+Invoice!G884</f>
        <v>243744654.90000001</v>
      </c>
      <c r="K884" s="41"/>
    </row>
    <row r="885" spans="1:11" ht="15.75" customHeight="1" x14ac:dyDescent="0.3">
      <c r="A885" s="40" t="s">
        <v>2164</v>
      </c>
      <c r="B885" s="40" t="s">
        <v>1122</v>
      </c>
      <c r="C885" s="51" t="str">
        <f>VLOOKUP(B885,'Sales Order'!A$2:B$1029,1,0)</f>
        <v>SO0884</v>
      </c>
      <c r="D885" s="17" t="s">
        <v>1275</v>
      </c>
      <c r="E885" s="29" t="s">
        <v>2313</v>
      </c>
      <c r="F885" s="29" t="s">
        <v>1276</v>
      </c>
      <c r="G885" s="18">
        <v>808800</v>
      </c>
      <c r="H885" s="43">
        <v>0.11</v>
      </c>
      <c r="I885" s="38">
        <v>59915489.700000003</v>
      </c>
      <c r="J885" s="42">
        <f>'Sales Order'!H885+('Sales Order'!H885*0.11)+Invoice!G885</f>
        <v>59915489.700000003</v>
      </c>
      <c r="K885" s="41"/>
    </row>
    <row r="886" spans="1:11" ht="15.75" customHeight="1" x14ac:dyDescent="0.3">
      <c r="A886" s="40" t="s">
        <v>2165</v>
      </c>
      <c r="B886" s="40" t="s">
        <v>1123</v>
      </c>
      <c r="C886" s="51" t="str">
        <f>VLOOKUP(B886,'Sales Order'!A$2:B$1029,1,0)</f>
        <v>SO0885</v>
      </c>
      <c r="D886" s="17" t="s">
        <v>1275</v>
      </c>
      <c r="E886" s="29" t="s">
        <v>170</v>
      </c>
      <c r="F886" s="29" t="s">
        <v>1288</v>
      </c>
      <c r="G886" s="32">
        <v>859350</v>
      </c>
      <c r="H886" s="43">
        <v>0.11</v>
      </c>
      <c r="I886" s="38">
        <v>46822507.5</v>
      </c>
      <c r="J886" s="42">
        <f>'Sales Order'!H886+('Sales Order'!H886*0.11)+Invoice!G886</f>
        <v>46822507.5</v>
      </c>
      <c r="K886" s="41"/>
    </row>
    <row r="887" spans="1:11" ht="15.75" customHeight="1" x14ac:dyDescent="0.3">
      <c r="A887" s="40" t="s">
        <v>2166</v>
      </c>
      <c r="B887" s="40" t="s">
        <v>1124</v>
      </c>
      <c r="C887" s="51" t="str">
        <f>VLOOKUP(B887,'Sales Order'!A$2:B$1029,1,0)</f>
        <v>SO0886</v>
      </c>
      <c r="D887" s="17" t="s">
        <v>1275</v>
      </c>
      <c r="E887" s="29" t="s">
        <v>2314</v>
      </c>
      <c r="F887" s="29" t="s">
        <v>1288</v>
      </c>
      <c r="G887" s="18">
        <v>808800</v>
      </c>
      <c r="H887" s="43">
        <v>0.11</v>
      </c>
      <c r="I887" s="38">
        <v>151819993.19999999</v>
      </c>
      <c r="J887" s="42">
        <f>'Sales Order'!H887+('Sales Order'!H887*0.11)+Invoice!G887</f>
        <v>151819993.19999999</v>
      </c>
      <c r="K887" s="41"/>
    </row>
    <row r="888" spans="1:11" ht="15.75" customHeight="1" x14ac:dyDescent="0.3">
      <c r="A888" s="40" t="s">
        <v>2167</v>
      </c>
      <c r="B888" s="40" t="s">
        <v>1125</v>
      </c>
      <c r="C888" s="51" t="str">
        <f>VLOOKUP(B888,'Sales Order'!A$2:B$1029,1,0)</f>
        <v>SO0887</v>
      </c>
      <c r="D888" s="17" t="s">
        <v>1275</v>
      </c>
      <c r="E888" s="29" t="s">
        <v>2319</v>
      </c>
      <c r="F888" s="29" t="s">
        <v>1288</v>
      </c>
      <c r="G888" s="18">
        <v>353850</v>
      </c>
      <c r="H888" s="43">
        <v>0.11</v>
      </c>
      <c r="I888" s="38">
        <v>44434935.899999999</v>
      </c>
      <c r="J888" s="42">
        <f>'Sales Order'!H888+('Sales Order'!H888*0.11)+Invoice!G888</f>
        <v>44434935.899999999</v>
      </c>
      <c r="K888" s="41"/>
    </row>
    <row r="889" spans="1:11" ht="15.75" customHeight="1" x14ac:dyDescent="0.3">
      <c r="A889" s="40" t="s">
        <v>2168</v>
      </c>
      <c r="B889" s="40" t="s">
        <v>1126</v>
      </c>
      <c r="C889" s="51" t="str">
        <f>VLOOKUP(B889,'Sales Order'!A$2:B$1029,1,0)</f>
        <v>SO0888</v>
      </c>
      <c r="D889" s="17" t="s">
        <v>1275</v>
      </c>
      <c r="E889" s="29" t="s">
        <v>2319</v>
      </c>
      <c r="F889" s="29" t="s">
        <v>1288</v>
      </c>
      <c r="G889" s="18">
        <v>353850</v>
      </c>
      <c r="H889" s="43">
        <v>0.11</v>
      </c>
      <c r="I889" s="38">
        <v>22218907.5</v>
      </c>
      <c r="J889" s="42">
        <f>'Sales Order'!H889+('Sales Order'!H889*0.11)+Invoice!G889</f>
        <v>22218907.5</v>
      </c>
      <c r="K889" s="41"/>
    </row>
    <row r="890" spans="1:11" ht="15.75" customHeight="1" x14ac:dyDescent="0.3">
      <c r="A890" s="40" t="s">
        <v>2169</v>
      </c>
      <c r="B890" s="40" t="s">
        <v>1127</v>
      </c>
      <c r="C890" s="51" t="str">
        <f>VLOOKUP(B890,'Sales Order'!A$2:B$1029,1,0)</f>
        <v>SO0889</v>
      </c>
      <c r="D890" s="17" t="s">
        <v>1279</v>
      </c>
      <c r="E890" s="29" t="s">
        <v>118</v>
      </c>
      <c r="F890" s="29" t="s">
        <v>1285</v>
      </c>
      <c r="G890" s="18">
        <v>8088</v>
      </c>
      <c r="H890" s="43">
        <v>0.11</v>
      </c>
      <c r="I890" s="38">
        <v>707389665</v>
      </c>
      <c r="J890" s="42">
        <f>'Sales Order'!H890+('Sales Order'!H890*0.11)+Invoice!G890</f>
        <v>707389665</v>
      </c>
      <c r="K890" s="41"/>
    </row>
    <row r="891" spans="1:11" ht="15.75" customHeight="1" x14ac:dyDescent="0.3">
      <c r="A891" s="40" t="s">
        <v>2170</v>
      </c>
      <c r="B891" s="40" t="s">
        <v>1128</v>
      </c>
      <c r="C891" s="51" t="str">
        <f>VLOOKUP(B891,'Sales Order'!A$2:B$1029,1,0)</f>
        <v>SO0890</v>
      </c>
      <c r="D891" s="17" t="s">
        <v>1275</v>
      </c>
      <c r="E891" s="29" t="s">
        <v>2313</v>
      </c>
      <c r="F891" s="29" t="s">
        <v>1285</v>
      </c>
      <c r="G891" s="18">
        <v>808800</v>
      </c>
      <c r="H891" s="43">
        <v>0.11</v>
      </c>
      <c r="I891" s="38">
        <v>870676095.29999995</v>
      </c>
      <c r="J891" s="42">
        <f>'Sales Order'!H891+('Sales Order'!H891*0.11)+Invoice!G891</f>
        <v>870676095.29999995</v>
      </c>
      <c r="K891" s="41"/>
    </row>
    <row r="892" spans="1:11" ht="15.75" customHeight="1" x14ac:dyDescent="0.3">
      <c r="A892" s="40" t="s">
        <v>2171</v>
      </c>
      <c r="B892" s="40" t="s">
        <v>1129</v>
      </c>
      <c r="C892" s="51" t="str">
        <f>VLOOKUP(B892,'Sales Order'!A$2:B$1029,1,0)</f>
        <v>SO0891</v>
      </c>
      <c r="D892" s="17" t="s">
        <v>1275</v>
      </c>
      <c r="E892" s="29" t="s">
        <v>2318</v>
      </c>
      <c r="F892" s="29" t="s">
        <v>1276</v>
      </c>
      <c r="G892" s="32">
        <v>859350</v>
      </c>
      <c r="H892" s="43">
        <v>0.11</v>
      </c>
      <c r="I892" s="38">
        <v>149740841.69999999</v>
      </c>
      <c r="J892" s="42">
        <f>'Sales Order'!H892+('Sales Order'!H892*0.11)+Invoice!G892</f>
        <v>149740841.69999999</v>
      </c>
      <c r="K892" s="41"/>
    </row>
    <row r="893" spans="1:11" ht="15.75" customHeight="1" x14ac:dyDescent="0.3">
      <c r="A893" s="40" t="s">
        <v>2172</v>
      </c>
      <c r="B893" s="40" t="s">
        <v>1130</v>
      </c>
      <c r="C893" s="51" t="str">
        <f>VLOOKUP(B893,'Sales Order'!A$2:B$1029,1,0)</f>
        <v>SO0892</v>
      </c>
      <c r="D893" s="17" t="s">
        <v>1275</v>
      </c>
      <c r="E893" s="29" t="s">
        <v>170</v>
      </c>
      <c r="F893" s="29" t="s">
        <v>1288</v>
      </c>
      <c r="G893" s="32">
        <v>859350</v>
      </c>
      <c r="H893" s="43">
        <v>0.11</v>
      </c>
      <c r="I893" s="38">
        <v>211487977.19999999</v>
      </c>
      <c r="J893" s="42">
        <f>'Sales Order'!H893+('Sales Order'!H893*0.11)+Invoice!G893</f>
        <v>211487977.19999999</v>
      </c>
      <c r="K893" s="41"/>
    </row>
    <row r="894" spans="1:11" ht="15.75" customHeight="1" x14ac:dyDescent="0.3">
      <c r="A894" s="40" t="s">
        <v>2173</v>
      </c>
      <c r="B894" s="40" t="s">
        <v>1131</v>
      </c>
      <c r="C894" s="51" t="str">
        <f>VLOOKUP(B894,'Sales Order'!A$2:B$1029,1,0)</f>
        <v>SO0893</v>
      </c>
      <c r="D894" s="17" t="s">
        <v>1275</v>
      </c>
      <c r="E894" s="29" t="s">
        <v>2318</v>
      </c>
      <c r="F894" s="29" t="s">
        <v>1285</v>
      </c>
      <c r="G894" s="32">
        <v>859350</v>
      </c>
      <c r="H894" s="43">
        <v>0.11</v>
      </c>
      <c r="I894" s="38">
        <v>350485140.89999998</v>
      </c>
      <c r="J894" s="42">
        <f>'Sales Order'!H894+('Sales Order'!H894*0.11)+Invoice!G894</f>
        <v>350485140.89999998</v>
      </c>
      <c r="K894" s="41"/>
    </row>
    <row r="895" spans="1:11" ht="15.75" customHeight="1" x14ac:dyDescent="0.3">
      <c r="A895" s="40" t="s">
        <v>2174</v>
      </c>
      <c r="B895" s="40" t="s">
        <v>1132</v>
      </c>
      <c r="C895" s="51" t="str">
        <f>VLOOKUP(B895,'Sales Order'!A$2:B$1029,1,0)</f>
        <v>SO0894</v>
      </c>
      <c r="D895" s="17" t="s">
        <v>1275</v>
      </c>
      <c r="E895" s="29" t="s">
        <v>170</v>
      </c>
      <c r="F895" s="29" t="s">
        <v>1288</v>
      </c>
      <c r="G895" s="32">
        <v>859350</v>
      </c>
      <c r="H895" s="43">
        <v>0.11</v>
      </c>
      <c r="I895" s="38">
        <v>156975300</v>
      </c>
      <c r="J895" s="42">
        <f>'Sales Order'!H895+('Sales Order'!H895*0.11)+Invoice!G895</f>
        <v>156975300</v>
      </c>
      <c r="K895" s="41"/>
    </row>
    <row r="896" spans="1:11" ht="15.75" customHeight="1" x14ac:dyDescent="0.3">
      <c r="A896" s="40" t="s">
        <v>2175</v>
      </c>
      <c r="B896" s="40" t="s">
        <v>1133</v>
      </c>
      <c r="C896" s="51" t="str">
        <f>VLOOKUP(B896,'Sales Order'!A$2:B$1029,1,0)</f>
        <v>SO0895</v>
      </c>
      <c r="D896" s="17" t="s">
        <v>1275</v>
      </c>
      <c r="E896" s="29" t="s">
        <v>2319</v>
      </c>
      <c r="F896" s="29" t="s">
        <v>1295</v>
      </c>
      <c r="G896" s="18">
        <v>353850</v>
      </c>
      <c r="H896" s="43">
        <v>0.11</v>
      </c>
      <c r="I896" s="38">
        <v>299869889.69999999</v>
      </c>
      <c r="J896" s="42">
        <f>'Sales Order'!H896+('Sales Order'!H896*0.11)+Invoice!G896</f>
        <v>299869889.69999999</v>
      </c>
      <c r="K896" s="41"/>
    </row>
    <row r="897" spans="1:11" ht="15.75" customHeight="1" x14ac:dyDescent="0.3">
      <c r="A897" s="40" t="s">
        <v>2176</v>
      </c>
      <c r="B897" s="40" t="s">
        <v>1134</v>
      </c>
      <c r="C897" s="51" t="str">
        <f>VLOOKUP(B897,'Sales Order'!A$2:B$1029,1,0)</f>
        <v>SO0896</v>
      </c>
      <c r="D897" s="17" t="s">
        <v>1275</v>
      </c>
      <c r="E897" s="29" t="s">
        <v>2319</v>
      </c>
      <c r="F897" s="29" t="s">
        <v>1288</v>
      </c>
      <c r="G897" s="18">
        <v>353850</v>
      </c>
      <c r="H897" s="43">
        <v>0.11</v>
      </c>
      <c r="I897" s="38">
        <v>260340192.30000001</v>
      </c>
      <c r="J897" s="42">
        <f>'Sales Order'!H897+('Sales Order'!H897*0.11)+Invoice!G897</f>
        <v>260340192.30000001</v>
      </c>
      <c r="K897" s="41"/>
    </row>
    <row r="898" spans="1:11" ht="15.75" customHeight="1" x14ac:dyDescent="0.3">
      <c r="A898" s="40" t="s">
        <v>2177</v>
      </c>
      <c r="B898" s="40" t="s">
        <v>1135</v>
      </c>
      <c r="C898" s="51" t="str">
        <f>VLOOKUP(B898,'Sales Order'!A$2:B$1029,1,0)</f>
        <v>SO0897</v>
      </c>
      <c r="D898" s="17" t="s">
        <v>1279</v>
      </c>
      <c r="E898" s="29" t="s">
        <v>2312</v>
      </c>
      <c r="F898" s="29" t="s">
        <v>1295</v>
      </c>
      <c r="G898" s="18">
        <v>32352</v>
      </c>
      <c r="H898" s="43">
        <v>0.11</v>
      </c>
      <c r="I898" s="38">
        <v>594628385.22000003</v>
      </c>
      <c r="J898" s="42">
        <f>'Sales Order'!H898+('Sales Order'!H898*0.11)+Invoice!G898</f>
        <v>594628385.22000003</v>
      </c>
      <c r="K898" s="41"/>
    </row>
    <row r="899" spans="1:11" ht="15.75" customHeight="1" x14ac:dyDescent="0.3">
      <c r="A899" s="40" t="s">
        <v>2178</v>
      </c>
      <c r="B899" s="40" t="s">
        <v>1136</v>
      </c>
      <c r="C899" s="51" t="str">
        <f>VLOOKUP(B899,'Sales Order'!A$2:B$1029,1,0)</f>
        <v>SO0898</v>
      </c>
      <c r="D899" s="17" t="s">
        <v>1275</v>
      </c>
      <c r="E899" s="29" t="s">
        <v>170</v>
      </c>
      <c r="F899" s="29" t="s">
        <v>1280</v>
      </c>
      <c r="G899" s="32">
        <v>859350</v>
      </c>
      <c r="H899" s="43">
        <v>0.11</v>
      </c>
      <c r="I899" s="38">
        <v>416639287.19999999</v>
      </c>
      <c r="J899" s="42">
        <f>'Sales Order'!H899+('Sales Order'!H899*0.11)+Invoice!G899</f>
        <v>416639287.19999999</v>
      </c>
      <c r="K899" s="41"/>
    </row>
    <row r="900" spans="1:11" ht="15.75" customHeight="1" x14ac:dyDescent="0.3">
      <c r="A900" s="40" t="s">
        <v>2179</v>
      </c>
      <c r="B900" s="40" t="s">
        <v>1137</v>
      </c>
      <c r="C900" s="51" t="str">
        <f>VLOOKUP(B900,'Sales Order'!A$2:B$1029,1,0)</f>
        <v>SO0899</v>
      </c>
      <c r="D900" s="17" t="s">
        <v>1275</v>
      </c>
      <c r="E900" s="29" t="s">
        <v>2318</v>
      </c>
      <c r="F900" s="29" t="s">
        <v>1288</v>
      </c>
      <c r="G900" s="32">
        <v>859350</v>
      </c>
      <c r="H900" s="43">
        <v>0.11</v>
      </c>
      <c r="I900" s="38">
        <v>250862701.94999999</v>
      </c>
      <c r="J900" s="42">
        <f>'Sales Order'!H900+('Sales Order'!H900*0.11)+Invoice!G900</f>
        <v>250862701.94999999</v>
      </c>
      <c r="K900" s="41"/>
    </row>
    <row r="901" spans="1:11" ht="15.75" customHeight="1" x14ac:dyDescent="0.3">
      <c r="A901" s="40" t="s">
        <v>2180</v>
      </c>
      <c r="B901" s="40" t="s">
        <v>1138</v>
      </c>
      <c r="C901" s="51" t="str">
        <f>VLOOKUP(B901,'Sales Order'!A$2:B$1029,1,0)</f>
        <v>SO0900</v>
      </c>
      <c r="D901" s="17" t="s">
        <v>1279</v>
      </c>
      <c r="E901" s="29" t="s">
        <v>118</v>
      </c>
      <c r="F901" s="29" t="s">
        <v>1276</v>
      </c>
      <c r="G901" s="18">
        <v>8088</v>
      </c>
      <c r="H901" s="43">
        <v>0.11</v>
      </c>
      <c r="I901" s="38">
        <v>106915715.58</v>
      </c>
      <c r="J901" s="42">
        <f>'Sales Order'!H901+('Sales Order'!H901*0.11)+Invoice!G901</f>
        <v>106915715.58</v>
      </c>
      <c r="K901" s="41"/>
    </row>
    <row r="902" spans="1:11" ht="15.75" customHeight="1" x14ac:dyDescent="0.3">
      <c r="A902" s="40" t="s">
        <v>2181</v>
      </c>
      <c r="B902" s="40" t="s">
        <v>1139</v>
      </c>
      <c r="C902" s="51" t="str">
        <f>VLOOKUP(B902,'Sales Order'!A$2:B$1029,1,0)</f>
        <v>SO0901</v>
      </c>
      <c r="D902" s="17" t="s">
        <v>1275</v>
      </c>
      <c r="E902" s="29" t="s">
        <v>2314</v>
      </c>
      <c r="F902" s="29" t="s">
        <v>1280</v>
      </c>
      <c r="G902" s="18">
        <v>808800</v>
      </c>
      <c r="H902" s="43">
        <v>0.11</v>
      </c>
      <c r="I902" s="38">
        <v>536213126.39999998</v>
      </c>
      <c r="J902" s="42">
        <f>'Sales Order'!H902+('Sales Order'!H902*0.11)+Invoice!G902</f>
        <v>536213126.39999998</v>
      </c>
      <c r="K902" s="41"/>
    </row>
    <row r="903" spans="1:11" ht="15.75" customHeight="1" x14ac:dyDescent="0.3">
      <c r="A903" s="40" t="s">
        <v>2182</v>
      </c>
      <c r="B903" s="40" t="s">
        <v>1140</v>
      </c>
      <c r="C903" s="51" t="str">
        <f>VLOOKUP(B903,'Sales Order'!A$2:B$1029,1,0)</f>
        <v>SO0902</v>
      </c>
      <c r="D903" s="17" t="s">
        <v>1279</v>
      </c>
      <c r="E903" s="29" t="s">
        <v>118</v>
      </c>
      <c r="F903" s="29" t="s">
        <v>1276</v>
      </c>
      <c r="G903" s="18">
        <v>8088</v>
      </c>
      <c r="H903" s="43">
        <v>0.11</v>
      </c>
      <c r="I903" s="38">
        <v>34877450.399999999</v>
      </c>
      <c r="J903" s="42">
        <f>'Sales Order'!H903+('Sales Order'!H903*0.11)+Invoice!G903</f>
        <v>34877450.399999999</v>
      </c>
      <c r="K903" s="41"/>
    </row>
    <row r="904" spans="1:11" ht="15.75" customHeight="1" x14ac:dyDescent="0.3">
      <c r="A904" s="40" t="s">
        <v>2183</v>
      </c>
      <c r="B904" s="40" t="s">
        <v>1141</v>
      </c>
      <c r="C904" s="51" t="str">
        <f>VLOOKUP(B904,'Sales Order'!A$2:B$1029,1,0)</f>
        <v>SO0903</v>
      </c>
      <c r="D904" s="17" t="s">
        <v>1275</v>
      </c>
      <c r="E904" s="29" t="s">
        <v>143</v>
      </c>
      <c r="F904" s="29" t="s">
        <v>1295</v>
      </c>
      <c r="G904" s="32">
        <v>859350</v>
      </c>
      <c r="H904" s="43">
        <v>0.11</v>
      </c>
      <c r="I904" s="38">
        <v>346313170.38</v>
      </c>
      <c r="J904" s="42">
        <f>'Sales Order'!H904+('Sales Order'!H904*0.11)+Invoice!G904</f>
        <v>346313170.38</v>
      </c>
      <c r="K904" s="41"/>
    </row>
    <row r="905" spans="1:11" ht="15.75" customHeight="1" x14ac:dyDescent="0.3">
      <c r="A905" s="40" t="s">
        <v>2184</v>
      </c>
      <c r="B905" s="40" t="s">
        <v>1142</v>
      </c>
      <c r="C905" s="51" t="str">
        <f>VLOOKUP(B905,'Sales Order'!A$2:B$1029,1,0)</f>
        <v>SO0904</v>
      </c>
      <c r="D905" s="17" t="s">
        <v>1279</v>
      </c>
      <c r="E905" s="29" t="s">
        <v>2312</v>
      </c>
      <c r="F905" s="29" t="s">
        <v>1276</v>
      </c>
      <c r="G905" s="18">
        <v>32352</v>
      </c>
      <c r="H905" s="43">
        <v>0.11</v>
      </c>
      <c r="I905" s="38">
        <v>150103197.59999999</v>
      </c>
      <c r="J905" s="42">
        <f>'Sales Order'!H905+('Sales Order'!H905*0.11)+Invoice!G905</f>
        <v>150103197.59999999</v>
      </c>
      <c r="K905" s="41"/>
    </row>
    <row r="906" spans="1:11" ht="15.75" customHeight="1" x14ac:dyDescent="0.3">
      <c r="A906" s="40" t="s">
        <v>2185</v>
      </c>
      <c r="B906" s="40" t="s">
        <v>1143</v>
      </c>
      <c r="C906" s="51" t="str">
        <f>VLOOKUP(B906,'Sales Order'!A$2:B$1029,1,0)</f>
        <v>SO0905</v>
      </c>
      <c r="D906" s="17" t="s">
        <v>1275</v>
      </c>
      <c r="E906" s="29" t="s">
        <v>2315</v>
      </c>
      <c r="F906" s="29" t="s">
        <v>1276</v>
      </c>
      <c r="G906" s="18">
        <v>556050</v>
      </c>
      <c r="H906" s="43">
        <v>0.11</v>
      </c>
      <c r="I906" s="38">
        <v>63194682</v>
      </c>
      <c r="J906" s="42">
        <f>'Sales Order'!H906+('Sales Order'!H906*0.11)+Invoice!G906</f>
        <v>63194682</v>
      </c>
      <c r="K906" s="41"/>
    </row>
    <row r="907" spans="1:11" ht="15.75" customHeight="1" x14ac:dyDescent="0.3">
      <c r="A907" s="40" t="s">
        <v>2186</v>
      </c>
      <c r="B907" s="40" t="s">
        <v>1144</v>
      </c>
      <c r="C907" s="51" t="str">
        <f>VLOOKUP(B907,'Sales Order'!A$2:B$1029,1,0)</f>
        <v>SO0906</v>
      </c>
      <c r="D907" s="17" t="s">
        <v>1279</v>
      </c>
      <c r="E907" s="29" t="s">
        <v>150</v>
      </c>
      <c r="F907" s="29" t="s">
        <v>1295</v>
      </c>
      <c r="G907" s="18">
        <v>32352</v>
      </c>
      <c r="H907" s="43">
        <v>0.11</v>
      </c>
      <c r="I907" s="38">
        <v>618775478.39999998</v>
      </c>
      <c r="J907" s="42">
        <f>'Sales Order'!H907+('Sales Order'!H907*0.11)+Invoice!G907</f>
        <v>618775478.39999998</v>
      </c>
      <c r="K907" s="41"/>
    </row>
    <row r="908" spans="1:11" ht="15.75" customHeight="1" x14ac:dyDescent="0.3">
      <c r="A908" s="40" t="s">
        <v>2187</v>
      </c>
      <c r="B908" s="40" t="s">
        <v>1145</v>
      </c>
      <c r="C908" s="51" t="str">
        <f>VLOOKUP(B908,'Sales Order'!A$2:B$1029,1,0)</f>
        <v>SO0907</v>
      </c>
      <c r="D908" s="17" t="s">
        <v>1275</v>
      </c>
      <c r="E908" s="29" t="s">
        <v>2313</v>
      </c>
      <c r="F908" s="29" t="s">
        <v>1280</v>
      </c>
      <c r="G908" s="18">
        <v>808800</v>
      </c>
      <c r="H908" s="43">
        <v>0.11</v>
      </c>
      <c r="I908" s="38">
        <v>583648476.89999998</v>
      </c>
      <c r="J908" s="42">
        <f>'Sales Order'!H908+('Sales Order'!H908*0.11)+Invoice!G908</f>
        <v>583648476.89999998</v>
      </c>
      <c r="K908" s="41"/>
    </row>
    <row r="909" spans="1:11" ht="15.75" customHeight="1" x14ac:dyDescent="0.3">
      <c r="A909" s="40" t="s">
        <v>2188</v>
      </c>
      <c r="B909" s="40" t="s">
        <v>1146</v>
      </c>
      <c r="C909" s="51" t="str">
        <f>VLOOKUP(B909,'Sales Order'!A$2:B$1029,1,0)</f>
        <v>SO0908</v>
      </c>
      <c r="D909" s="17" t="s">
        <v>1275</v>
      </c>
      <c r="E909" s="29" t="s">
        <v>170</v>
      </c>
      <c r="F909" s="29" t="s">
        <v>1285</v>
      </c>
      <c r="G909" s="32">
        <v>859350</v>
      </c>
      <c r="H909" s="43">
        <v>0.11</v>
      </c>
      <c r="I909" s="38">
        <v>436736547.60000002</v>
      </c>
      <c r="J909" s="42">
        <f>'Sales Order'!H909+('Sales Order'!H909*0.11)+Invoice!G909</f>
        <v>436736547.60000002</v>
      </c>
      <c r="K909" s="41"/>
    </row>
    <row r="910" spans="1:11" ht="15.75" customHeight="1" x14ac:dyDescent="0.3">
      <c r="A910" s="40" t="s">
        <v>2189</v>
      </c>
      <c r="B910" s="40" t="s">
        <v>1147</v>
      </c>
      <c r="C910" s="51" t="str">
        <f>VLOOKUP(B910,'Sales Order'!A$2:B$1029,1,0)</f>
        <v>SO0909</v>
      </c>
      <c r="D910" s="17" t="s">
        <v>1275</v>
      </c>
      <c r="E910" s="29" t="s">
        <v>170</v>
      </c>
      <c r="F910" s="29" t="s">
        <v>1295</v>
      </c>
      <c r="G910" s="32">
        <v>859350</v>
      </c>
      <c r="H910" s="43">
        <v>0.11</v>
      </c>
      <c r="I910" s="38">
        <v>818789700.89999998</v>
      </c>
      <c r="J910" s="42">
        <f>'Sales Order'!H910+('Sales Order'!H910*0.11)+Invoice!G910</f>
        <v>818789700.89999998</v>
      </c>
      <c r="K910" s="41"/>
    </row>
    <row r="911" spans="1:11" ht="15.75" customHeight="1" x14ac:dyDescent="0.3">
      <c r="A911" s="40" t="s">
        <v>2190</v>
      </c>
      <c r="B911" s="40" t="s">
        <v>1148</v>
      </c>
      <c r="C911" s="51" t="str">
        <f>VLOOKUP(B911,'Sales Order'!A$2:B$1029,1,0)</f>
        <v>SO0910</v>
      </c>
      <c r="D911" s="17" t="s">
        <v>1275</v>
      </c>
      <c r="E911" s="29" t="s">
        <v>2313</v>
      </c>
      <c r="F911" s="29" t="s">
        <v>1276</v>
      </c>
      <c r="G911" s="18">
        <v>808800</v>
      </c>
      <c r="H911" s="43">
        <v>0.11</v>
      </c>
      <c r="I911" s="38">
        <v>7114288.2000000002</v>
      </c>
      <c r="J911" s="42">
        <f>'Sales Order'!H911+('Sales Order'!H911*0.11)+Invoice!G911</f>
        <v>7114288.2000000002</v>
      </c>
      <c r="K911" s="41"/>
    </row>
    <row r="912" spans="1:11" ht="15.75" customHeight="1" x14ac:dyDescent="0.3">
      <c r="A912" s="40" t="s">
        <v>2191</v>
      </c>
      <c r="B912" s="40" t="s">
        <v>1149</v>
      </c>
      <c r="C912" s="51" t="str">
        <f>VLOOKUP(B912,'Sales Order'!A$2:B$1029,1,0)</f>
        <v>SO0911</v>
      </c>
      <c r="D912" s="17" t="s">
        <v>1275</v>
      </c>
      <c r="E912" s="29" t="s">
        <v>143</v>
      </c>
      <c r="F912" s="29" t="s">
        <v>1295</v>
      </c>
      <c r="G912" s="32">
        <v>859350</v>
      </c>
      <c r="H912" s="43">
        <v>0.11</v>
      </c>
      <c r="I912" s="38">
        <v>1454865788.0999999</v>
      </c>
      <c r="J912" s="42">
        <f>'Sales Order'!H912+('Sales Order'!H912*0.11)+Invoice!G912</f>
        <v>1454865788.0999999</v>
      </c>
      <c r="K912" s="41"/>
    </row>
    <row r="913" spans="1:11" ht="15.75" customHeight="1" x14ac:dyDescent="0.3">
      <c r="A913" s="40" t="s">
        <v>2192</v>
      </c>
      <c r="B913" s="40" t="s">
        <v>1150</v>
      </c>
      <c r="C913" s="51" t="str">
        <f>VLOOKUP(B913,'Sales Order'!A$2:B$1029,1,0)</f>
        <v>SO0912</v>
      </c>
      <c r="D913" s="17" t="s">
        <v>1275</v>
      </c>
      <c r="E913" s="29" t="s">
        <v>2317</v>
      </c>
      <c r="F913" s="29" t="s">
        <v>1276</v>
      </c>
      <c r="G913" s="32">
        <v>859350</v>
      </c>
      <c r="H913" s="43">
        <v>0.11</v>
      </c>
      <c r="I913" s="38">
        <v>37130487</v>
      </c>
      <c r="J913" s="42">
        <f>'Sales Order'!H913+('Sales Order'!H913*0.11)+Invoice!G913</f>
        <v>37130487</v>
      </c>
      <c r="K913" s="41"/>
    </row>
    <row r="914" spans="1:11" ht="15.75" customHeight="1" x14ac:dyDescent="0.3">
      <c r="A914" s="40" t="s">
        <v>2193</v>
      </c>
      <c r="B914" s="40" t="s">
        <v>1151</v>
      </c>
      <c r="C914" s="51" t="str">
        <f>VLOOKUP(B914,'Sales Order'!A$2:B$1029,1,0)</f>
        <v>SO0913</v>
      </c>
      <c r="D914" s="17" t="s">
        <v>1279</v>
      </c>
      <c r="E914" s="29" t="s">
        <v>118</v>
      </c>
      <c r="F914" s="29" t="s">
        <v>1285</v>
      </c>
      <c r="G914" s="18">
        <v>8088</v>
      </c>
      <c r="H914" s="43">
        <v>0.11</v>
      </c>
      <c r="I914" s="38">
        <v>915685083.29999995</v>
      </c>
      <c r="J914" s="42">
        <f>'Sales Order'!H914+('Sales Order'!H914*0.11)+Invoice!G914</f>
        <v>915685083.29999995</v>
      </c>
      <c r="K914" s="41"/>
    </row>
    <row r="915" spans="1:11" ht="15.75" customHeight="1" x14ac:dyDescent="0.3">
      <c r="A915" s="40" t="s">
        <v>2194</v>
      </c>
      <c r="B915" s="40" t="s">
        <v>1152</v>
      </c>
      <c r="C915" s="51" t="str">
        <f>VLOOKUP(B915,'Sales Order'!A$2:B$1029,1,0)</f>
        <v>SO0914</v>
      </c>
      <c r="D915" s="17" t="s">
        <v>1275</v>
      </c>
      <c r="E915" s="29" t="s">
        <v>2313</v>
      </c>
      <c r="F915" s="29" t="s">
        <v>1285</v>
      </c>
      <c r="G915" s="18">
        <v>808800</v>
      </c>
      <c r="H915" s="43">
        <v>0.11</v>
      </c>
      <c r="I915" s="38">
        <v>328407762</v>
      </c>
      <c r="J915" s="42">
        <f>'Sales Order'!H915+('Sales Order'!H915*0.11)+Invoice!G915</f>
        <v>328407762</v>
      </c>
      <c r="K915" s="41"/>
    </row>
    <row r="916" spans="1:11" ht="15.75" customHeight="1" x14ac:dyDescent="0.3">
      <c r="A916" s="40" t="s">
        <v>2195</v>
      </c>
      <c r="B916" s="40" t="s">
        <v>1153</v>
      </c>
      <c r="C916" s="51" t="str">
        <f>VLOOKUP(B916,'Sales Order'!A$2:B$1029,1,0)</f>
        <v>SO0915</v>
      </c>
      <c r="D916" s="17" t="s">
        <v>1275</v>
      </c>
      <c r="E916" s="29" t="s">
        <v>2319</v>
      </c>
      <c r="F916" s="29" t="s">
        <v>1276</v>
      </c>
      <c r="G916" s="18">
        <v>353850</v>
      </c>
      <c r="H916" s="43">
        <v>0.11</v>
      </c>
      <c r="I916" s="38">
        <v>15069608.4</v>
      </c>
      <c r="J916" s="42">
        <f>'Sales Order'!H916+('Sales Order'!H916*0.11)+Invoice!G916</f>
        <v>15069608.4</v>
      </c>
      <c r="K916" s="41"/>
    </row>
    <row r="917" spans="1:11" ht="15.75" customHeight="1" x14ac:dyDescent="0.3">
      <c r="A917" s="40" t="s">
        <v>2196</v>
      </c>
      <c r="B917" s="40" t="s">
        <v>1154</v>
      </c>
      <c r="C917" s="51" t="str">
        <f>VLOOKUP(B917,'Sales Order'!A$2:B$1029,1,0)</f>
        <v>SO0916</v>
      </c>
      <c r="D917" s="17" t="s">
        <v>1279</v>
      </c>
      <c r="E917" s="29" t="s">
        <v>2312</v>
      </c>
      <c r="F917" s="29" t="s">
        <v>1295</v>
      </c>
      <c r="G917" s="18">
        <v>32352</v>
      </c>
      <c r="H917" s="43">
        <v>0.11</v>
      </c>
      <c r="I917" s="38">
        <v>282425676</v>
      </c>
      <c r="J917" s="42">
        <f>'Sales Order'!H917+('Sales Order'!H917*0.11)+Invoice!G917</f>
        <v>282425676</v>
      </c>
      <c r="K917" s="41"/>
    </row>
    <row r="918" spans="1:11" ht="15.75" customHeight="1" x14ac:dyDescent="0.3">
      <c r="A918" s="40" t="s">
        <v>2197</v>
      </c>
      <c r="B918" s="40" t="s">
        <v>1155</v>
      </c>
      <c r="C918" s="51" t="str">
        <f>VLOOKUP(B918,'Sales Order'!A$2:B$1029,1,0)</f>
        <v>SO0917</v>
      </c>
      <c r="D918" s="17" t="s">
        <v>1279</v>
      </c>
      <c r="E918" s="29" t="s">
        <v>2312</v>
      </c>
      <c r="F918" s="29" t="s">
        <v>1280</v>
      </c>
      <c r="G918" s="18">
        <v>32352</v>
      </c>
      <c r="H918" s="43">
        <v>0.11</v>
      </c>
      <c r="I918" s="38">
        <v>453908799</v>
      </c>
      <c r="J918" s="42">
        <f>'Sales Order'!H918+('Sales Order'!H918*0.11)+Invoice!G918</f>
        <v>453908799</v>
      </c>
      <c r="K918" s="41"/>
    </row>
    <row r="919" spans="1:11" ht="15.75" customHeight="1" x14ac:dyDescent="0.3">
      <c r="A919" s="40" t="s">
        <v>2198</v>
      </c>
      <c r="B919" s="40" t="s">
        <v>1156</v>
      </c>
      <c r="C919" s="51" t="str">
        <f>VLOOKUP(B919,'Sales Order'!A$2:B$1029,1,0)</f>
        <v>SO0918</v>
      </c>
      <c r="D919" s="17" t="s">
        <v>1275</v>
      </c>
      <c r="E919" s="29" t="s">
        <v>2314</v>
      </c>
      <c r="F919" s="29" t="s">
        <v>1276</v>
      </c>
      <c r="G919" s="18">
        <v>808800</v>
      </c>
      <c r="H919" s="43">
        <v>0.11</v>
      </c>
      <c r="I919" s="38">
        <v>19832790.300000001</v>
      </c>
      <c r="J919" s="42">
        <f>'Sales Order'!H919+('Sales Order'!H919*0.11)+Invoice!G919</f>
        <v>19832790.300000001</v>
      </c>
      <c r="K919" s="41"/>
    </row>
    <row r="920" spans="1:11" ht="15.75" customHeight="1" x14ac:dyDescent="0.3">
      <c r="A920" s="40" t="s">
        <v>2199</v>
      </c>
      <c r="B920" s="40" t="s">
        <v>1157</v>
      </c>
      <c r="C920" s="51" t="str">
        <f>VLOOKUP(B920,'Sales Order'!A$2:B$1029,1,0)</f>
        <v>SO0919</v>
      </c>
      <c r="D920" s="17" t="s">
        <v>1275</v>
      </c>
      <c r="E920" s="29" t="s">
        <v>170</v>
      </c>
      <c r="F920" s="29" t="s">
        <v>1285</v>
      </c>
      <c r="G920" s="32">
        <v>859350</v>
      </c>
      <c r="H920" s="43">
        <v>0.11</v>
      </c>
      <c r="I920" s="38">
        <v>497302287.89999998</v>
      </c>
      <c r="J920" s="42">
        <f>'Sales Order'!H920+('Sales Order'!H920*0.11)+Invoice!G920</f>
        <v>497302287.89999998</v>
      </c>
      <c r="K920" s="41"/>
    </row>
    <row r="921" spans="1:11" ht="15.75" customHeight="1" x14ac:dyDescent="0.3">
      <c r="A921" s="40" t="s">
        <v>2200</v>
      </c>
      <c r="B921" s="40" t="s">
        <v>1158</v>
      </c>
      <c r="C921" s="51" t="str">
        <f>VLOOKUP(B921,'Sales Order'!A$2:B$1029,1,0)</f>
        <v>SO0920</v>
      </c>
      <c r="D921" s="17" t="s">
        <v>1275</v>
      </c>
      <c r="E921" s="29" t="s">
        <v>143</v>
      </c>
      <c r="F921" s="29" t="s">
        <v>1280</v>
      </c>
      <c r="G921" s="32">
        <v>859350</v>
      </c>
      <c r="H921" s="43">
        <v>0.11</v>
      </c>
      <c r="I921" s="38">
        <v>1368203226.3</v>
      </c>
      <c r="J921" s="42">
        <f>'Sales Order'!H921+('Sales Order'!H921*0.11)+Invoice!G921</f>
        <v>1368203226.3</v>
      </c>
      <c r="K921" s="41"/>
    </row>
    <row r="922" spans="1:11" ht="15.75" customHeight="1" x14ac:dyDescent="0.3">
      <c r="A922" s="40" t="s">
        <v>2201</v>
      </c>
      <c r="B922" s="40" t="s">
        <v>1159</v>
      </c>
      <c r="C922" s="51" t="str">
        <f>VLOOKUP(B922,'Sales Order'!A$2:B$1029,1,0)</f>
        <v>SO0921</v>
      </c>
      <c r="D922" s="17" t="s">
        <v>1275</v>
      </c>
      <c r="E922" s="29" t="s">
        <v>2318</v>
      </c>
      <c r="F922" s="29" t="s">
        <v>1276</v>
      </c>
      <c r="G922" s="32">
        <v>859350</v>
      </c>
      <c r="H922" s="43">
        <v>0.11</v>
      </c>
      <c r="I922" s="38">
        <v>198081930</v>
      </c>
      <c r="J922" s="42">
        <f>'Sales Order'!H922+('Sales Order'!H922*0.11)+Invoice!G922</f>
        <v>198081930</v>
      </c>
      <c r="K922" s="41"/>
    </row>
    <row r="923" spans="1:11" ht="15.75" customHeight="1" x14ac:dyDescent="0.3">
      <c r="A923" s="40" t="s">
        <v>2202</v>
      </c>
      <c r="B923" s="40" t="s">
        <v>1160</v>
      </c>
      <c r="C923" s="51" t="str">
        <f>VLOOKUP(B923,'Sales Order'!A$2:B$1029,1,0)</f>
        <v>SO0922</v>
      </c>
      <c r="D923" s="17" t="s">
        <v>1275</v>
      </c>
      <c r="E923" s="29" t="s">
        <v>2313</v>
      </c>
      <c r="F923" s="29" t="s">
        <v>1276</v>
      </c>
      <c r="G923" s="18">
        <v>808800</v>
      </c>
      <c r="H923" s="43">
        <v>0.11</v>
      </c>
      <c r="I923" s="38">
        <v>273922235.39999998</v>
      </c>
      <c r="J923" s="42">
        <f>'Sales Order'!H923+('Sales Order'!H923*0.11)+Invoice!G923</f>
        <v>273922235.39999998</v>
      </c>
      <c r="K923" s="41"/>
    </row>
    <row r="924" spans="1:11" ht="15.75" customHeight="1" x14ac:dyDescent="0.3">
      <c r="A924" s="40" t="s">
        <v>2203</v>
      </c>
      <c r="B924" s="40" t="s">
        <v>1161</v>
      </c>
      <c r="C924" s="51" t="str">
        <f>VLOOKUP(B924,'Sales Order'!A$2:B$1029,1,0)</f>
        <v>SO0923</v>
      </c>
      <c r="D924" s="17" t="s">
        <v>1275</v>
      </c>
      <c r="E924" s="29" t="s">
        <v>170</v>
      </c>
      <c r="F924" s="29" t="s">
        <v>1288</v>
      </c>
      <c r="G924" s="32">
        <v>859350</v>
      </c>
      <c r="H924" s="43">
        <v>0.11</v>
      </c>
      <c r="I924" s="38">
        <v>63703798.20000001</v>
      </c>
      <c r="J924" s="42">
        <f>'Sales Order'!H924+('Sales Order'!H924*0.11)+Invoice!G924</f>
        <v>63703798.20000001</v>
      </c>
      <c r="K924" s="41"/>
    </row>
    <row r="925" spans="1:11" ht="15.75" customHeight="1" x14ac:dyDescent="0.3">
      <c r="A925" s="40" t="s">
        <v>2204</v>
      </c>
      <c r="B925" s="40" t="s">
        <v>1162</v>
      </c>
      <c r="C925" s="51" t="str">
        <f>VLOOKUP(B925,'Sales Order'!A$2:B$1029,1,0)</f>
        <v>SO0924</v>
      </c>
      <c r="D925" s="17" t="s">
        <v>1275</v>
      </c>
      <c r="E925" s="29" t="s">
        <v>170</v>
      </c>
      <c r="F925" s="29" t="s">
        <v>1288</v>
      </c>
      <c r="G925" s="32">
        <v>859350</v>
      </c>
      <c r="H925" s="43">
        <v>0.11</v>
      </c>
      <c r="I925" s="38">
        <v>29937220.800000001</v>
      </c>
      <c r="J925" s="42">
        <f>'Sales Order'!H925+('Sales Order'!H925*0.11)+Invoice!G925</f>
        <v>29937220.800000001</v>
      </c>
      <c r="K925" s="41"/>
    </row>
    <row r="926" spans="1:11" ht="15.75" customHeight="1" x14ac:dyDescent="0.3">
      <c r="A926" s="40" t="s">
        <v>2205</v>
      </c>
      <c r="B926" s="40" t="s">
        <v>1163</v>
      </c>
      <c r="C926" s="51" t="str">
        <f>VLOOKUP(B926,'Sales Order'!A$2:B$1029,1,0)</f>
        <v>SO0925</v>
      </c>
      <c r="D926" s="17" t="s">
        <v>1275</v>
      </c>
      <c r="E926" s="29" t="s">
        <v>2314</v>
      </c>
      <c r="F926" s="29" t="s">
        <v>1285</v>
      </c>
      <c r="G926" s="18">
        <v>808800</v>
      </c>
      <c r="H926" s="43">
        <v>0.11</v>
      </c>
      <c r="I926" s="38">
        <v>303690670.5</v>
      </c>
      <c r="J926" s="42">
        <f>'Sales Order'!H926+('Sales Order'!H926*0.11)+Invoice!G926</f>
        <v>303690670.5</v>
      </c>
      <c r="K926" s="41"/>
    </row>
    <row r="927" spans="1:11" ht="15.75" customHeight="1" x14ac:dyDescent="0.3">
      <c r="A927" s="40" t="s">
        <v>2206</v>
      </c>
      <c r="B927" s="40" t="s">
        <v>1164</v>
      </c>
      <c r="C927" s="51" t="str">
        <f>VLOOKUP(B927,'Sales Order'!A$2:B$1029,1,0)</f>
        <v>SO0926</v>
      </c>
      <c r="D927" s="17" t="s">
        <v>1279</v>
      </c>
      <c r="E927" s="29" t="s">
        <v>150</v>
      </c>
      <c r="F927" s="29" t="s">
        <v>1288</v>
      </c>
      <c r="G927" s="18">
        <v>32352</v>
      </c>
      <c r="H927" s="43">
        <v>0.11</v>
      </c>
      <c r="I927" s="38">
        <v>21093936</v>
      </c>
      <c r="J927" s="42">
        <f>'Sales Order'!H927+('Sales Order'!H927*0.11)+Invoice!G927</f>
        <v>21093936</v>
      </c>
      <c r="K927" s="41"/>
    </row>
    <row r="928" spans="1:11" ht="15.75" customHeight="1" x14ac:dyDescent="0.3">
      <c r="A928" s="40" t="s">
        <v>2207</v>
      </c>
      <c r="B928" s="40" t="s">
        <v>1165</v>
      </c>
      <c r="C928" s="51" t="str">
        <f>VLOOKUP(B928,'Sales Order'!A$2:B$1029,1,0)</f>
        <v>SO0927</v>
      </c>
      <c r="D928" s="17" t="s">
        <v>1275</v>
      </c>
      <c r="E928" s="29" t="s">
        <v>143</v>
      </c>
      <c r="F928" s="29" t="s">
        <v>1276</v>
      </c>
      <c r="G928" s="32">
        <v>859350</v>
      </c>
      <c r="H928" s="43">
        <v>0.11</v>
      </c>
      <c r="I928" s="38">
        <v>186734477.69999999</v>
      </c>
      <c r="J928" s="42">
        <f>'Sales Order'!H928+('Sales Order'!H928*0.11)+Invoice!G928</f>
        <v>186734477.69999999</v>
      </c>
      <c r="K928" s="41"/>
    </row>
    <row r="929" spans="1:11" ht="15.75" customHeight="1" x14ac:dyDescent="0.3">
      <c r="A929" s="40" t="s">
        <v>2208</v>
      </c>
      <c r="B929" s="40" t="s">
        <v>1166</v>
      </c>
      <c r="C929" s="51" t="str">
        <f>VLOOKUP(B929,'Sales Order'!A$2:B$1029,1,0)</f>
        <v>SO0928</v>
      </c>
      <c r="D929" s="17" t="s">
        <v>1275</v>
      </c>
      <c r="E929" s="29" t="s">
        <v>170</v>
      </c>
      <c r="F929" s="29" t="s">
        <v>1288</v>
      </c>
      <c r="G929" s="32">
        <v>859350</v>
      </c>
      <c r="H929" s="43">
        <v>0.11</v>
      </c>
      <c r="I929" s="38">
        <v>88759783.799999997</v>
      </c>
      <c r="J929" s="42">
        <f>'Sales Order'!H929+('Sales Order'!H929*0.11)+Invoice!G929</f>
        <v>88759783.799999997</v>
      </c>
      <c r="K929" s="41"/>
    </row>
    <row r="930" spans="1:11" ht="15.75" customHeight="1" x14ac:dyDescent="0.3">
      <c r="A930" s="40" t="s">
        <v>2209</v>
      </c>
      <c r="B930" s="40" t="s">
        <v>1167</v>
      </c>
      <c r="C930" s="51" t="str">
        <f>VLOOKUP(B930,'Sales Order'!A$2:B$1029,1,0)</f>
        <v>SO0929</v>
      </c>
      <c r="D930" s="17" t="s">
        <v>1275</v>
      </c>
      <c r="E930" s="29" t="s">
        <v>2314</v>
      </c>
      <c r="F930" s="29" t="s">
        <v>1280</v>
      </c>
      <c r="G930" s="18">
        <v>808800</v>
      </c>
      <c r="H930" s="43">
        <v>0.11</v>
      </c>
      <c r="I930" s="38">
        <v>703971666.60000002</v>
      </c>
      <c r="J930" s="42">
        <f>'Sales Order'!H930+('Sales Order'!H930*0.11)+Invoice!G930</f>
        <v>703971666.60000002</v>
      </c>
      <c r="K930" s="41"/>
    </row>
    <row r="931" spans="1:11" ht="15.75" customHeight="1" x14ac:dyDescent="0.3">
      <c r="A931" s="40" t="s">
        <v>2210</v>
      </c>
      <c r="B931" s="40" t="s">
        <v>1168</v>
      </c>
      <c r="C931" s="51" t="str">
        <f>VLOOKUP(B931,'Sales Order'!A$2:B$1029,1,0)</f>
        <v>SO0930</v>
      </c>
      <c r="D931" s="17" t="s">
        <v>1275</v>
      </c>
      <c r="E931" s="29" t="s">
        <v>2318</v>
      </c>
      <c r="F931" s="29" t="s">
        <v>1280</v>
      </c>
      <c r="G931" s="32">
        <v>859350</v>
      </c>
      <c r="H931" s="43">
        <v>0.11</v>
      </c>
      <c r="I931" s="38">
        <v>424098287.39999998</v>
      </c>
      <c r="J931" s="42">
        <f>'Sales Order'!H931+('Sales Order'!H931*0.11)+Invoice!G931</f>
        <v>424098287.39999998</v>
      </c>
      <c r="K931" s="41"/>
    </row>
    <row r="932" spans="1:11" ht="15.75" customHeight="1" x14ac:dyDescent="0.3">
      <c r="A932" s="40" t="s">
        <v>2211</v>
      </c>
      <c r="B932" s="40" t="s">
        <v>1169</v>
      </c>
      <c r="C932" s="51" t="str">
        <f>VLOOKUP(B932,'Sales Order'!A$2:B$1029,1,0)</f>
        <v>SO0931</v>
      </c>
      <c r="D932" s="17" t="s">
        <v>1275</v>
      </c>
      <c r="E932" s="29" t="s">
        <v>143</v>
      </c>
      <c r="F932" s="29" t="s">
        <v>1288</v>
      </c>
      <c r="G932" s="32">
        <v>859350</v>
      </c>
      <c r="H932" s="43">
        <v>0.11</v>
      </c>
      <c r="I932" s="38">
        <v>164420458.5</v>
      </c>
      <c r="J932" s="42">
        <f>'Sales Order'!H932+('Sales Order'!H932*0.11)+Invoice!G932</f>
        <v>164420458.5</v>
      </c>
      <c r="K932" s="41"/>
    </row>
    <row r="933" spans="1:11" ht="15.75" customHeight="1" x14ac:dyDescent="0.3">
      <c r="A933" s="40" t="s">
        <v>2212</v>
      </c>
      <c r="B933" s="40" t="s">
        <v>1170</v>
      </c>
      <c r="C933" s="51" t="str">
        <f>VLOOKUP(B933,'Sales Order'!A$2:B$1029,1,0)</f>
        <v>SO0932</v>
      </c>
      <c r="D933" s="17" t="s">
        <v>1279</v>
      </c>
      <c r="E933" s="29" t="s">
        <v>2312</v>
      </c>
      <c r="F933" s="29" t="s">
        <v>1276</v>
      </c>
      <c r="G933" s="18">
        <v>32352</v>
      </c>
      <c r="H933" s="43">
        <v>0.11</v>
      </c>
      <c r="I933" s="38">
        <v>120380172.59999999</v>
      </c>
      <c r="J933" s="42">
        <f>'Sales Order'!H933+('Sales Order'!H933*0.11)+Invoice!G933</f>
        <v>120380172.59999999</v>
      </c>
      <c r="K933" s="41"/>
    </row>
    <row r="934" spans="1:11" ht="15.75" customHeight="1" x14ac:dyDescent="0.3">
      <c r="A934" s="40" t="s">
        <v>2213</v>
      </c>
      <c r="B934" s="40" t="s">
        <v>1171</v>
      </c>
      <c r="C934" s="51" t="str">
        <f>VLOOKUP(B934,'Sales Order'!A$2:B$1029,1,0)</f>
        <v>SO0933</v>
      </c>
      <c r="D934" s="17" t="s">
        <v>1279</v>
      </c>
      <c r="E934" s="29" t="s">
        <v>150</v>
      </c>
      <c r="F934" s="29" t="s">
        <v>1285</v>
      </c>
      <c r="G934" s="18">
        <v>32352</v>
      </c>
      <c r="H934" s="43">
        <v>0.11</v>
      </c>
      <c r="I934" s="38">
        <v>515025658.74000001</v>
      </c>
      <c r="J934" s="42">
        <f>'Sales Order'!H934+('Sales Order'!H934*0.11)+Invoice!G934</f>
        <v>515025658.74000001</v>
      </c>
      <c r="K934" s="41"/>
    </row>
    <row r="935" spans="1:11" ht="15.75" customHeight="1" x14ac:dyDescent="0.3">
      <c r="A935" s="40" t="s">
        <v>2214</v>
      </c>
      <c r="B935" s="40" t="s">
        <v>1172</v>
      </c>
      <c r="C935" s="51" t="str">
        <f>VLOOKUP(B935,'Sales Order'!A$2:B$1029,1,0)</f>
        <v>SO0934</v>
      </c>
      <c r="D935" s="17" t="s">
        <v>1279</v>
      </c>
      <c r="E935" s="29" t="s">
        <v>118</v>
      </c>
      <c r="F935" s="29" t="s">
        <v>1288</v>
      </c>
      <c r="G935" s="18">
        <v>8088</v>
      </c>
      <c r="H935" s="43">
        <v>0.11</v>
      </c>
      <c r="I935" s="38">
        <v>133724604.3</v>
      </c>
      <c r="J935" s="42">
        <f>'Sales Order'!H935+('Sales Order'!H935*0.11)+Invoice!G935</f>
        <v>133724604.3</v>
      </c>
      <c r="K935" s="41"/>
    </row>
    <row r="936" spans="1:11" ht="15.75" customHeight="1" x14ac:dyDescent="0.3">
      <c r="A936" s="40" t="s">
        <v>2215</v>
      </c>
      <c r="B936" s="40" t="s">
        <v>1173</v>
      </c>
      <c r="C936" s="51" t="str">
        <f>VLOOKUP(B936,'Sales Order'!A$2:B$1029,1,0)</f>
        <v>SO0935</v>
      </c>
      <c r="D936" s="17" t="s">
        <v>1275</v>
      </c>
      <c r="E936" s="29" t="s">
        <v>170</v>
      </c>
      <c r="F936" s="29" t="s">
        <v>1288</v>
      </c>
      <c r="G936" s="32">
        <v>859350</v>
      </c>
      <c r="H936" s="43">
        <v>0.11</v>
      </c>
      <c r="I936" s="38">
        <v>33760926.600000001</v>
      </c>
      <c r="J936" s="42">
        <f>'Sales Order'!H936+('Sales Order'!H936*0.11)+Invoice!G936</f>
        <v>33760926.600000001</v>
      </c>
      <c r="K936" s="41"/>
    </row>
    <row r="937" spans="1:11" ht="15.75" customHeight="1" x14ac:dyDescent="0.3">
      <c r="A937" s="40" t="s">
        <v>2216</v>
      </c>
      <c r="B937" s="40" t="s">
        <v>1174</v>
      </c>
      <c r="C937" s="51" t="str">
        <f>VLOOKUP(B937,'Sales Order'!A$2:B$1029,1,0)</f>
        <v>SO0936</v>
      </c>
      <c r="D937" s="17" t="s">
        <v>1275</v>
      </c>
      <c r="E937" s="29" t="s">
        <v>170</v>
      </c>
      <c r="F937" s="29" t="s">
        <v>1276</v>
      </c>
      <c r="G937" s="32">
        <v>859350</v>
      </c>
      <c r="H937" s="43">
        <v>0.11</v>
      </c>
      <c r="I937" s="38">
        <v>11719678.800000001</v>
      </c>
      <c r="J937" s="42">
        <f>'Sales Order'!H937+('Sales Order'!H937*0.11)+Invoice!G937</f>
        <v>11719678.800000001</v>
      </c>
      <c r="K937" s="41"/>
    </row>
    <row r="938" spans="1:11" ht="15.75" customHeight="1" x14ac:dyDescent="0.3">
      <c r="A938" s="40" t="s">
        <v>2217</v>
      </c>
      <c r="B938" s="40" t="s">
        <v>1175</v>
      </c>
      <c r="C938" s="51" t="str">
        <f>VLOOKUP(B938,'Sales Order'!A$2:B$1029,1,0)</f>
        <v>SO0937</v>
      </c>
      <c r="D938" s="17" t="s">
        <v>1275</v>
      </c>
      <c r="E938" s="29" t="s">
        <v>2314</v>
      </c>
      <c r="F938" s="29" t="s">
        <v>1276</v>
      </c>
      <c r="G938" s="18">
        <v>808800</v>
      </c>
      <c r="H938" s="43">
        <v>0.11</v>
      </c>
      <c r="I938" s="38">
        <v>33246679.649999999</v>
      </c>
      <c r="J938" s="42">
        <f>'Sales Order'!H938+('Sales Order'!H938*0.11)+Invoice!G938</f>
        <v>33246679.649999999</v>
      </c>
      <c r="K938" s="41"/>
    </row>
    <row r="939" spans="1:11" ht="15.75" customHeight="1" x14ac:dyDescent="0.3">
      <c r="A939" s="40" t="s">
        <v>2218</v>
      </c>
      <c r="B939" s="40" t="s">
        <v>1176</v>
      </c>
      <c r="C939" s="51" t="str">
        <f>VLOOKUP(B939,'Sales Order'!A$2:B$1029,1,0)</f>
        <v>SO0938</v>
      </c>
      <c r="D939" s="17" t="s">
        <v>1275</v>
      </c>
      <c r="E939" s="29" t="s">
        <v>170</v>
      </c>
      <c r="F939" s="29" t="s">
        <v>1288</v>
      </c>
      <c r="G939" s="32">
        <v>859350</v>
      </c>
      <c r="H939" s="43">
        <v>0.11</v>
      </c>
      <c r="I939" s="38">
        <v>110190642.59999999</v>
      </c>
      <c r="J939" s="42">
        <f>'Sales Order'!H939+('Sales Order'!H939*0.11)+Invoice!G939</f>
        <v>110190642.59999999</v>
      </c>
      <c r="K939" s="41"/>
    </row>
    <row r="940" spans="1:11" ht="15.75" customHeight="1" x14ac:dyDescent="0.3">
      <c r="A940" s="40" t="s">
        <v>2219</v>
      </c>
      <c r="B940" s="40" t="s">
        <v>1177</v>
      </c>
      <c r="C940" s="51" t="str">
        <f>VLOOKUP(B940,'Sales Order'!A$2:B$1029,1,0)</f>
        <v>SO0939</v>
      </c>
      <c r="D940" s="17" t="s">
        <v>1275</v>
      </c>
      <c r="E940" s="29" t="s">
        <v>2314</v>
      </c>
      <c r="F940" s="29" t="s">
        <v>1285</v>
      </c>
      <c r="G940" s="18">
        <v>808800</v>
      </c>
      <c r="H940" s="43">
        <v>0.11</v>
      </c>
      <c r="I940" s="38">
        <v>356456130</v>
      </c>
      <c r="J940" s="42">
        <f>'Sales Order'!H940+('Sales Order'!H940*0.11)+Invoice!G940</f>
        <v>356456130</v>
      </c>
      <c r="K940" s="41"/>
    </row>
    <row r="941" spans="1:11" ht="15.75" customHeight="1" x14ac:dyDescent="0.3">
      <c r="A941" s="40" t="s">
        <v>2220</v>
      </c>
      <c r="B941" s="40" t="s">
        <v>1178</v>
      </c>
      <c r="C941" s="51" t="str">
        <f>VLOOKUP(B941,'Sales Order'!A$2:B$1029,1,0)</f>
        <v>SO0940</v>
      </c>
      <c r="D941" s="17" t="s">
        <v>1275</v>
      </c>
      <c r="E941" s="29" t="s">
        <v>2316</v>
      </c>
      <c r="F941" s="29" t="s">
        <v>1288</v>
      </c>
      <c r="G941" s="18">
        <v>556050</v>
      </c>
      <c r="H941" s="43">
        <v>0.11</v>
      </c>
      <c r="I941" s="38">
        <v>159552627.59999999</v>
      </c>
      <c r="J941" s="42">
        <f>'Sales Order'!H941+('Sales Order'!H941*0.11)+Invoice!G941</f>
        <v>159552627.59999999</v>
      </c>
      <c r="K941" s="41"/>
    </row>
    <row r="942" spans="1:11" ht="15.75" customHeight="1" x14ac:dyDescent="0.3">
      <c r="A942" s="40" t="s">
        <v>2221</v>
      </c>
      <c r="B942" s="40" t="s">
        <v>1179</v>
      </c>
      <c r="C942" s="51" t="str">
        <f>VLOOKUP(B942,'Sales Order'!A$2:B$1029,1,0)</f>
        <v>SO0941</v>
      </c>
      <c r="D942" s="17" t="s">
        <v>1275</v>
      </c>
      <c r="E942" s="29" t="s">
        <v>170</v>
      </c>
      <c r="F942" s="29" t="s">
        <v>1276</v>
      </c>
      <c r="G942" s="32">
        <v>859350</v>
      </c>
      <c r="H942" s="43">
        <v>0.11</v>
      </c>
      <c r="I942" s="38">
        <v>105185186.40000001</v>
      </c>
      <c r="J942" s="42">
        <f>'Sales Order'!H942+('Sales Order'!H942*0.11)+Invoice!G942</f>
        <v>105185186.40000001</v>
      </c>
      <c r="K942" s="41"/>
    </row>
    <row r="943" spans="1:11" ht="15.75" customHeight="1" x14ac:dyDescent="0.3">
      <c r="A943" s="40" t="s">
        <v>2222</v>
      </c>
      <c r="B943" s="40" t="s">
        <v>1180</v>
      </c>
      <c r="C943" s="51" t="str">
        <f>VLOOKUP(B943,'Sales Order'!A$2:B$1029,1,0)</f>
        <v>SO0942</v>
      </c>
      <c r="D943" s="17" t="s">
        <v>1279</v>
      </c>
      <c r="E943" s="29" t="s">
        <v>2312</v>
      </c>
      <c r="F943" s="29" t="s">
        <v>1285</v>
      </c>
      <c r="G943" s="18">
        <v>32352</v>
      </c>
      <c r="H943" s="43">
        <v>0.11</v>
      </c>
      <c r="I943" s="38">
        <v>469523679.60000002</v>
      </c>
      <c r="J943" s="42">
        <f>'Sales Order'!H943+('Sales Order'!H943*0.11)+Invoice!G943</f>
        <v>469523679.60000002</v>
      </c>
      <c r="K943" s="41"/>
    </row>
    <row r="944" spans="1:11" ht="15.75" customHeight="1" x14ac:dyDescent="0.3">
      <c r="A944" s="40" t="s">
        <v>2223</v>
      </c>
      <c r="B944" s="40" t="s">
        <v>1181</v>
      </c>
      <c r="C944" s="51" t="str">
        <f>VLOOKUP(B944,'Sales Order'!A$2:B$1029,1,0)</f>
        <v>SO0943</v>
      </c>
      <c r="D944" s="17" t="s">
        <v>1275</v>
      </c>
      <c r="E944" s="29" t="s">
        <v>2318</v>
      </c>
      <c r="F944" s="29" t="s">
        <v>1285</v>
      </c>
      <c r="G944" s="32">
        <v>859350</v>
      </c>
      <c r="H944" s="43">
        <v>0.11</v>
      </c>
      <c r="I944" s="38">
        <v>643422843.29999995</v>
      </c>
      <c r="J944" s="42">
        <f>'Sales Order'!H944+('Sales Order'!H944*0.11)+Invoice!G944</f>
        <v>643422843.29999995</v>
      </c>
      <c r="K944" s="41"/>
    </row>
    <row r="945" spans="1:11" ht="15.75" customHeight="1" x14ac:dyDescent="0.3">
      <c r="A945" s="40" t="s">
        <v>2224</v>
      </c>
      <c r="B945" s="40" t="s">
        <v>1182</v>
      </c>
      <c r="C945" s="51" t="str">
        <f>VLOOKUP(B945,'Sales Order'!A$2:B$1029,1,0)</f>
        <v>SO0944</v>
      </c>
      <c r="D945" s="17" t="s">
        <v>1275</v>
      </c>
      <c r="E945" s="29" t="s">
        <v>2314</v>
      </c>
      <c r="F945" s="29" t="s">
        <v>1288</v>
      </c>
      <c r="G945" s="18">
        <v>808800</v>
      </c>
      <c r="H945" s="43">
        <v>0.11</v>
      </c>
      <c r="I945" s="38">
        <v>16805320.799999997</v>
      </c>
      <c r="J945" s="42">
        <f>'Sales Order'!H945+('Sales Order'!H945*0.11)+Invoice!G945</f>
        <v>16805320.799999997</v>
      </c>
      <c r="K945" s="41"/>
    </row>
    <row r="946" spans="1:11" ht="15.75" customHeight="1" x14ac:dyDescent="0.3">
      <c r="A946" s="40" t="s">
        <v>2225</v>
      </c>
      <c r="B946" s="40" t="s">
        <v>1183</v>
      </c>
      <c r="C946" s="51" t="str">
        <f>VLOOKUP(B946,'Sales Order'!A$2:B$1029,1,0)</f>
        <v>SO0945</v>
      </c>
      <c r="D946" s="17" t="s">
        <v>1275</v>
      </c>
      <c r="E946" s="29" t="s">
        <v>2313</v>
      </c>
      <c r="F946" s="29" t="s">
        <v>1285</v>
      </c>
      <c r="G946" s="18">
        <v>808800</v>
      </c>
      <c r="H946" s="43">
        <v>0.11</v>
      </c>
      <c r="I946" s="38">
        <v>848793377.70000005</v>
      </c>
      <c r="J946" s="42">
        <f>'Sales Order'!H946+('Sales Order'!H946*0.11)+Invoice!G946</f>
        <v>848793377.70000005</v>
      </c>
      <c r="K946" s="41"/>
    </row>
    <row r="947" spans="1:11" ht="15.75" customHeight="1" x14ac:dyDescent="0.3">
      <c r="A947" s="40" t="s">
        <v>2226</v>
      </c>
      <c r="B947" s="40" t="s">
        <v>1184</v>
      </c>
      <c r="C947" s="51" t="str">
        <f>VLOOKUP(B947,'Sales Order'!A$2:B$1029,1,0)</f>
        <v>SO0946</v>
      </c>
      <c r="D947" s="17" t="s">
        <v>1275</v>
      </c>
      <c r="E947" s="29" t="s">
        <v>2319</v>
      </c>
      <c r="F947" s="29" t="s">
        <v>1276</v>
      </c>
      <c r="G947" s="18">
        <v>353850</v>
      </c>
      <c r="H947" s="43">
        <v>0.11</v>
      </c>
      <c r="I947" s="38">
        <v>41472246</v>
      </c>
      <c r="J947" s="42">
        <f>'Sales Order'!H947+('Sales Order'!H947*0.11)+Invoice!G947</f>
        <v>41472246</v>
      </c>
      <c r="K947" s="41"/>
    </row>
    <row r="948" spans="1:11" ht="15.75" customHeight="1" x14ac:dyDescent="0.3">
      <c r="A948" s="40" t="s">
        <v>2227</v>
      </c>
      <c r="B948" s="40" t="s">
        <v>1185</v>
      </c>
      <c r="C948" s="51" t="str">
        <f>VLOOKUP(B948,'Sales Order'!A$2:B$1029,1,0)</f>
        <v>SO0947</v>
      </c>
      <c r="D948" s="17" t="s">
        <v>1275</v>
      </c>
      <c r="E948" s="29" t="s">
        <v>108</v>
      </c>
      <c r="F948" s="29" t="s">
        <v>1276</v>
      </c>
      <c r="G948" s="18">
        <v>556050</v>
      </c>
      <c r="H948" s="43">
        <v>0.11</v>
      </c>
      <c r="I948" s="38">
        <v>26763960.300000001</v>
      </c>
      <c r="J948" s="42">
        <f>'Sales Order'!H948+('Sales Order'!H948*0.11)+Invoice!G948</f>
        <v>26763960.300000001</v>
      </c>
      <c r="K948" s="41"/>
    </row>
    <row r="949" spans="1:11" ht="15.75" customHeight="1" x14ac:dyDescent="0.3">
      <c r="A949" s="40" t="s">
        <v>2228</v>
      </c>
      <c r="B949" s="40" t="s">
        <v>1186</v>
      </c>
      <c r="C949" s="51" t="str">
        <f>VLOOKUP(B949,'Sales Order'!A$2:B$1029,1,0)</f>
        <v>SO0948</v>
      </c>
      <c r="D949" s="17" t="s">
        <v>1275</v>
      </c>
      <c r="E949" s="29" t="s">
        <v>170</v>
      </c>
      <c r="F949" s="29" t="s">
        <v>1285</v>
      </c>
      <c r="G949" s="32">
        <v>859350</v>
      </c>
      <c r="H949" s="43">
        <v>0.11</v>
      </c>
      <c r="I949" s="38">
        <v>1263178891.3199999</v>
      </c>
      <c r="J949" s="42">
        <f>'Sales Order'!H949+('Sales Order'!H949*0.11)+Invoice!G949</f>
        <v>1263178891.3199999</v>
      </c>
      <c r="K949" s="41"/>
    </row>
    <row r="950" spans="1:11" ht="15.75" customHeight="1" x14ac:dyDescent="0.3">
      <c r="A950" s="40" t="s">
        <v>2229</v>
      </c>
      <c r="B950" s="40" t="s">
        <v>1187</v>
      </c>
      <c r="C950" s="51" t="str">
        <f>VLOOKUP(B950,'Sales Order'!A$2:B$1029,1,0)</f>
        <v>SO0949</v>
      </c>
      <c r="D950" s="17" t="s">
        <v>1275</v>
      </c>
      <c r="E950" s="29" t="s">
        <v>143</v>
      </c>
      <c r="F950" s="29" t="s">
        <v>1288</v>
      </c>
      <c r="G950" s="32">
        <v>859350</v>
      </c>
      <c r="H950" s="43">
        <v>0.11</v>
      </c>
      <c r="I950" s="38">
        <v>256842932.40000001</v>
      </c>
      <c r="J950" s="42">
        <f>'Sales Order'!H950+('Sales Order'!H950*0.11)+Invoice!G950</f>
        <v>256842932.40000001</v>
      </c>
      <c r="K950" s="41"/>
    </row>
    <row r="951" spans="1:11" ht="15.75" customHeight="1" x14ac:dyDescent="0.3">
      <c r="A951" s="40" t="s">
        <v>2230</v>
      </c>
      <c r="B951" s="40" t="s">
        <v>1188</v>
      </c>
      <c r="C951" s="51" t="str">
        <f>VLOOKUP(B951,'Sales Order'!A$2:B$1029,1,0)</f>
        <v>SO0950</v>
      </c>
      <c r="D951" s="17" t="s">
        <v>1275</v>
      </c>
      <c r="E951" s="29" t="s">
        <v>2313</v>
      </c>
      <c r="F951" s="29" t="s">
        <v>1295</v>
      </c>
      <c r="G951" s="18">
        <v>808800</v>
      </c>
      <c r="H951" s="43">
        <v>0.11</v>
      </c>
      <c r="I951" s="38">
        <v>404641674</v>
      </c>
      <c r="J951" s="42">
        <f>'Sales Order'!H951+('Sales Order'!H951*0.11)+Invoice!G951</f>
        <v>404641674</v>
      </c>
      <c r="K951" s="41"/>
    </row>
    <row r="952" spans="1:11" ht="15.75" customHeight="1" x14ac:dyDescent="0.3">
      <c r="A952" s="40" t="s">
        <v>2231</v>
      </c>
      <c r="B952" s="40" t="s">
        <v>1189</v>
      </c>
      <c r="C952" s="51" t="str">
        <f>VLOOKUP(B952,'Sales Order'!A$2:B$1029,1,0)</f>
        <v>SO0951</v>
      </c>
      <c r="D952" s="17" t="s">
        <v>1275</v>
      </c>
      <c r="E952" s="29" t="s">
        <v>2315</v>
      </c>
      <c r="F952" s="29" t="s">
        <v>1295</v>
      </c>
      <c r="G952" s="18">
        <v>556050</v>
      </c>
      <c r="H952" s="43">
        <v>0.11</v>
      </c>
      <c r="I952" s="38">
        <v>1038144134.4</v>
      </c>
      <c r="J952" s="42">
        <f>'Sales Order'!H952+('Sales Order'!H952*0.11)+Invoice!G952</f>
        <v>1038144134.4</v>
      </c>
      <c r="K952" s="41"/>
    </row>
    <row r="953" spans="1:11" ht="15.75" customHeight="1" x14ac:dyDescent="0.3">
      <c r="A953" s="40" t="s">
        <v>2232</v>
      </c>
      <c r="B953" s="40" t="s">
        <v>1190</v>
      </c>
      <c r="C953" s="51" t="str">
        <f>VLOOKUP(B953,'Sales Order'!A$2:B$1029,1,0)</f>
        <v>SO0952</v>
      </c>
      <c r="D953" s="17" t="s">
        <v>1275</v>
      </c>
      <c r="E953" s="29" t="s">
        <v>143</v>
      </c>
      <c r="F953" s="29" t="s">
        <v>1276</v>
      </c>
      <c r="G953" s="32">
        <v>859350</v>
      </c>
      <c r="H953" s="43">
        <v>0.11</v>
      </c>
      <c r="I953" s="38">
        <v>86301311.400000006</v>
      </c>
      <c r="J953" s="42">
        <f>'Sales Order'!H953+('Sales Order'!H953*0.11)+Invoice!G953</f>
        <v>86301311.400000006</v>
      </c>
      <c r="K953" s="41"/>
    </row>
    <row r="954" spans="1:11" ht="15.75" customHeight="1" x14ac:dyDescent="0.3">
      <c r="A954" s="40" t="s">
        <v>2233</v>
      </c>
      <c r="B954" s="40" t="s">
        <v>1191</v>
      </c>
      <c r="C954" s="51" t="str">
        <f>VLOOKUP(B954,'Sales Order'!A$2:B$1029,1,0)</f>
        <v>SO0953</v>
      </c>
      <c r="D954" s="17" t="s">
        <v>1275</v>
      </c>
      <c r="E954" s="29" t="s">
        <v>2314</v>
      </c>
      <c r="F954" s="29" t="s">
        <v>1285</v>
      </c>
      <c r="G954" s="18">
        <v>808800</v>
      </c>
      <c r="H954" s="43">
        <v>0.11</v>
      </c>
      <c r="I954" s="38">
        <v>334593570</v>
      </c>
      <c r="J954" s="42">
        <f>'Sales Order'!H954+('Sales Order'!H954*0.11)+Invoice!G954</f>
        <v>334593570</v>
      </c>
      <c r="K954" s="41"/>
    </row>
    <row r="955" spans="1:11" ht="15.75" customHeight="1" x14ac:dyDescent="0.3">
      <c r="A955" s="40" t="s">
        <v>2234</v>
      </c>
      <c r="B955" s="40" t="s">
        <v>1192</v>
      </c>
      <c r="C955" s="51" t="str">
        <f>VLOOKUP(B955,'Sales Order'!A$2:B$1029,1,0)</f>
        <v>SO0954</v>
      </c>
      <c r="D955" s="17" t="s">
        <v>1279</v>
      </c>
      <c r="E955" s="29" t="s">
        <v>118</v>
      </c>
      <c r="F955" s="29" t="s">
        <v>1276</v>
      </c>
      <c r="G955" s="18">
        <v>8088</v>
      </c>
      <c r="H955" s="43">
        <v>0.11</v>
      </c>
      <c r="I955" s="38">
        <v>10459082.1</v>
      </c>
      <c r="J955" s="42">
        <f>'Sales Order'!H955+('Sales Order'!H955*0.11)+Invoice!G955</f>
        <v>10459082.1</v>
      </c>
      <c r="K955" s="41"/>
    </row>
    <row r="956" spans="1:11" ht="15.75" customHeight="1" x14ac:dyDescent="0.3">
      <c r="A956" s="40" t="s">
        <v>2235</v>
      </c>
      <c r="B956" s="40" t="s">
        <v>1193</v>
      </c>
      <c r="C956" s="51" t="str">
        <f>VLOOKUP(B956,'Sales Order'!A$2:B$1029,1,0)</f>
        <v>SO0955</v>
      </c>
      <c r="D956" s="17" t="s">
        <v>1279</v>
      </c>
      <c r="E956" s="29" t="s">
        <v>2312</v>
      </c>
      <c r="F956" s="29" t="s">
        <v>1288</v>
      </c>
      <c r="G956" s="18">
        <v>32352</v>
      </c>
      <c r="H956" s="43">
        <v>0.11</v>
      </c>
      <c r="I956" s="38">
        <v>269319745.05000001</v>
      </c>
      <c r="J956" s="42">
        <f>'Sales Order'!H956+('Sales Order'!H956*0.11)+Invoice!G956</f>
        <v>269319745.05000001</v>
      </c>
      <c r="K956" s="41"/>
    </row>
    <row r="957" spans="1:11" ht="15.75" customHeight="1" x14ac:dyDescent="0.3">
      <c r="A957" s="40" t="s">
        <v>2236</v>
      </c>
      <c r="B957" s="40" t="s">
        <v>1194</v>
      </c>
      <c r="C957" s="51" t="str">
        <f>VLOOKUP(B957,'Sales Order'!A$2:B$1029,1,0)</f>
        <v>SO0956</v>
      </c>
      <c r="D957" s="17" t="s">
        <v>1279</v>
      </c>
      <c r="E957" s="29" t="s">
        <v>118</v>
      </c>
      <c r="F957" s="29" t="s">
        <v>1280</v>
      </c>
      <c r="G957" s="18">
        <v>8088</v>
      </c>
      <c r="H957" s="43">
        <v>0.11</v>
      </c>
      <c r="I957" s="38">
        <v>344425481.39999998</v>
      </c>
      <c r="J957" s="42">
        <f>'Sales Order'!H957+('Sales Order'!H957*0.11)+Invoice!G957</f>
        <v>344425481.39999998</v>
      </c>
      <c r="K957" s="41"/>
    </row>
    <row r="958" spans="1:11" ht="15.75" customHeight="1" x14ac:dyDescent="0.3">
      <c r="A958" s="40" t="s">
        <v>2237</v>
      </c>
      <c r="B958" s="40" t="s">
        <v>1195</v>
      </c>
      <c r="C958" s="51" t="str">
        <f>VLOOKUP(B958,'Sales Order'!A$2:B$1029,1,0)</f>
        <v>SO0957</v>
      </c>
      <c r="D958" s="17" t="s">
        <v>1279</v>
      </c>
      <c r="E958" s="29" t="s">
        <v>118</v>
      </c>
      <c r="F958" s="29" t="s">
        <v>1295</v>
      </c>
      <c r="G958" s="18">
        <v>8088</v>
      </c>
      <c r="H958" s="43">
        <v>0.11</v>
      </c>
      <c r="I958" s="38">
        <v>363326073</v>
      </c>
      <c r="J958" s="42">
        <f>'Sales Order'!H958+('Sales Order'!H958*0.11)+Invoice!G958</f>
        <v>363326073</v>
      </c>
      <c r="K958" s="41"/>
    </row>
    <row r="959" spans="1:11" ht="15.75" customHeight="1" x14ac:dyDescent="0.3">
      <c r="A959" s="40" t="s">
        <v>2238</v>
      </c>
      <c r="B959" s="40" t="s">
        <v>1196</v>
      </c>
      <c r="C959" s="51" t="str">
        <f>VLOOKUP(B959,'Sales Order'!A$2:B$1029,1,0)</f>
        <v>SO0958</v>
      </c>
      <c r="D959" s="17" t="s">
        <v>1279</v>
      </c>
      <c r="E959" s="29" t="s">
        <v>2312</v>
      </c>
      <c r="F959" s="29" t="s">
        <v>1280</v>
      </c>
      <c r="G959" s="18">
        <v>32352</v>
      </c>
      <c r="H959" s="43">
        <v>0.11</v>
      </c>
      <c r="I959" s="38">
        <v>287176686.89999998</v>
      </c>
      <c r="J959" s="42">
        <f>'Sales Order'!H959+('Sales Order'!H959*0.11)+Invoice!G959</f>
        <v>287176686.89999998</v>
      </c>
      <c r="K959" s="41"/>
    </row>
    <row r="960" spans="1:11" ht="15.75" customHeight="1" x14ac:dyDescent="0.3">
      <c r="A960" s="40" t="s">
        <v>2239</v>
      </c>
      <c r="B960" s="40" t="s">
        <v>1197</v>
      </c>
      <c r="C960" s="51" t="str">
        <f>VLOOKUP(B960,'Sales Order'!A$2:B$1029,1,0)</f>
        <v>SO0959</v>
      </c>
      <c r="D960" s="17" t="s">
        <v>1279</v>
      </c>
      <c r="E960" s="29" t="s">
        <v>118</v>
      </c>
      <c r="F960" s="29" t="s">
        <v>1276</v>
      </c>
      <c r="G960" s="18">
        <v>8088</v>
      </c>
      <c r="H960" s="43">
        <v>0.11</v>
      </c>
      <c r="I960" s="38">
        <v>183343220.46000001</v>
      </c>
      <c r="J960" s="42">
        <f>'Sales Order'!H960+('Sales Order'!H960*0.11)+Invoice!G960</f>
        <v>183343220.46000001</v>
      </c>
      <c r="K960" s="41"/>
    </row>
    <row r="961" spans="1:11" ht="15.75" customHeight="1" x14ac:dyDescent="0.3">
      <c r="A961" s="40" t="s">
        <v>2240</v>
      </c>
      <c r="B961" s="40" t="s">
        <v>1198</v>
      </c>
      <c r="C961" s="51" t="str">
        <f>VLOOKUP(B961,'Sales Order'!A$2:B$1029,1,0)</f>
        <v>SO0960</v>
      </c>
      <c r="D961" s="17" t="s">
        <v>1275</v>
      </c>
      <c r="E961" s="29" t="s">
        <v>143</v>
      </c>
      <c r="F961" s="29" t="s">
        <v>1280</v>
      </c>
      <c r="G961" s="32">
        <v>859350</v>
      </c>
      <c r="H961" s="43">
        <v>0.11</v>
      </c>
      <c r="I961" s="38">
        <v>441179256</v>
      </c>
      <c r="J961" s="42">
        <f>'Sales Order'!H961+('Sales Order'!H961*0.11)+Invoice!G961</f>
        <v>441179256</v>
      </c>
      <c r="K961" s="41"/>
    </row>
    <row r="962" spans="1:11" ht="15.75" customHeight="1" x14ac:dyDescent="0.3">
      <c r="A962" s="40" t="s">
        <v>2241</v>
      </c>
      <c r="B962" s="40" t="s">
        <v>1199</v>
      </c>
      <c r="C962" s="51" t="str">
        <f>VLOOKUP(B962,'Sales Order'!A$2:B$1029,1,0)</f>
        <v>SO0961</v>
      </c>
      <c r="D962" s="17" t="s">
        <v>1275</v>
      </c>
      <c r="E962" s="29" t="s">
        <v>2320</v>
      </c>
      <c r="F962" s="29" t="s">
        <v>1295</v>
      </c>
      <c r="G962" s="32">
        <v>758250</v>
      </c>
      <c r="H962" s="43">
        <v>0.11</v>
      </c>
      <c r="I962" s="38">
        <v>476435652</v>
      </c>
      <c r="J962" s="42">
        <f>'Sales Order'!H962+('Sales Order'!H962*0.11)+Invoice!G962</f>
        <v>476435652</v>
      </c>
      <c r="K962" s="41"/>
    </row>
    <row r="963" spans="1:11" ht="15.75" customHeight="1" x14ac:dyDescent="0.3">
      <c r="A963" s="40" t="s">
        <v>2242</v>
      </c>
      <c r="B963" s="40" t="s">
        <v>1200</v>
      </c>
      <c r="C963" s="51" t="str">
        <f>VLOOKUP(B963,'Sales Order'!A$2:B$1029,1,0)</f>
        <v>SO0962</v>
      </c>
      <c r="D963" s="17" t="s">
        <v>1279</v>
      </c>
      <c r="E963" s="29" t="s">
        <v>2312</v>
      </c>
      <c r="F963" s="29" t="s">
        <v>1288</v>
      </c>
      <c r="G963" s="18">
        <v>32352</v>
      </c>
      <c r="H963" s="43">
        <v>0.11</v>
      </c>
      <c r="I963" s="38">
        <v>203352417.30000001</v>
      </c>
      <c r="J963" s="42">
        <f>'Sales Order'!H963+('Sales Order'!H963*0.11)+Invoice!G963</f>
        <v>203352417.30000001</v>
      </c>
      <c r="K963" s="41"/>
    </row>
    <row r="964" spans="1:11" ht="15.75" customHeight="1" x14ac:dyDescent="0.3">
      <c r="A964" s="40" t="s">
        <v>2243</v>
      </c>
      <c r="B964" s="40" t="s">
        <v>1201</v>
      </c>
      <c r="C964" s="51" t="str">
        <f>VLOOKUP(B964,'Sales Order'!A$2:B$1029,1,0)</f>
        <v>SO0963</v>
      </c>
      <c r="D964" s="17" t="s">
        <v>1275</v>
      </c>
      <c r="E964" s="29" t="s">
        <v>2314</v>
      </c>
      <c r="F964" s="29" t="s">
        <v>1285</v>
      </c>
      <c r="G964" s="18">
        <v>808800</v>
      </c>
      <c r="H964" s="43">
        <v>0.11</v>
      </c>
      <c r="I964" s="38">
        <v>408758175.60000002</v>
      </c>
      <c r="J964" s="42">
        <f>'Sales Order'!H964+('Sales Order'!H964*0.11)+Invoice!G964</f>
        <v>408758175.60000002</v>
      </c>
      <c r="K964" s="41"/>
    </row>
    <row r="965" spans="1:11" ht="15.75" customHeight="1" x14ac:dyDescent="0.3">
      <c r="A965" s="40" t="s">
        <v>2244</v>
      </c>
      <c r="B965" s="40" t="s">
        <v>1202</v>
      </c>
      <c r="C965" s="51" t="str">
        <f>VLOOKUP(B965,'Sales Order'!A$2:B$1029,1,0)</f>
        <v>SO0964</v>
      </c>
      <c r="D965" s="17" t="s">
        <v>1275</v>
      </c>
      <c r="E965" s="29" t="s">
        <v>170</v>
      </c>
      <c r="F965" s="29" t="s">
        <v>1280</v>
      </c>
      <c r="G965" s="32">
        <v>859350</v>
      </c>
      <c r="H965" s="43">
        <v>0.11</v>
      </c>
      <c r="I965" s="38">
        <v>407123501.39999998</v>
      </c>
      <c r="J965" s="42">
        <f>'Sales Order'!H965+('Sales Order'!H965*0.11)+Invoice!G965</f>
        <v>407123501.39999998</v>
      </c>
      <c r="K965" s="41"/>
    </row>
    <row r="966" spans="1:11" ht="15.75" customHeight="1" x14ac:dyDescent="0.3">
      <c r="A966" s="40" t="s">
        <v>2245</v>
      </c>
      <c r="B966" s="40" t="s">
        <v>1203</v>
      </c>
      <c r="C966" s="51" t="str">
        <f>VLOOKUP(B966,'Sales Order'!A$2:B$1029,1,0)</f>
        <v>SO0965</v>
      </c>
      <c r="D966" s="17" t="s">
        <v>1275</v>
      </c>
      <c r="E966" s="29" t="s">
        <v>2318</v>
      </c>
      <c r="F966" s="29" t="s">
        <v>1288</v>
      </c>
      <c r="G966" s="32">
        <v>859350</v>
      </c>
      <c r="H966" s="43">
        <v>0.11</v>
      </c>
      <c r="I966" s="38">
        <v>195185451.59999999</v>
      </c>
      <c r="J966" s="42">
        <f>'Sales Order'!H966+('Sales Order'!H966*0.11)+Invoice!G966</f>
        <v>195185451.59999999</v>
      </c>
      <c r="K966" s="41"/>
    </row>
    <row r="967" spans="1:11" ht="15.75" customHeight="1" x14ac:dyDescent="0.3">
      <c r="A967" s="40" t="s">
        <v>2246</v>
      </c>
      <c r="B967" s="40" t="s">
        <v>1204</v>
      </c>
      <c r="C967" s="51" t="str">
        <f>VLOOKUP(B967,'Sales Order'!A$2:B$1029,1,0)</f>
        <v>SO0966</v>
      </c>
      <c r="D967" s="17" t="s">
        <v>1279</v>
      </c>
      <c r="E967" s="29" t="s">
        <v>118</v>
      </c>
      <c r="F967" s="29" t="s">
        <v>1288</v>
      </c>
      <c r="G967" s="18">
        <v>8088</v>
      </c>
      <c r="H967" s="43">
        <v>0.11</v>
      </c>
      <c r="I967" s="38">
        <v>24261310.5</v>
      </c>
      <c r="J967" s="42">
        <f>'Sales Order'!H967+('Sales Order'!H967*0.11)+Invoice!G967</f>
        <v>24261310.5</v>
      </c>
      <c r="K967" s="41"/>
    </row>
    <row r="968" spans="1:11" ht="15.75" customHeight="1" x14ac:dyDescent="0.3">
      <c r="A968" s="40" t="s">
        <v>2247</v>
      </c>
      <c r="B968" s="40" t="s">
        <v>1205</v>
      </c>
      <c r="C968" s="51" t="str">
        <f>VLOOKUP(B968,'Sales Order'!A$2:B$1029,1,0)</f>
        <v>SO0967</v>
      </c>
      <c r="D968" s="17" t="s">
        <v>1279</v>
      </c>
      <c r="E968" s="29" t="s">
        <v>118</v>
      </c>
      <c r="F968" s="29" t="s">
        <v>1276</v>
      </c>
      <c r="G968" s="18">
        <v>8088</v>
      </c>
      <c r="H968" s="43">
        <v>0.11</v>
      </c>
      <c r="I968" s="38">
        <v>147680934</v>
      </c>
      <c r="J968" s="42">
        <f>'Sales Order'!H968+('Sales Order'!H968*0.11)+Invoice!G968</f>
        <v>147680934</v>
      </c>
      <c r="K968" s="41"/>
    </row>
    <row r="969" spans="1:11" ht="15.75" customHeight="1" x14ac:dyDescent="0.3">
      <c r="A969" s="40" t="s">
        <v>2248</v>
      </c>
      <c r="B969" s="40" t="s">
        <v>1206</v>
      </c>
      <c r="C969" s="51" t="str">
        <f>VLOOKUP(B969,'Sales Order'!A$2:B$1029,1,0)</f>
        <v>SO0968</v>
      </c>
      <c r="D969" s="17" t="s">
        <v>1275</v>
      </c>
      <c r="E969" s="29" t="s">
        <v>143</v>
      </c>
      <c r="F969" s="29" t="s">
        <v>1295</v>
      </c>
      <c r="G969" s="32">
        <v>859350</v>
      </c>
      <c r="H969" s="43">
        <v>0.11</v>
      </c>
      <c r="I969" s="38">
        <v>849333015.89999998</v>
      </c>
      <c r="J969" s="42">
        <f>'Sales Order'!H969+('Sales Order'!H969*0.11)+Invoice!G969</f>
        <v>849333015.89999998</v>
      </c>
      <c r="K969" s="41"/>
    </row>
    <row r="970" spans="1:11" ht="15.75" customHeight="1" x14ac:dyDescent="0.3">
      <c r="A970" s="40" t="s">
        <v>2249</v>
      </c>
      <c r="B970" s="40" t="s">
        <v>1207</v>
      </c>
      <c r="C970" s="51" t="str">
        <f>VLOOKUP(B970,'Sales Order'!A$2:B$1029,1,0)</f>
        <v>SO0969</v>
      </c>
      <c r="D970" s="17" t="s">
        <v>1279</v>
      </c>
      <c r="E970" s="29" t="s">
        <v>2312</v>
      </c>
      <c r="F970" s="29" t="s">
        <v>1276</v>
      </c>
      <c r="G970" s="18">
        <v>32352</v>
      </c>
      <c r="H970" s="43">
        <v>0.11</v>
      </c>
      <c r="I970" s="38">
        <v>150516450.59999999</v>
      </c>
      <c r="J970" s="42">
        <f>'Sales Order'!H970+('Sales Order'!H970*0.11)+Invoice!G970</f>
        <v>150516450.59999999</v>
      </c>
      <c r="K970" s="41"/>
    </row>
    <row r="971" spans="1:11" ht="15.75" customHeight="1" x14ac:dyDescent="0.3">
      <c r="A971" s="40" t="s">
        <v>2250</v>
      </c>
      <c r="B971" s="40" t="s">
        <v>1208</v>
      </c>
      <c r="C971" s="51" t="str">
        <f>VLOOKUP(B971,'Sales Order'!A$2:B$1029,1,0)</f>
        <v>SO0970</v>
      </c>
      <c r="D971" s="17" t="s">
        <v>1275</v>
      </c>
      <c r="E971" s="29" t="s">
        <v>2313</v>
      </c>
      <c r="F971" s="29" t="s">
        <v>1295</v>
      </c>
      <c r="G971" s="18">
        <v>808800</v>
      </c>
      <c r="H971" s="43">
        <v>0.11</v>
      </c>
      <c r="I971" s="38">
        <v>352440627.30000001</v>
      </c>
      <c r="J971" s="42">
        <f>'Sales Order'!H971+('Sales Order'!H971*0.11)+Invoice!G971</f>
        <v>352440627.30000001</v>
      </c>
      <c r="K971" s="41"/>
    </row>
    <row r="972" spans="1:11" ht="15.75" customHeight="1" x14ac:dyDescent="0.3">
      <c r="A972" s="40" t="s">
        <v>2251</v>
      </c>
      <c r="B972" s="40" t="s">
        <v>1209</v>
      </c>
      <c r="C972" s="51" t="str">
        <f>VLOOKUP(B972,'Sales Order'!A$2:B$1029,1,0)</f>
        <v>SO0971</v>
      </c>
      <c r="D972" s="17" t="s">
        <v>1275</v>
      </c>
      <c r="E972" s="29" t="s">
        <v>2314</v>
      </c>
      <c r="F972" s="29" t="s">
        <v>1276</v>
      </c>
      <c r="G972" s="18">
        <v>808800</v>
      </c>
      <c r="H972" s="43">
        <v>0.11</v>
      </c>
      <c r="I972" s="38">
        <v>216667558.5</v>
      </c>
      <c r="J972" s="42">
        <f>'Sales Order'!H972+('Sales Order'!H972*0.11)+Invoice!G972</f>
        <v>216667558.5</v>
      </c>
      <c r="K972" s="41"/>
    </row>
    <row r="973" spans="1:11" ht="15.75" customHeight="1" x14ac:dyDescent="0.3">
      <c r="A973" s="40" t="s">
        <v>2252</v>
      </c>
      <c r="B973" s="40" t="s">
        <v>1210</v>
      </c>
      <c r="C973" s="51" t="str">
        <f>VLOOKUP(B973,'Sales Order'!A$2:B$1029,1,0)</f>
        <v>SO0972</v>
      </c>
      <c r="D973" s="17" t="s">
        <v>1275</v>
      </c>
      <c r="E973" s="29" t="s">
        <v>2314</v>
      </c>
      <c r="F973" s="29" t="s">
        <v>1285</v>
      </c>
      <c r="G973" s="18">
        <v>808800</v>
      </c>
      <c r="H973" s="43">
        <v>0.11</v>
      </c>
      <c r="I973" s="38">
        <v>349388271.60000002</v>
      </c>
      <c r="J973" s="42">
        <f>'Sales Order'!H973+('Sales Order'!H973*0.11)+Invoice!G973</f>
        <v>349388271.60000002</v>
      </c>
      <c r="K973" s="41"/>
    </row>
    <row r="974" spans="1:11" ht="15.75" customHeight="1" x14ac:dyDescent="0.3">
      <c r="A974" s="40" t="s">
        <v>2253</v>
      </c>
      <c r="B974" s="40" t="s">
        <v>1211</v>
      </c>
      <c r="C974" s="51" t="str">
        <f>VLOOKUP(B974,'Sales Order'!A$2:B$1029,1,0)</f>
        <v>SO0973</v>
      </c>
      <c r="D974" s="17" t="s">
        <v>1275</v>
      </c>
      <c r="E974" s="29" t="s">
        <v>2313</v>
      </c>
      <c r="F974" s="29" t="s">
        <v>1288</v>
      </c>
      <c r="G974" s="18">
        <v>808800</v>
      </c>
      <c r="H974" s="43">
        <v>0.11</v>
      </c>
      <c r="I974" s="38">
        <v>192094156.5</v>
      </c>
      <c r="J974" s="42">
        <f>'Sales Order'!H974+('Sales Order'!H974*0.11)+Invoice!G974</f>
        <v>192094156.5</v>
      </c>
      <c r="K974" s="41"/>
    </row>
    <row r="975" spans="1:11" ht="15.75" customHeight="1" x14ac:dyDescent="0.3">
      <c r="A975" s="40" t="s">
        <v>2254</v>
      </c>
      <c r="B975" s="40" t="s">
        <v>1212</v>
      </c>
      <c r="C975" s="51" t="str">
        <f>VLOOKUP(B975,'Sales Order'!A$2:B$1029,1,0)</f>
        <v>SO0974</v>
      </c>
      <c r="D975" s="17" t="s">
        <v>1279</v>
      </c>
      <c r="E975" s="29" t="s">
        <v>118</v>
      </c>
      <c r="F975" s="29" t="s">
        <v>1288</v>
      </c>
      <c r="G975" s="18">
        <v>8088</v>
      </c>
      <c r="H975" s="43">
        <v>0.11</v>
      </c>
      <c r="I975" s="38">
        <v>212105778</v>
      </c>
      <c r="J975" s="42">
        <f>'Sales Order'!H975+('Sales Order'!H975*0.11)+Invoice!G975</f>
        <v>212105778</v>
      </c>
      <c r="K975" s="41"/>
    </row>
    <row r="976" spans="1:11" ht="15.75" customHeight="1" x14ac:dyDescent="0.3">
      <c r="A976" s="40" t="s">
        <v>2255</v>
      </c>
      <c r="B976" s="40" t="s">
        <v>1213</v>
      </c>
      <c r="C976" s="51" t="str">
        <f>VLOOKUP(B976,'Sales Order'!A$2:B$1029,1,0)</f>
        <v>SO0975</v>
      </c>
      <c r="D976" s="17" t="s">
        <v>1275</v>
      </c>
      <c r="E976" s="29" t="s">
        <v>2315</v>
      </c>
      <c r="F976" s="29" t="s">
        <v>1276</v>
      </c>
      <c r="G976" s="18">
        <v>556050</v>
      </c>
      <c r="H976" s="43">
        <v>0.11</v>
      </c>
      <c r="I976" s="38">
        <v>78182235</v>
      </c>
      <c r="J976" s="42">
        <f>'Sales Order'!H976+('Sales Order'!H976*0.11)+Invoice!G976</f>
        <v>78182235</v>
      </c>
      <c r="K976" s="41"/>
    </row>
    <row r="977" spans="1:11" ht="15.75" customHeight="1" x14ac:dyDescent="0.3">
      <c r="A977" s="40" t="s">
        <v>2256</v>
      </c>
      <c r="B977" s="40" t="s">
        <v>1214</v>
      </c>
      <c r="C977" s="51" t="str">
        <f>VLOOKUP(B977,'Sales Order'!A$2:B$1029,1,0)</f>
        <v>SO0976</v>
      </c>
      <c r="D977" s="17" t="s">
        <v>1275</v>
      </c>
      <c r="E977" s="29" t="s">
        <v>143</v>
      </c>
      <c r="F977" s="29" t="s">
        <v>1276</v>
      </c>
      <c r="G977" s="32">
        <v>859350</v>
      </c>
      <c r="H977" s="43">
        <v>0.11</v>
      </c>
      <c r="I977" s="38">
        <v>255979274.69999999</v>
      </c>
      <c r="J977" s="42">
        <f>'Sales Order'!H977+('Sales Order'!H977*0.11)+Invoice!G977</f>
        <v>255979274.69999999</v>
      </c>
      <c r="K977" s="41"/>
    </row>
    <row r="978" spans="1:11" ht="15.75" customHeight="1" x14ac:dyDescent="0.3">
      <c r="A978" s="40" t="s">
        <v>2257</v>
      </c>
      <c r="B978" s="40" t="s">
        <v>1215</v>
      </c>
      <c r="C978" s="51" t="str">
        <f>VLOOKUP(B978,'Sales Order'!A$2:B$1029,1,0)</f>
        <v>SO0977</v>
      </c>
      <c r="D978" s="17" t="s">
        <v>1275</v>
      </c>
      <c r="E978" s="29" t="s">
        <v>170</v>
      </c>
      <c r="F978" s="29" t="s">
        <v>1280</v>
      </c>
      <c r="G978" s="32">
        <v>859350</v>
      </c>
      <c r="H978" s="43">
        <v>0.11</v>
      </c>
      <c r="I978" s="38">
        <v>1290916723.5</v>
      </c>
      <c r="J978" s="42">
        <f>'Sales Order'!H978+('Sales Order'!H978*0.11)+Invoice!G978</f>
        <v>1290916723.5</v>
      </c>
      <c r="K978" s="41"/>
    </row>
    <row r="979" spans="1:11" ht="15.75" customHeight="1" x14ac:dyDescent="0.3">
      <c r="A979" s="40" t="s">
        <v>2258</v>
      </c>
      <c r="B979" s="40" t="s">
        <v>1216</v>
      </c>
      <c r="C979" s="51" t="str">
        <f>VLOOKUP(B979,'Sales Order'!A$2:B$1029,1,0)</f>
        <v>SO0978</v>
      </c>
      <c r="D979" s="17" t="s">
        <v>1275</v>
      </c>
      <c r="E979" s="29" t="s">
        <v>2316</v>
      </c>
      <c r="F979" s="29" t="s">
        <v>1276</v>
      </c>
      <c r="G979" s="18">
        <v>556050</v>
      </c>
      <c r="H979" s="43">
        <v>0.11</v>
      </c>
      <c r="I979" s="38">
        <v>267213847.5</v>
      </c>
      <c r="J979" s="42">
        <f>'Sales Order'!H979+('Sales Order'!H979*0.11)+Invoice!G979</f>
        <v>267213847.5</v>
      </c>
      <c r="K979" s="41"/>
    </row>
    <row r="980" spans="1:11" ht="15.75" customHeight="1" x14ac:dyDescent="0.3">
      <c r="A980" s="40" t="s">
        <v>2259</v>
      </c>
      <c r="B980" s="40" t="s">
        <v>1217</v>
      </c>
      <c r="C980" s="51" t="str">
        <f>VLOOKUP(B980,'Sales Order'!A$2:B$1029,1,0)</f>
        <v>SO0979</v>
      </c>
      <c r="D980" s="17" t="s">
        <v>1275</v>
      </c>
      <c r="E980" s="29" t="s">
        <v>2318</v>
      </c>
      <c r="F980" s="29" t="s">
        <v>1288</v>
      </c>
      <c r="G980" s="32">
        <v>859350</v>
      </c>
      <c r="H980" s="43">
        <v>0.11</v>
      </c>
      <c r="I980" s="38">
        <v>77541024.900000006</v>
      </c>
      <c r="J980" s="42">
        <f>'Sales Order'!H980+('Sales Order'!H980*0.11)+Invoice!G980</f>
        <v>77541024.900000006</v>
      </c>
      <c r="K980" s="41"/>
    </row>
    <row r="981" spans="1:11" ht="15.75" customHeight="1" x14ac:dyDescent="0.3">
      <c r="A981" s="40" t="s">
        <v>2260</v>
      </c>
      <c r="B981" s="40" t="s">
        <v>1218</v>
      </c>
      <c r="C981" s="51" t="str">
        <f>VLOOKUP(B981,'Sales Order'!A$2:B$1029,1,0)</f>
        <v>SO0980</v>
      </c>
      <c r="D981" s="17" t="s">
        <v>1279</v>
      </c>
      <c r="E981" s="29" t="s">
        <v>118</v>
      </c>
      <c r="F981" s="29" t="s">
        <v>1280</v>
      </c>
      <c r="G981" s="18">
        <v>8088</v>
      </c>
      <c r="H981" s="43">
        <v>0.11</v>
      </c>
      <c r="I981" s="38">
        <v>396876533.39999998</v>
      </c>
      <c r="J981" s="42">
        <f>'Sales Order'!H981+('Sales Order'!H981*0.11)+Invoice!G981</f>
        <v>396876533.39999998</v>
      </c>
      <c r="K981" s="41"/>
    </row>
    <row r="982" spans="1:11" ht="15.75" customHeight="1" x14ac:dyDescent="0.3">
      <c r="A982" s="40" t="s">
        <v>2261</v>
      </c>
      <c r="B982" s="40" t="s">
        <v>1219</v>
      </c>
      <c r="C982" s="51" t="str">
        <f>VLOOKUP(B982,'Sales Order'!A$2:B$1029,1,0)</f>
        <v>SO0981</v>
      </c>
      <c r="D982" s="17" t="s">
        <v>1279</v>
      </c>
      <c r="E982" s="29" t="s">
        <v>118</v>
      </c>
      <c r="F982" s="29" t="s">
        <v>1280</v>
      </c>
      <c r="G982" s="18">
        <v>8088</v>
      </c>
      <c r="H982" s="43">
        <v>0.11</v>
      </c>
      <c r="I982" s="38">
        <v>818894792.70000005</v>
      </c>
      <c r="J982" s="42">
        <f>'Sales Order'!H982+('Sales Order'!H982*0.11)+Invoice!G982</f>
        <v>818894792.70000005</v>
      </c>
      <c r="K982" s="41"/>
    </row>
    <row r="983" spans="1:11" ht="15.75" customHeight="1" x14ac:dyDescent="0.3">
      <c r="A983" s="40" t="s">
        <v>2262</v>
      </c>
      <c r="B983" s="40" t="s">
        <v>1220</v>
      </c>
      <c r="C983" s="51" t="str">
        <f>VLOOKUP(B983,'Sales Order'!A$2:B$1029,1,0)</f>
        <v>SO0982</v>
      </c>
      <c r="D983" s="17" t="s">
        <v>1275</v>
      </c>
      <c r="E983" s="29" t="s">
        <v>2320</v>
      </c>
      <c r="F983" s="29" t="s">
        <v>1285</v>
      </c>
      <c r="G983" s="32">
        <v>758250</v>
      </c>
      <c r="H983" s="43">
        <v>0.11</v>
      </c>
      <c r="I983" s="38">
        <v>513044062.5</v>
      </c>
      <c r="J983" s="42">
        <f>'Sales Order'!H983+('Sales Order'!H983*0.11)+Invoice!G983</f>
        <v>513044062.5</v>
      </c>
      <c r="K983" s="41"/>
    </row>
    <row r="984" spans="1:11" ht="15.75" customHeight="1" x14ac:dyDescent="0.3">
      <c r="A984" s="40" t="s">
        <v>2263</v>
      </c>
      <c r="B984" s="40" t="s">
        <v>1221</v>
      </c>
      <c r="C984" s="51" t="str">
        <f>VLOOKUP(B984,'Sales Order'!A$2:B$1029,1,0)</f>
        <v>SO0983</v>
      </c>
      <c r="D984" s="17" t="s">
        <v>1275</v>
      </c>
      <c r="E984" s="29" t="s">
        <v>2313</v>
      </c>
      <c r="F984" s="29" t="s">
        <v>1295</v>
      </c>
      <c r="G984" s="18">
        <v>808800</v>
      </c>
      <c r="H984" s="43">
        <v>0.11</v>
      </c>
      <c r="I984" s="38">
        <v>434286410.69999999</v>
      </c>
      <c r="J984" s="42">
        <f>'Sales Order'!H984+('Sales Order'!H984*0.11)+Invoice!G984</f>
        <v>434286410.69999999</v>
      </c>
      <c r="K984" s="41"/>
    </row>
    <row r="985" spans="1:11" ht="15.75" customHeight="1" x14ac:dyDescent="0.3">
      <c r="A985" s="40" t="s">
        <v>2264</v>
      </c>
      <c r="B985" s="40" t="s">
        <v>1222</v>
      </c>
      <c r="C985" s="51" t="str">
        <f>VLOOKUP(B985,'Sales Order'!A$2:B$1029,1,0)</f>
        <v>SO0984</v>
      </c>
      <c r="D985" s="17" t="s">
        <v>1275</v>
      </c>
      <c r="E985" s="29" t="s">
        <v>2318</v>
      </c>
      <c r="F985" s="29" t="s">
        <v>1280</v>
      </c>
      <c r="G985" s="32">
        <v>859350</v>
      </c>
      <c r="H985" s="43">
        <v>0.11</v>
      </c>
      <c r="I985" s="38">
        <v>290951989.19999999</v>
      </c>
      <c r="J985" s="42">
        <f>'Sales Order'!H985+('Sales Order'!H985*0.11)+Invoice!G985</f>
        <v>290951989.19999999</v>
      </c>
      <c r="K985" s="41"/>
    </row>
    <row r="986" spans="1:11" ht="15.75" customHeight="1" x14ac:dyDescent="0.3">
      <c r="A986" s="40" t="s">
        <v>2265</v>
      </c>
      <c r="B986" s="40" t="s">
        <v>1223</v>
      </c>
      <c r="C986" s="51" t="str">
        <f>VLOOKUP(B986,'Sales Order'!A$2:B$1029,1,0)</f>
        <v>SO0985</v>
      </c>
      <c r="D986" s="17" t="s">
        <v>1275</v>
      </c>
      <c r="E986" s="29" t="s">
        <v>2314</v>
      </c>
      <c r="F986" s="29" t="s">
        <v>1288</v>
      </c>
      <c r="G986" s="18">
        <v>808800</v>
      </c>
      <c r="H986" s="43">
        <v>0.11</v>
      </c>
      <c r="I986" s="38">
        <v>19827695.399999999</v>
      </c>
      <c r="J986" s="42">
        <f>'Sales Order'!H986+('Sales Order'!H986*0.11)+Invoice!G986</f>
        <v>19827695.399999999</v>
      </c>
      <c r="K986" s="41"/>
    </row>
    <row r="987" spans="1:11" ht="15.75" customHeight="1" x14ac:dyDescent="0.3">
      <c r="A987" s="40" t="s">
        <v>2266</v>
      </c>
      <c r="B987" s="40" t="s">
        <v>1224</v>
      </c>
      <c r="C987" s="51" t="str">
        <f>VLOOKUP(B987,'Sales Order'!A$2:B$1029,1,0)</f>
        <v>SO0986</v>
      </c>
      <c r="D987" s="17" t="s">
        <v>1275</v>
      </c>
      <c r="E987" s="29" t="s">
        <v>2318</v>
      </c>
      <c r="F987" s="29" t="s">
        <v>1288</v>
      </c>
      <c r="G987" s="32">
        <v>859350</v>
      </c>
      <c r="H987" s="43">
        <v>0.11</v>
      </c>
      <c r="I987" s="38">
        <v>171378981.90000001</v>
      </c>
      <c r="J987" s="42">
        <f>'Sales Order'!H987+('Sales Order'!H987*0.11)+Invoice!G987</f>
        <v>171378981.90000001</v>
      </c>
      <c r="K987" s="41"/>
    </row>
    <row r="988" spans="1:11" ht="15.75" customHeight="1" x14ac:dyDescent="0.3">
      <c r="A988" s="40" t="s">
        <v>2267</v>
      </c>
      <c r="B988" s="40" t="s">
        <v>1225</v>
      </c>
      <c r="C988" s="51" t="str">
        <f>VLOOKUP(B988,'Sales Order'!A$2:B$1029,1,0)</f>
        <v>SO0987</v>
      </c>
      <c r="D988" s="17" t="s">
        <v>1275</v>
      </c>
      <c r="E988" s="29" t="s">
        <v>2314</v>
      </c>
      <c r="F988" s="29" t="s">
        <v>1288</v>
      </c>
      <c r="G988" s="18">
        <v>808800</v>
      </c>
      <c r="H988" s="43">
        <v>0.11</v>
      </c>
      <c r="I988" s="38">
        <v>273168600.89999998</v>
      </c>
      <c r="J988" s="42">
        <f>'Sales Order'!H988+('Sales Order'!H988*0.11)+Invoice!G988</f>
        <v>273168600.89999998</v>
      </c>
      <c r="K988" s="41"/>
    </row>
    <row r="989" spans="1:11" ht="15.75" customHeight="1" x14ac:dyDescent="0.3">
      <c r="A989" s="40" t="s">
        <v>2268</v>
      </c>
      <c r="B989" s="40" t="s">
        <v>1226</v>
      </c>
      <c r="C989" s="51" t="str">
        <f>VLOOKUP(B989,'Sales Order'!A$2:B$1029,1,0)</f>
        <v>SO0988</v>
      </c>
      <c r="D989" s="17" t="s">
        <v>1279</v>
      </c>
      <c r="E989" s="29" t="s">
        <v>118</v>
      </c>
      <c r="F989" s="29" t="s">
        <v>1276</v>
      </c>
      <c r="G989" s="18">
        <v>8088</v>
      </c>
      <c r="H989" s="43">
        <v>0.11</v>
      </c>
      <c r="I989" s="38">
        <v>117203486.40000001</v>
      </c>
      <c r="J989" s="42">
        <f>'Sales Order'!H989+('Sales Order'!H989*0.11)+Invoice!G989</f>
        <v>117203486.40000001</v>
      </c>
      <c r="K989" s="41"/>
    </row>
    <row r="990" spans="1:11" ht="15.75" customHeight="1" x14ac:dyDescent="0.3">
      <c r="A990" s="40" t="s">
        <v>2269</v>
      </c>
      <c r="B990" s="40" t="s">
        <v>1227</v>
      </c>
      <c r="C990" s="51" t="str">
        <f>VLOOKUP(B990,'Sales Order'!A$2:B$1029,1,0)</f>
        <v>SO0989</v>
      </c>
      <c r="D990" s="17" t="s">
        <v>1279</v>
      </c>
      <c r="E990" s="29" t="s">
        <v>118</v>
      </c>
      <c r="F990" s="29" t="s">
        <v>1288</v>
      </c>
      <c r="G990" s="18">
        <v>8088</v>
      </c>
      <c r="H990" s="43">
        <v>0.11</v>
      </c>
      <c r="I990" s="38">
        <v>6418338</v>
      </c>
      <c r="J990" s="42">
        <f>'Sales Order'!H990+('Sales Order'!H990*0.11)+Invoice!G990</f>
        <v>6418338</v>
      </c>
      <c r="K990" s="41"/>
    </row>
    <row r="991" spans="1:11" ht="15.75" customHeight="1" x14ac:dyDescent="0.3">
      <c r="A991" s="40" t="s">
        <v>2270</v>
      </c>
      <c r="B991" s="40" t="s">
        <v>1228</v>
      </c>
      <c r="C991" s="51" t="str">
        <f>VLOOKUP(B991,'Sales Order'!A$2:B$1029,1,0)</f>
        <v>SO0990</v>
      </c>
      <c r="D991" s="17" t="s">
        <v>1275</v>
      </c>
      <c r="E991" s="29" t="s">
        <v>143</v>
      </c>
      <c r="F991" s="29" t="s">
        <v>1276</v>
      </c>
      <c r="G991" s="32">
        <v>859350</v>
      </c>
      <c r="H991" s="43">
        <v>0.11</v>
      </c>
      <c r="I991" s="38">
        <v>9333367.5</v>
      </c>
      <c r="J991" s="42">
        <f>'Sales Order'!H991+('Sales Order'!H991*0.11)+Invoice!G991</f>
        <v>9333367.5</v>
      </c>
      <c r="K991" s="41"/>
    </row>
    <row r="992" spans="1:11" ht="15.75" customHeight="1" x14ac:dyDescent="0.3">
      <c r="A992" s="40" t="s">
        <v>2271</v>
      </c>
      <c r="B992" s="40" t="s">
        <v>1229</v>
      </c>
      <c r="C992" s="51" t="str">
        <f>VLOOKUP(B992,'Sales Order'!A$2:B$1029,1,0)</f>
        <v>SO0991</v>
      </c>
      <c r="D992" s="17" t="s">
        <v>1275</v>
      </c>
      <c r="E992" s="29" t="s">
        <v>143</v>
      </c>
      <c r="F992" s="29" t="s">
        <v>1288</v>
      </c>
      <c r="G992" s="32">
        <v>859350</v>
      </c>
      <c r="H992" s="43">
        <v>0.11</v>
      </c>
      <c r="I992" s="38">
        <v>21313875</v>
      </c>
      <c r="J992" s="42">
        <f>'Sales Order'!H992+('Sales Order'!H992*0.11)+Invoice!G992</f>
        <v>21313875</v>
      </c>
      <c r="K992" s="41"/>
    </row>
    <row r="993" spans="1:11" ht="15.75" customHeight="1" x14ac:dyDescent="0.3">
      <c r="A993" s="40" t="s">
        <v>2272</v>
      </c>
      <c r="B993" s="40" t="s">
        <v>1230</v>
      </c>
      <c r="C993" s="51" t="str">
        <f>VLOOKUP(B993,'Sales Order'!A$2:B$1029,1,0)</f>
        <v>SO0992</v>
      </c>
      <c r="D993" s="17" t="s">
        <v>1279</v>
      </c>
      <c r="E993" s="29" t="s">
        <v>118</v>
      </c>
      <c r="F993" s="29" t="s">
        <v>1285</v>
      </c>
      <c r="G993" s="18">
        <v>8088</v>
      </c>
      <c r="H993" s="43">
        <v>0.11</v>
      </c>
      <c r="I993" s="38">
        <v>267558003.59999999</v>
      </c>
      <c r="J993" s="42">
        <f>'Sales Order'!H993+('Sales Order'!H993*0.11)+Invoice!G993</f>
        <v>267558003.59999999</v>
      </c>
      <c r="K993" s="41"/>
    </row>
    <row r="994" spans="1:11" ht="15.75" customHeight="1" x14ac:dyDescent="0.3">
      <c r="A994" s="40" t="s">
        <v>2273</v>
      </c>
      <c r="B994" s="40" t="s">
        <v>1231</v>
      </c>
      <c r="C994" s="51" t="str">
        <f>VLOOKUP(B994,'Sales Order'!A$2:B$1029,1,0)</f>
        <v>SO0993</v>
      </c>
      <c r="D994" s="17" t="s">
        <v>1279</v>
      </c>
      <c r="E994" s="29" t="s">
        <v>118</v>
      </c>
      <c r="F994" s="29" t="s">
        <v>1285</v>
      </c>
      <c r="G994" s="18">
        <v>8088</v>
      </c>
      <c r="H994" s="43">
        <v>0.11</v>
      </c>
      <c r="I994" s="38">
        <v>489843717.60000002</v>
      </c>
      <c r="J994" s="42">
        <f>'Sales Order'!H994+('Sales Order'!H994*0.11)+Invoice!G994</f>
        <v>489843717.60000002</v>
      </c>
      <c r="K994" s="41"/>
    </row>
    <row r="995" spans="1:11" ht="15.75" customHeight="1" x14ac:dyDescent="0.3">
      <c r="A995" s="40" t="s">
        <v>2274</v>
      </c>
      <c r="B995" s="40" t="s">
        <v>1232</v>
      </c>
      <c r="C995" s="51" t="str">
        <f>VLOOKUP(B995,'Sales Order'!A$2:B$1029,1,0)</f>
        <v>SO0994</v>
      </c>
      <c r="D995" s="17" t="s">
        <v>1275</v>
      </c>
      <c r="E995" s="29" t="s">
        <v>2318</v>
      </c>
      <c r="F995" s="29" t="s">
        <v>1288</v>
      </c>
      <c r="G995" s="32">
        <v>859350</v>
      </c>
      <c r="H995" s="43">
        <v>0.11</v>
      </c>
      <c r="I995" s="38">
        <v>196935277.80000001</v>
      </c>
      <c r="J995" s="42">
        <f>'Sales Order'!H995+('Sales Order'!H995*0.11)+Invoice!G995</f>
        <v>196935277.80000001</v>
      </c>
      <c r="K995" s="41"/>
    </row>
    <row r="996" spans="1:11" ht="15.75" customHeight="1" x14ac:dyDescent="0.3">
      <c r="A996" s="40" t="s">
        <v>2275</v>
      </c>
      <c r="B996" s="40" t="s">
        <v>1233</v>
      </c>
      <c r="C996" s="51" t="str">
        <f>VLOOKUP(B996,'Sales Order'!A$2:B$1029,1,0)</f>
        <v>SO0995</v>
      </c>
      <c r="D996" s="17" t="s">
        <v>1275</v>
      </c>
      <c r="E996" s="29" t="s">
        <v>2315</v>
      </c>
      <c r="F996" s="29" t="s">
        <v>1288</v>
      </c>
      <c r="G996" s="18">
        <v>556050</v>
      </c>
      <c r="H996" s="43">
        <v>0.11</v>
      </c>
      <c r="I996" s="38">
        <v>20848239.719999999</v>
      </c>
      <c r="J996" s="42">
        <f>'Sales Order'!H996+('Sales Order'!H996*0.11)+Invoice!G996</f>
        <v>20848239.719999999</v>
      </c>
      <c r="K996" s="41"/>
    </row>
    <row r="997" spans="1:11" ht="15.75" customHeight="1" x14ac:dyDescent="0.3">
      <c r="A997" s="40" t="s">
        <v>2276</v>
      </c>
      <c r="B997" s="40" t="s">
        <v>1234</v>
      </c>
      <c r="C997" s="51" t="str">
        <f>VLOOKUP(B997,'Sales Order'!A$2:B$1029,1,0)</f>
        <v>SO0996</v>
      </c>
      <c r="D997" s="17" t="s">
        <v>1275</v>
      </c>
      <c r="E997" s="29" t="s">
        <v>2313</v>
      </c>
      <c r="F997" s="29" t="s">
        <v>1295</v>
      </c>
      <c r="G997" s="18">
        <v>808800</v>
      </c>
      <c r="H997" s="43">
        <v>0.11</v>
      </c>
      <c r="I997" s="38">
        <v>441043125</v>
      </c>
      <c r="J997" s="42">
        <f>'Sales Order'!H997+('Sales Order'!H997*0.11)+Invoice!G997</f>
        <v>441043125</v>
      </c>
      <c r="K997" s="41"/>
    </row>
    <row r="998" spans="1:11" ht="15.75" customHeight="1" x14ac:dyDescent="0.3">
      <c r="A998" s="40" t="s">
        <v>2277</v>
      </c>
      <c r="B998" s="40" t="s">
        <v>1235</v>
      </c>
      <c r="C998" s="51" t="str">
        <f>VLOOKUP(B998,'Sales Order'!A$2:B$1029,1,0)</f>
        <v>SO0997</v>
      </c>
      <c r="D998" s="17" t="s">
        <v>1275</v>
      </c>
      <c r="E998" s="29" t="s">
        <v>2316</v>
      </c>
      <c r="F998" s="29" t="s">
        <v>1276</v>
      </c>
      <c r="G998" s="18">
        <v>556050</v>
      </c>
      <c r="H998" s="43">
        <v>0.11</v>
      </c>
      <c r="I998" s="38">
        <v>253734429.30000001</v>
      </c>
      <c r="J998" s="42">
        <f>'Sales Order'!H998+('Sales Order'!H998*0.11)+Invoice!G998</f>
        <v>253734429.30000001</v>
      </c>
      <c r="K998" s="41"/>
    </row>
    <row r="999" spans="1:11" ht="15.75" customHeight="1" x14ac:dyDescent="0.3">
      <c r="A999" s="40" t="s">
        <v>2278</v>
      </c>
      <c r="B999" s="40" t="s">
        <v>1236</v>
      </c>
      <c r="C999" s="51" t="str">
        <f>VLOOKUP(B999,'Sales Order'!A$2:B$1029,1,0)</f>
        <v>SO0998</v>
      </c>
      <c r="D999" s="17" t="s">
        <v>1275</v>
      </c>
      <c r="E999" s="29" t="s">
        <v>2316</v>
      </c>
      <c r="F999" s="29" t="s">
        <v>1280</v>
      </c>
      <c r="G999" s="18">
        <v>556050</v>
      </c>
      <c r="H999" s="43">
        <v>0.11</v>
      </c>
      <c r="I999" s="38">
        <v>652253690.00999999</v>
      </c>
      <c r="J999" s="42">
        <f>'Sales Order'!H999+('Sales Order'!H999*0.11)+Invoice!G999</f>
        <v>652253690.00999999</v>
      </c>
      <c r="K999" s="41"/>
    </row>
    <row r="1000" spans="1:11" ht="15.75" customHeight="1" x14ac:dyDescent="0.3">
      <c r="A1000" s="40" t="s">
        <v>2279</v>
      </c>
      <c r="B1000" s="40" t="s">
        <v>1237</v>
      </c>
      <c r="C1000" s="51" t="str">
        <f>VLOOKUP(B1000,'Sales Order'!A$2:B$1029,1,0)</f>
        <v>SO0999</v>
      </c>
      <c r="D1000" s="17" t="s">
        <v>1275</v>
      </c>
      <c r="E1000" s="29" t="s">
        <v>170</v>
      </c>
      <c r="F1000" s="29" t="s">
        <v>1285</v>
      </c>
      <c r="G1000" s="32">
        <v>859350</v>
      </c>
      <c r="H1000" s="43">
        <v>0.11</v>
      </c>
      <c r="I1000" s="38">
        <v>943017271.20000005</v>
      </c>
      <c r="J1000" s="42">
        <f>'Sales Order'!H1000+('Sales Order'!H1000*0.11)+Invoice!G1000</f>
        <v>943017271.20000005</v>
      </c>
      <c r="K1000" s="41"/>
    </row>
    <row r="1001" spans="1:11" ht="15.75" customHeight="1" x14ac:dyDescent="0.3">
      <c r="A1001" s="40" t="s">
        <v>2280</v>
      </c>
      <c r="B1001" s="40" t="s">
        <v>1238</v>
      </c>
      <c r="C1001" s="51" t="str">
        <f>VLOOKUP(B1001,'Sales Order'!A$2:B$1029,1,0)</f>
        <v>SO1000</v>
      </c>
      <c r="D1001" s="17" t="s">
        <v>1279</v>
      </c>
      <c r="E1001" s="29" t="s">
        <v>118</v>
      </c>
      <c r="F1001" s="29" t="s">
        <v>1276</v>
      </c>
      <c r="G1001" s="18">
        <v>8088</v>
      </c>
      <c r="H1001" s="43">
        <v>0.11</v>
      </c>
      <c r="I1001" s="38">
        <v>28613720.399999999</v>
      </c>
      <c r="J1001" s="42">
        <f>'Sales Order'!H1001+('Sales Order'!H1001*0.11)+Invoice!G1001</f>
        <v>28613720.399999999</v>
      </c>
      <c r="K1001" s="41"/>
    </row>
    <row r="1002" spans="1:11" ht="15.75" customHeight="1" x14ac:dyDescent="0.3">
      <c r="A1002" s="40" t="s">
        <v>2281</v>
      </c>
      <c r="B1002" s="40" t="s">
        <v>1239</v>
      </c>
      <c r="C1002" s="51" t="str">
        <f>VLOOKUP(B1002,'Sales Order'!A$2:B$1029,1,0)</f>
        <v>SO1001</v>
      </c>
      <c r="D1002" s="17" t="s">
        <v>1275</v>
      </c>
      <c r="E1002" s="29" t="s">
        <v>143</v>
      </c>
      <c r="F1002" s="29" t="s">
        <v>1288</v>
      </c>
      <c r="G1002" s="32">
        <v>859350</v>
      </c>
      <c r="H1002" s="43">
        <v>0.11</v>
      </c>
      <c r="I1002" s="38">
        <v>64257577.200000003</v>
      </c>
      <c r="J1002" s="42">
        <f>'Sales Order'!H1002+('Sales Order'!H1002*0.11)+Invoice!G1002</f>
        <v>64257577.200000003</v>
      </c>
      <c r="K1002" s="41"/>
    </row>
    <row r="1003" spans="1:11" ht="15.75" customHeight="1" x14ac:dyDescent="0.3">
      <c r="A1003" s="40" t="s">
        <v>2282</v>
      </c>
      <c r="B1003" s="40" t="s">
        <v>1240</v>
      </c>
      <c r="C1003" s="51" t="str">
        <f>VLOOKUP(B1003,'Sales Order'!A$2:B$1029,1,0)</f>
        <v>SO1002</v>
      </c>
      <c r="D1003" s="17" t="s">
        <v>1275</v>
      </c>
      <c r="E1003" s="29" t="s">
        <v>2318</v>
      </c>
      <c r="F1003" s="29" t="s">
        <v>1285</v>
      </c>
      <c r="G1003" s="32">
        <v>859350</v>
      </c>
      <c r="H1003" s="43">
        <v>0.11</v>
      </c>
      <c r="I1003" s="38">
        <v>464124321.30000001</v>
      </c>
      <c r="J1003" s="42">
        <f>'Sales Order'!H1003+('Sales Order'!H1003*0.11)+Invoice!G1003</f>
        <v>464124321.30000001</v>
      </c>
      <c r="K1003" s="41"/>
    </row>
    <row r="1004" spans="1:11" ht="15.75" customHeight="1" x14ac:dyDescent="0.3">
      <c r="A1004" s="40" t="s">
        <v>2283</v>
      </c>
      <c r="B1004" s="40" t="s">
        <v>1241</v>
      </c>
      <c r="C1004" s="51" t="str">
        <f>VLOOKUP(B1004,'Sales Order'!A$2:B$1029,1,0)</f>
        <v>SO1003</v>
      </c>
      <c r="D1004" s="17" t="s">
        <v>1275</v>
      </c>
      <c r="E1004" s="29" t="s">
        <v>2315</v>
      </c>
      <c r="F1004" s="29" t="s">
        <v>1288</v>
      </c>
      <c r="G1004" s="18">
        <v>556050</v>
      </c>
      <c r="H1004" s="43">
        <v>0.11</v>
      </c>
      <c r="I1004" s="38">
        <v>127881609.21000001</v>
      </c>
      <c r="J1004" s="42">
        <f>'Sales Order'!H1004+('Sales Order'!H1004*0.11)+Invoice!G1004</f>
        <v>127881609.21000001</v>
      </c>
      <c r="K1004" s="41"/>
    </row>
    <row r="1005" spans="1:11" ht="15.75" customHeight="1" x14ac:dyDescent="0.3">
      <c r="A1005" s="40" t="s">
        <v>2284</v>
      </c>
      <c r="B1005" s="40" t="s">
        <v>1242</v>
      </c>
      <c r="C1005" s="51" t="str">
        <f>VLOOKUP(B1005,'Sales Order'!A$2:B$1029,1,0)</f>
        <v>SO1004</v>
      </c>
      <c r="D1005" s="17" t="s">
        <v>1275</v>
      </c>
      <c r="E1005" s="29" t="s">
        <v>170</v>
      </c>
      <c r="F1005" s="29" t="s">
        <v>1285</v>
      </c>
      <c r="G1005" s="32">
        <v>859350</v>
      </c>
      <c r="H1005" s="43">
        <v>0.11</v>
      </c>
      <c r="I1005" s="38">
        <v>821860005.29999995</v>
      </c>
      <c r="J1005" s="42">
        <f>'Sales Order'!H1005+('Sales Order'!H1005*0.11)+Invoice!G1005</f>
        <v>821860005.29999995</v>
      </c>
      <c r="K1005" s="41"/>
    </row>
    <row r="1006" spans="1:11" ht="15.75" customHeight="1" x14ac:dyDescent="0.3">
      <c r="A1006" s="40" t="s">
        <v>2285</v>
      </c>
      <c r="B1006" s="40" t="s">
        <v>1243</v>
      </c>
      <c r="C1006" s="51" t="str">
        <f>VLOOKUP(B1006,'Sales Order'!A$2:B$1029,1,0)</f>
        <v>SO1005</v>
      </c>
      <c r="D1006" s="17" t="s">
        <v>1279</v>
      </c>
      <c r="E1006" s="29" t="s">
        <v>2312</v>
      </c>
      <c r="F1006" s="29" t="s">
        <v>1276</v>
      </c>
      <c r="G1006" s="18">
        <v>32352</v>
      </c>
      <c r="H1006" s="43">
        <v>0.11</v>
      </c>
      <c r="I1006" s="38">
        <v>84801498</v>
      </c>
      <c r="J1006" s="42">
        <f>'Sales Order'!H1006+('Sales Order'!H1006*0.11)+Invoice!G1006</f>
        <v>84801498</v>
      </c>
      <c r="K1006" s="41"/>
    </row>
    <row r="1007" spans="1:11" ht="15.75" customHeight="1" x14ac:dyDescent="0.3">
      <c r="A1007" s="40" t="s">
        <v>2286</v>
      </c>
      <c r="B1007" s="40" t="s">
        <v>1244</v>
      </c>
      <c r="C1007" s="51" t="str">
        <f>VLOOKUP(B1007,'Sales Order'!A$2:B$1029,1,0)</f>
        <v>SO1006</v>
      </c>
      <c r="D1007" s="17" t="s">
        <v>1279</v>
      </c>
      <c r="E1007" s="29" t="s">
        <v>118</v>
      </c>
      <c r="F1007" s="29" t="s">
        <v>1276</v>
      </c>
      <c r="G1007" s="18">
        <v>8088</v>
      </c>
      <c r="H1007" s="43">
        <v>0.11</v>
      </c>
      <c r="I1007" s="38">
        <v>27039196.5</v>
      </c>
      <c r="J1007" s="42">
        <f>'Sales Order'!H1007+('Sales Order'!H1007*0.11)+Invoice!G1007</f>
        <v>27039196.5</v>
      </c>
      <c r="K1007" s="41"/>
    </row>
    <row r="1008" spans="1:11" ht="15.75" customHeight="1" x14ac:dyDescent="0.3">
      <c r="A1008" s="40" t="s">
        <v>2287</v>
      </c>
      <c r="B1008" s="40" t="s">
        <v>1245</v>
      </c>
      <c r="C1008" s="51" t="str">
        <f>VLOOKUP(B1008,'Sales Order'!A$2:B$1029,1,0)</f>
        <v>SO1007</v>
      </c>
      <c r="D1008" s="17" t="s">
        <v>1275</v>
      </c>
      <c r="E1008" s="29" t="s">
        <v>170</v>
      </c>
      <c r="F1008" s="29" t="s">
        <v>1280</v>
      </c>
      <c r="G1008" s="32">
        <v>859350</v>
      </c>
      <c r="H1008" s="43">
        <v>0.11</v>
      </c>
      <c r="I1008" s="38">
        <v>285849951.89999998</v>
      </c>
      <c r="J1008" s="42">
        <f>'Sales Order'!H1008+('Sales Order'!H1008*0.11)+Invoice!G1008</f>
        <v>285849951.89999998</v>
      </c>
      <c r="K1008" s="41"/>
    </row>
    <row r="1009" spans="1:11" ht="15.75" customHeight="1" x14ac:dyDescent="0.3">
      <c r="A1009" s="40" t="s">
        <v>2288</v>
      </c>
      <c r="B1009" s="40" t="s">
        <v>1246</v>
      </c>
      <c r="C1009" s="51" t="str">
        <f>VLOOKUP(B1009,'Sales Order'!A$2:B$1029,1,0)</f>
        <v>SO1008</v>
      </c>
      <c r="D1009" s="17" t="s">
        <v>1275</v>
      </c>
      <c r="E1009" s="29" t="s">
        <v>2313</v>
      </c>
      <c r="F1009" s="29" t="s">
        <v>1285</v>
      </c>
      <c r="G1009" s="18">
        <v>808800</v>
      </c>
      <c r="H1009" s="43">
        <v>0.11</v>
      </c>
      <c r="I1009" s="38">
        <v>459834215.10000002</v>
      </c>
      <c r="J1009" s="42">
        <f>'Sales Order'!H1009+('Sales Order'!H1009*0.11)+Invoice!G1009</f>
        <v>459834215.10000002</v>
      </c>
      <c r="K1009" s="41"/>
    </row>
    <row r="1010" spans="1:11" ht="15.75" customHeight="1" x14ac:dyDescent="0.3">
      <c r="A1010" s="40" t="s">
        <v>2289</v>
      </c>
      <c r="B1010" s="40" t="s">
        <v>1247</v>
      </c>
      <c r="C1010" s="51" t="str">
        <f>VLOOKUP(B1010,'Sales Order'!A$2:B$1029,1,0)</f>
        <v>SO1009</v>
      </c>
      <c r="D1010" s="17" t="s">
        <v>1275</v>
      </c>
      <c r="E1010" s="29" t="s">
        <v>170</v>
      </c>
      <c r="F1010" s="29" t="s">
        <v>1276</v>
      </c>
      <c r="G1010" s="32">
        <v>859350</v>
      </c>
      <c r="H1010" s="43">
        <v>0.11</v>
      </c>
      <c r="I1010" s="38">
        <v>29919638.399999999</v>
      </c>
      <c r="J1010" s="42">
        <f>'Sales Order'!H1010+('Sales Order'!H1010*0.11)+Invoice!G1010</f>
        <v>29919638.399999999</v>
      </c>
      <c r="K1010" s="41"/>
    </row>
    <row r="1011" spans="1:11" ht="15.75" customHeight="1" x14ac:dyDescent="0.3">
      <c r="A1011" s="40" t="s">
        <v>2290</v>
      </c>
      <c r="B1011" s="40" t="s">
        <v>1248</v>
      </c>
      <c r="C1011" s="51" t="str">
        <f>VLOOKUP(B1011,'Sales Order'!A$2:B$1029,1,0)</f>
        <v>SO1010</v>
      </c>
      <c r="D1011" s="17" t="s">
        <v>1279</v>
      </c>
      <c r="E1011" s="29" t="s">
        <v>118</v>
      </c>
      <c r="F1011" s="29" t="s">
        <v>1276</v>
      </c>
      <c r="G1011" s="18">
        <v>8088</v>
      </c>
      <c r="H1011" s="43">
        <v>0.11</v>
      </c>
      <c r="I1011" s="38">
        <v>37747444.200000003</v>
      </c>
      <c r="J1011" s="42">
        <f>'Sales Order'!H1011+('Sales Order'!H1011*0.11)+Invoice!G1011</f>
        <v>37747444.200000003</v>
      </c>
      <c r="K1011" s="41"/>
    </row>
    <row r="1012" spans="1:11" ht="15.75" customHeight="1" x14ac:dyDescent="0.3">
      <c r="A1012" s="40" t="s">
        <v>2291</v>
      </c>
      <c r="B1012" s="40" t="s">
        <v>1249</v>
      </c>
      <c r="C1012" s="51" t="str">
        <f>VLOOKUP(B1012,'Sales Order'!A$2:B$1029,1,0)</f>
        <v>SO1011</v>
      </c>
      <c r="D1012" s="17" t="s">
        <v>1279</v>
      </c>
      <c r="E1012" s="29" t="s">
        <v>2312</v>
      </c>
      <c r="F1012" s="29" t="s">
        <v>1285</v>
      </c>
      <c r="G1012" s="18">
        <v>32352</v>
      </c>
      <c r="H1012" s="43">
        <v>0.11</v>
      </c>
      <c r="I1012" s="38">
        <v>403287382.19999999</v>
      </c>
      <c r="J1012" s="42">
        <f>'Sales Order'!H1012+('Sales Order'!H1012*0.11)+Invoice!G1012</f>
        <v>403287382.19999999</v>
      </c>
      <c r="K1012" s="41"/>
    </row>
    <row r="1013" spans="1:11" ht="15.75" customHeight="1" x14ac:dyDescent="0.3">
      <c r="A1013" s="40" t="s">
        <v>2292</v>
      </c>
      <c r="B1013" s="40" t="s">
        <v>1250</v>
      </c>
      <c r="C1013" s="51" t="str">
        <f>VLOOKUP(B1013,'Sales Order'!A$2:B$1029,1,0)</f>
        <v>SO1012</v>
      </c>
      <c r="D1013" s="17" t="s">
        <v>1279</v>
      </c>
      <c r="E1013" s="29" t="s">
        <v>2312</v>
      </c>
      <c r="F1013" s="29" t="s">
        <v>1285</v>
      </c>
      <c r="G1013" s="18">
        <v>32352</v>
      </c>
      <c r="H1013" s="43">
        <v>0.11</v>
      </c>
      <c r="I1013" s="38">
        <v>565289473.5</v>
      </c>
      <c r="J1013" s="42">
        <f>'Sales Order'!H1013+('Sales Order'!H1013*0.11)+Invoice!G1013</f>
        <v>565289473.5</v>
      </c>
      <c r="K1013" s="41"/>
    </row>
    <row r="1014" spans="1:11" ht="15.75" customHeight="1" x14ac:dyDescent="0.3">
      <c r="A1014" s="40" t="s">
        <v>2293</v>
      </c>
      <c r="B1014" s="40" t="s">
        <v>1251</v>
      </c>
      <c r="C1014" s="51" t="str">
        <f>VLOOKUP(B1014,'Sales Order'!A$2:B$1029,1,0)</f>
        <v>SO1013</v>
      </c>
      <c r="D1014" s="17" t="s">
        <v>1275</v>
      </c>
      <c r="E1014" s="29" t="s">
        <v>143</v>
      </c>
      <c r="F1014" s="29" t="s">
        <v>1280</v>
      </c>
      <c r="G1014" s="32">
        <v>859350</v>
      </c>
      <c r="H1014" s="43">
        <v>0.11</v>
      </c>
      <c r="I1014" s="38">
        <v>519376633.68000001</v>
      </c>
      <c r="J1014" s="42">
        <f>'Sales Order'!H1014+('Sales Order'!H1014*0.11)+Invoice!G1014</f>
        <v>519376633.68000001</v>
      </c>
      <c r="K1014" s="41"/>
    </row>
    <row r="1015" spans="1:11" ht="15.75" customHeight="1" x14ac:dyDescent="0.3">
      <c r="A1015" s="40" t="s">
        <v>2294</v>
      </c>
      <c r="B1015" s="40" t="s">
        <v>1252</v>
      </c>
      <c r="C1015" s="51" t="str">
        <f>VLOOKUP(B1015,'Sales Order'!A$2:B$1029,1,0)</f>
        <v>SO1014</v>
      </c>
      <c r="D1015" s="17" t="s">
        <v>1279</v>
      </c>
      <c r="E1015" s="29" t="s">
        <v>118</v>
      </c>
      <c r="F1015" s="29" t="s">
        <v>1295</v>
      </c>
      <c r="G1015" s="18">
        <v>8088</v>
      </c>
      <c r="H1015" s="43">
        <v>0.11</v>
      </c>
      <c r="I1015" s="38">
        <v>328031225.39999998</v>
      </c>
      <c r="J1015" s="42">
        <f>'Sales Order'!H1015+('Sales Order'!H1015*0.11)+Invoice!G1015</f>
        <v>328031225.39999998</v>
      </c>
      <c r="K1015" s="41"/>
    </row>
    <row r="1016" spans="1:11" ht="15.75" customHeight="1" x14ac:dyDescent="0.3">
      <c r="A1016" s="40" t="s">
        <v>2295</v>
      </c>
      <c r="B1016" s="40" t="s">
        <v>1253</v>
      </c>
      <c r="C1016" s="51" t="str">
        <f>VLOOKUP(B1016,'Sales Order'!A$2:B$1029,1,0)</f>
        <v>SO1015</v>
      </c>
      <c r="D1016" s="17" t="s">
        <v>1275</v>
      </c>
      <c r="E1016" s="29" t="s">
        <v>2318</v>
      </c>
      <c r="F1016" s="29" t="s">
        <v>1288</v>
      </c>
      <c r="G1016" s="32">
        <v>859350</v>
      </c>
      <c r="H1016" s="43">
        <v>0.11</v>
      </c>
      <c r="I1016" s="38">
        <v>270197524.44</v>
      </c>
      <c r="J1016" s="42">
        <f>'Sales Order'!H1016+('Sales Order'!H1016*0.11)+Invoice!G1016</f>
        <v>270197524.44</v>
      </c>
      <c r="K1016" s="41"/>
    </row>
    <row r="1017" spans="1:11" ht="15.75" customHeight="1" x14ac:dyDescent="0.3">
      <c r="A1017" s="40" t="s">
        <v>2296</v>
      </c>
      <c r="B1017" s="40" t="s">
        <v>1254</v>
      </c>
      <c r="C1017" s="51" t="str">
        <f>VLOOKUP(B1017,'Sales Order'!A$2:B$1029,1,0)</f>
        <v>SO1016</v>
      </c>
      <c r="D1017" s="17" t="s">
        <v>1279</v>
      </c>
      <c r="E1017" s="29" t="s">
        <v>118</v>
      </c>
      <c r="F1017" s="29" t="s">
        <v>1288</v>
      </c>
      <c r="G1017" s="18">
        <v>8088</v>
      </c>
      <c r="H1017" s="43">
        <v>0.11</v>
      </c>
      <c r="I1017" s="38">
        <v>28755978</v>
      </c>
      <c r="J1017" s="42">
        <f>'Sales Order'!H1017+('Sales Order'!H1017*0.11)+Invoice!G1017</f>
        <v>28755978</v>
      </c>
      <c r="K1017" s="41"/>
    </row>
    <row r="1018" spans="1:11" ht="15.75" customHeight="1" x14ac:dyDescent="0.3">
      <c r="A1018" s="40" t="s">
        <v>2297</v>
      </c>
      <c r="B1018" s="40" t="s">
        <v>1255</v>
      </c>
      <c r="C1018" s="51" t="str">
        <f>VLOOKUP(B1018,'Sales Order'!A$2:B$1029,1,0)</f>
        <v>SO1017</v>
      </c>
      <c r="D1018" s="17" t="s">
        <v>1275</v>
      </c>
      <c r="E1018" s="29" t="s">
        <v>2318</v>
      </c>
      <c r="F1018" s="29" t="s">
        <v>1276</v>
      </c>
      <c r="G1018" s="32">
        <v>859350</v>
      </c>
      <c r="H1018" s="43">
        <v>0.11</v>
      </c>
      <c r="I1018" s="38">
        <v>33092007.300000001</v>
      </c>
      <c r="J1018" s="42">
        <f>'Sales Order'!H1018+('Sales Order'!H1018*0.11)+Invoice!G1018</f>
        <v>33092007.300000001</v>
      </c>
      <c r="K1018" s="41"/>
    </row>
    <row r="1019" spans="1:11" ht="15.75" customHeight="1" x14ac:dyDescent="0.3">
      <c r="A1019" s="40" t="s">
        <v>2298</v>
      </c>
      <c r="B1019" s="40" t="s">
        <v>1256</v>
      </c>
      <c r="C1019" s="51" t="str">
        <f>VLOOKUP(B1019,'Sales Order'!A$2:B$1029,1,0)</f>
        <v>SO1018</v>
      </c>
      <c r="D1019" s="17" t="s">
        <v>1275</v>
      </c>
      <c r="E1019" s="29" t="s">
        <v>2317</v>
      </c>
      <c r="F1019" s="29" t="s">
        <v>1288</v>
      </c>
      <c r="G1019" s="32">
        <v>859350</v>
      </c>
      <c r="H1019" s="43">
        <v>0.11</v>
      </c>
      <c r="I1019" s="38">
        <v>124303926.3</v>
      </c>
      <c r="J1019" s="42">
        <f>'Sales Order'!H1019+('Sales Order'!H1019*0.11)+Invoice!G1019</f>
        <v>124303926.3</v>
      </c>
      <c r="K1019" s="41"/>
    </row>
    <row r="1020" spans="1:11" ht="15.75" customHeight="1" x14ac:dyDescent="0.3">
      <c r="A1020" s="40" t="s">
        <v>2299</v>
      </c>
      <c r="B1020" s="40" t="s">
        <v>1257</v>
      </c>
      <c r="C1020" s="51" t="str">
        <f>VLOOKUP(B1020,'Sales Order'!A$2:B$1029,1,0)</f>
        <v>SO1019</v>
      </c>
      <c r="D1020" s="17" t="s">
        <v>1279</v>
      </c>
      <c r="E1020" s="29" t="s">
        <v>118</v>
      </c>
      <c r="F1020" s="29" t="s">
        <v>1288</v>
      </c>
      <c r="G1020" s="18">
        <v>8088</v>
      </c>
      <c r="H1020" s="43">
        <v>0.11</v>
      </c>
      <c r="I1020" s="38">
        <v>26494341.899999999</v>
      </c>
      <c r="J1020" s="42">
        <f>'Sales Order'!H1020+('Sales Order'!H1020*0.11)+Invoice!G1020</f>
        <v>26494341.899999999</v>
      </c>
      <c r="K1020" s="41"/>
    </row>
    <row r="1021" spans="1:11" ht="15.75" customHeight="1" x14ac:dyDescent="0.3">
      <c r="A1021" s="40" t="s">
        <v>2300</v>
      </c>
      <c r="B1021" s="40" t="s">
        <v>1258</v>
      </c>
      <c r="C1021" s="51" t="str">
        <f>VLOOKUP(B1021,'Sales Order'!A$2:B$1029,1,0)</f>
        <v>SO1020</v>
      </c>
      <c r="D1021" s="17" t="s">
        <v>1279</v>
      </c>
      <c r="E1021" s="29" t="s">
        <v>2312</v>
      </c>
      <c r="F1021" s="29" t="s">
        <v>1295</v>
      </c>
      <c r="G1021" s="18">
        <v>32352</v>
      </c>
      <c r="H1021" s="43">
        <v>0.11</v>
      </c>
      <c r="I1021" s="38">
        <v>531896144.69999999</v>
      </c>
      <c r="J1021" s="42">
        <f>'Sales Order'!H1021+('Sales Order'!H1021*0.11)+Invoice!G1021</f>
        <v>531896144.69999999</v>
      </c>
      <c r="K1021" s="41"/>
    </row>
    <row r="1022" spans="1:11" ht="15.75" customHeight="1" x14ac:dyDescent="0.3">
      <c r="A1022" s="40" t="s">
        <v>2301</v>
      </c>
      <c r="B1022" s="40" t="s">
        <v>1259</v>
      </c>
      <c r="C1022" s="51" t="str">
        <f>VLOOKUP(B1022,'Sales Order'!A$2:B$1029,1,0)</f>
        <v>SO1021</v>
      </c>
      <c r="D1022" s="17" t="s">
        <v>1279</v>
      </c>
      <c r="E1022" s="29" t="s">
        <v>118</v>
      </c>
      <c r="F1022" s="29" t="s">
        <v>1288</v>
      </c>
      <c r="G1022" s="18">
        <v>8088</v>
      </c>
      <c r="H1022" s="43">
        <v>0.11</v>
      </c>
      <c r="I1022" s="38">
        <v>114251397</v>
      </c>
      <c r="J1022" s="42">
        <f>'Sales Order'!H1022+('Sales Order'!H1022*0.11)+Invoice!G1022</f>
        <v>114251397</v>
      </c>
      <c r="K1022" s="41"/>
    </row>
    <row r="1023" spans="1:11" ht="15.75" customHeight="1" x14ac:dyDescent="0.3">
      <c r="A1023" s="40" t="s">
        <v>2302</v>
      </c>
      <c r="B1023" s="40" t="s">
        <v>1260</v>
      </c>
      <c r="C1023" s="51" t="str">
        <f>VLOOKUP(B1023,'Sales Order'!A$2:B$1029,1,0)</f>
        <v>SO1022</v>
      </c>
      <c r="D1023" s="17" t="s">
        <v>1275</v>
      </c>
      <c r="E1023" s="29" t="s">
        <v>143</v>
      </c>
      <c r="F1023" s="29" t="s">
        <v>1276</v>
      </c>
      <c r="G1023" s="32">
        <v>859350</v>
      </c>
      <c r="H1023" s="43">
        <v>0.11</v>
      </c>
      <c r="I1023" s="38">
        <v>61603434</v>
      </c>
      <c r="J1023" s="42">
        <f>'Sales Order'!H1023+('Sales Order'!H1023*0.11)+Invoice!G1023</f>
        <v>61603434</v>
      </c>
      <c r="K1023" s="41"/>
    </row>
    <row r="1024" spans="1:11" ht="15.75" customHeight="1" x14ac:dyDescent="0.3">
      <c r="A1024" s="40" t="s">
        <v>2303</v>
      </c>
      <c r="B1024" s="40" t="s">
        <v>1261</v>
      </c>
      <c r="C1024" s="51" t="str">
        <f>VLOOKUP(B1024,'Sales Order'!A$2:B$1029,1,0)</f>
        <v>SO1023</v>
      </c>
      <c r="D1024" s="17" t="s">
        <v>1279</v>
      </c>
      <c r="E1024" s="29" t="s">
        <v>118</v>
      </c>
      <c r="F1024" s="29" t="s">
        <v>1280</v>
      </c>
      <c r="G1024" s="18">
        <v>8088</v>
      </c>
      <c r="H1024" s="43">
        <v>0.11</v>
      </c>
      <c r="I1024" s="38">
        <v>290547679.80000001</v>
      </c>
      <c r="J1024" s="42">
        <f>'Sales Order'!H1024+('Sales Order'!H1024*0.11)+Invoice!G1024</f>
        <v>290547679.80000001</v>
      </c>
      <c r="K1024" s="41"/>
    </row>
    <row r="1025" spans="1:11" ht="15.75" customHeight="1" x14ac:dyDescent="0.3">
      <c r="A1025" s="40" t="s">
        <v>2304</v>
      </c>
      <c r="B1025" s="40" t="s">
        <v>1262</v>
      </c>
      <c r="C1025" s="51" t="str">
        <f>VLOOKUP(B1025,'Sales Order'!A$2:B$1029,1,0)</f>
        <v>SO1024</v>
      </c>
      <c r="D1025" s="17" t="s">
        <v>1275</v>
      </c>
      <c r="E1025" s="29" t="s">
        <v>2313</v>
      </c>
      <c r="F1025" s="29" t="s">
        <v>1285</v>
      </c>
      <c r="G1025" s="18">
        <v>808800</v>
      </c>
      <c r="H1025" s="43">
        <v>0.11</v>
      </c>
      <c r="I1025" s="38">
        <v>390742875.60000002</v>
      </c>
      <c r="J1025" s="42">
        <f>'Sales Order'!H1025+('Sales Order'!H1025*0.11)+Invoice!G1025</f>
        <v>390742875.60000002</v>
      </c>
      <c r="K1025" s="41"/>
    </row>
    <row r="1026" spans="1:11" ht="15.75" customHeight="1" x14ac:dyDescent="0.3">
      <c r="A1026" s="40" t="s">
        <v>2305</v>
      </c>
      <c r="B1026" s="40" t="s">
        <v>1263</v>
      </c>
      <c r="C1026" s="51" t="str">
        <f>VLOOKUP(B1026,'Sales Order'!A$2:B$1029,1,0)</f>
        <v>SO1025</v>
      </c>
      <c r="D1026" s="17" t="s">
        <v>1279</v>
      </c>
      <c r="E1026" s="29" t="s">
        <v>2312</v>
      </c>
      <c r="F1026" s="29" t="s">
        <v>1288</v>
      </c>
      <c r="G1026" s="18">
        <v>32352</v>
      </c>
      <c r="H1026" s="43">
        <v>0.11</v>
      </c>
      <c r="I1026" s="38">
        <v>87177564</v>
      </c>
      <c r="J1026" s="42">
        <f>'Sales Order'!H1026+('Sales Order'!H1026*0.11)+Invoice!G1026</f>
        <v>87177564</v>
      </c>
      <c r="K1026" s="41"/>
    </row>
    <row r="1027" spans="1:11" ht="15.75" customHeight="1" x14ac:dyDescent="0.3">
      <c r="A1027" s="40" t="s">
        <v>2306</v>
      </c>
      <c r="B1027" s="40" t="s">
        <v>1264</v>
      </c>
      <c r="C1027" s="51" t="str">
        <f>VLOOKUP(B1027,'Sales Order'!A$2:B$1029,1,0)</f>
        <v>SO1026</v>
      </c>
      <c r="D1027" s="17" t="s">
        <v>1275</v>
      </c>
      <c r="E1027" s="29" t="s">
        <v>2314</v>
      </c>
      <c r="F1027" s="29" t="s">
        <v>1280</v>
      </c>
      <c r="G1027" s="18">
        <v>808800</v>
      </c>
      <c r="H1027" s="43">
        <v>0.11</v>
      </c>
      <c r="I1027" s="38">
        <v>843381361.79999995</v>
      </c>
      <c r="J1027" s="42">
        <f>'Sales Order'!H1027+('Sales Order'!H1027*0.11)+Invoice!G1027</f>
        <v>843381361.79999995</v>
      </c>
      <c r="K1027" s="41"/>
    </row>
    <row r="1028" spans="1:11" ht="15.75" customHeight="1" x14ac:dyDescent="0.3">
      <c r="A1028" s="40" t="s">
        <v>2307</v>
      </c>
      <c r="B1028" s="40" t="s">
        <v>1265</v>
      </c>
      <c r="C1028" s="51" t="str">
        <f>VLOOKUP(B1028,'Sales Order'!A$2:B$1029,1,0)</f>
        <v>SO1027</v>
      </c>
      <c r="D1028" s="17" t="s">
        <v>1275</v>
      </c>
      <c r="E1028" s="29" t="s">
        <v>2315</v>
      </c>
      <c r="F1028" s="29" t="s">
        <v>1295</v>
      </c>
      <c r="G1028" s="18">
        <v>556050</v>
      </c>
      <c r="H1028" s="43">
        <v>0.11</v>
      </c>
      <c r="I1028" s="38">
        <v>603871908</v>
      </c>
      <c r="J1028" s="42">
        <f>'Sales Order'!H1028+('Sales Order'!H1028*0.11)+Invoice!G1028</f>
        <v>603871908</v>
      </c>
      <c r="K1028" s="41"/>
    </row>
    <row r="1029" spans="1:11" ht="15.75" customHeight="1" x14ac:dyDescent="0.3">
      <c r="A1029" s="40" t="s">
        <v>2308</v>
      </c>
      <c r="B1029" s="40" t="s">
        <v>1266</v>
      </c>
      <c r="C1029" s="51" t="str">
        <f>VLOOKUP(B1029,'Sales Order'!A$2:B$1029,1,0)</f>
        <v>SO1028</v>
      </c>
      <c r="D1029" s="17" t="s">
        <v>1279</v>
      </c>
      <c r="E1029" s="29" t="s">
        <v>2312</v>
      </c>
      <c r="F1029" s="29" t="s">
        <v>1285</v>
      </c>
      <c r="G1029" s="18">
        <v>32352</v>
      </c>
      <c r="H1029" s="43">
        <v>0.11</v>
      </c>
      <c r="I1029" s="38">
        <v>533399229</v>
      </c>
      <c r="J1029" s="42">
        <f>'Sales Order'!H1029+('Sales Order'!H1029*0.11)+Invoice!G1029</f>
        <v>533399229</v>
      </c>
      <c r="K1029" s="41"/>
    </row>
    <row r="1030" spans="1:11" ht="15" customHeight="1" x14ac:dyDescent="0.3">
      <c r="I1030" s="41">
        <f>SUM(I2:I1029)</f>
        <v>329971129215.33038</v>
      </c>
      <c r="J1030" s="41">
        <f>SUM(J2:J1029)</f>
        <v>329971129215.33038</v>
      </c>
    </row>
    <row r="1032" spans="1:11" ht="15" customHeight="1" x14ac:dyDescent="0.3">
      <c r="I1032" s="16"/>
    </row>
    <row r="1033" spans="1:11" ht="15" customHeight="1" x14ac:dyDescent="0.3">
      <c r="I1033" s="16"/>
    </row>
    <row r="1034" spans="1:11" ht="15" customHeight="1" x14ac:dyDescent="0.3">
      <c r="I1034" s="16"/>
    </row>
    <row r="1035" spans="1:11" ht="15" customHeight="1" x14ac:dyDescent="0.3">
      <c r="I1035" s="16"/>
    </row>
    <row r="1036" spans="1:11" ht="15" customHeight="1" x14ac:dyDescent="0.3">
      <c r="I1036" s="16"/>
    </row>
    <row r="1037" spans="1:11" ht="15" customHeight="1" x14ac:dyDescent="0.3">
      <c r="I1037" s="16"/>
    </row>
    <row r="1038" spans="1:11" ht="15" customHeight="1" x14ac:dyDescent="0.3">
      <c r="I1038" s="16"/>
    </row>
  </sheetData>
  <autoFilter ref="A1:I1029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Outlier Visualization</vt:lpstr>
      <vt:lpstr>Distribution &amp; Skewness</vt:lpstr>
      <vt:lpstr>Product</vt:lpstr>
      <vt:lpstr>Vendor</vt:lpstr>
      <vt:lpstr>Patner Store</vt:lpstr>
      <vt:lpstr>Sales Team</vt:lpstr>
      <vt:lpstr>Sales Order</vt:lpstr>
      <vt:lpstr>Order Item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YOSAFAT</cp:lastModifiedBy>
  <dcterms:created xsi:type="dcterms:W3CDTF">2023-07-20T20:28:15Z</dcterms:created>
  <dcterms:modified xsi:type="dcterms:W3CDTF">2026-07-13T11:40:17Z</dcterms:modified>
</cp:coreProperties>
</file>